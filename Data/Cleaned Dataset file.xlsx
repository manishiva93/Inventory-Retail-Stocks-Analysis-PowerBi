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aravanakumar\Downloads\Retail Sales Analysis files\"/>
    </mc:Choice>
  </mc:AlternateContent>
  <xr:revisionPtr revIDLastSave="0" documentId="13_ncr:1_{C6843215-C12B-4B68-9654-1775895B1F10}" xr6:coauthVersionLast="47" xr6:coauthVersionMax="47" xr10:uidLastSave="{00000000-0000-0000-0000-000000000000}"/>
  <bookViews>
    <workbookView xWindow="-108" yWindow="-108" windowWidth="23256" windowHeight="12456" firstSheet="2" activeTab="6" xr2:uid="{00000000-000D-0000-FFFF-FFFF00000000}"/>
  </bookViews>
  <sheets>
    <sheet name="Retail Sales Raw Data" sheetId="1" r:id="rId1"/>
    <sheet name="Standard formatting" sheetId="2" r:id="rId2"/>
    <sheet name="Sorting and Filtering" sheetId="4" r:id="rId3"/>
    <sheet name="Cleaned Dataset" sheetId="6" r:id="rId4"/>
    <sheet name="Pivot Tables" sheetId="7" r:id="rId5"/>
    <sheet name="Data Visualization" sheetId="8" r:id="rId6"/>
    <sheet name="Sales Dashboard" sheetId="9" r:id="rId7"/>
    <sheet name="Excel Report" sheetId="5" r:id="rId8"/>
  </sheets>
  <definedNames>
    <definedName name="_xlnm._FilterDatabase" localSheetId="0" hidden="1">'Retail Sales Raw Data'!$A$1:$L$1001</definedName>
    <definedName name="_xlnm._FilterDatabase" localSheetId="2" hidden="1">'Sorting and Filtering'!$A$1:$M$1001</definedName>
    <definedName name="_xlnm._FilterDatabase" localSheetId="1" hidden="1">'Standard formatting'!$A$1:$L$1001</definedName>
    <definedName name="Slicer_Product">#N/A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Q6" i="2"/>
  <c r="Q5" i="2"/>
  <c r="Q4" i="2"/>
  <c r="Q3" i="2"/>
  <c r="Q2" i="2"/>
</calcChain>
</file>

<file path=xl/sharedStrings.xml><?xml version="1.0" encoding="utf-8"?>
<sst xmlns="http://schemas.openxmlformats.org/spreadsheetml/2006/main" count="31129" uniqueCount="2395">
  <si>
    <t>Order ID</t>
  </si>
  <si>
    <t>Customer Name</t>
  </si>
  <si>
    <t>Product</t>
  </si>
  <si>
    <t>Category</t>
  </si>
  <si>
    <t>Quantity</t>
  </si>
  <si>
    <t>Unit Price</t>
  </si>
  <si>
    <t>Total Amount</t>
  </si>
  <si>
    <t>Discount (%)</t>
  </si>
  <si>
    <t>Region</t>
  </si>
  <si>
    <t>Store</t>
  </si>
  <si>
    <t>Order Date</t>
  </si>
  <si>
    <t>Payment Method</t>
  </si>
  <si>
    <t>ORD-000001</t>
  </si>
  <si>
    <t>David Taylor</t>
  </si>
  <si>
    <t>Webcam</t>
  </si>
  <si>
    <t>Peripherals</t>
  </si>
  <si>
    <t>East</t>
  </si>
  <si>
    <t>Store-14</t>
  </si>
  <si>
    <t>01/25/2025</t>
  </si>
  <si>
    <t>Wire Transfer</t>
  </si>
  <si>
    <t>ORD-000002</t>
  </si>
  <si>
    <t>Betty Gonzalez</t>
  </si>
  <si>
    <t>USB Hub</t>
  </si>
  <si>
    <t>Accessories</t>
  </si>
  <si>
    <t>North</t>
  </si>
  <si>
    <t>Store-04</t>
  </si>
  <si>
    <t>09/26/2025</t>
  </si>
  <si>
    <t>Cash</t>
  </si>
  <si>
    <t>ORD-000003</t>
  </si>
  <si>
    <t>Barbara Nguyen</t>
  </si>
  <si>
    <t>09/20/2026</t>
  </si>
  <si>
    <t>Credit Card</t>
  </si>
  <si>
    <t>ORD-000004</t>
  </si>
  <si>
    <t>Robert Jones</t>
  </si>
  <si>
    <t>Smartphone</t>
  </si>
  <si>
    <t>Electronics</t>
  </si>
  <si>
    <t>Store-01</t>
  </si>
  <si>
    <t>08/29/2026</t>
  </si>
  <si>
    <t>ORD-000005</t>
  </si>
  <si>
    <t>David Garcia</t>
  </si>
  <si>
    <t>Backpack</t>
  </si>
  <si>
    <t>Store-05</t>
  </si>
  <si>
    <t>03/01/2026</t>
  </si>
  <si>
    <t>ORD-000006</t>
  </si>
  <si>
    <t>Betty Hernandez</t>
  </si>
  <si>
    <t>Headphones</t>
  </si>
  <si>
    <t>West</t>
  </si>
  <si>
    <t>Store-16</t>
  </si>
  <si>
    <t>10/23/2024</t>
  </si>
  <si>
    <t>Check</t>
  </si>
  <si>
    <t>ORD-000007</t>
  </si>
  <si>
    <t>Betty Clark</t>
  </si>
  <si>
    <t>Printer</t>
  </si>
  <si>
    <t>South</t>
  </si>
  <si>
    <t>Store-08</t>
  </si>
  <si>
    <t>08/10/2025</t>
  </si>
  <si>
    <t>ORD-000008</t>
  </si>
  <si>
    <t>Elizabeth Jackson</t>
  </si>
  <si>
    <t>Monitor</t>
  </si>
  <si>
    <t>Store-03</t>
  </si>
  <si>
    <t>10/10/2025</t>
  </si>
  <si>
    <t>ORD-000009</t>
  </si>
  <si>
    <t>Dorothy Scott</t>
  </si>
  <si>
    <t>Keyboard</t>
  </si>
  <si>
    <t>01/23/2025</t>
  </si>
  <si>
    <t>ORD-000010</t>
  </si>
  <si>
    <t>Kimberly Miller</t>
  </si>
  <si>
    <t>Store-09</t>
  </si>
  <si>
    <t>11/02/2025</t>
  </si>
  <si>
    <t>Debit Card</t>
  </si>
  <si>
    <t>ORD-000011</t>
  </si>
  <si>
    <t>Sandra Flores</t>
  </si>
  <si>
    <t>Desk Chair</t>
  </si>
  <si>
    <t>Furniture</t>
  </si>
  <si>
    <t>Store-12</t>
  </si>
  <si>
    <t>06/21/2026</t>
  </si>
  <si>
    <t>ORD-000012</t>
  </si>
  <si>
    <t>Jennifer Williams</t>
  </si>
  <si>
    <t>Store-20</t>
  </si>
  <si>
    <t>05/05/2025</t>
  </si>
  <si>
    <t>ORD-000013</t>
  </si>
  <si>
    <t>Thomas Jackson</t>
  </si>
  <si>
    <t>Standing Desk</t>
  </si>
  <si>
    <t>Store-19</t>
  </si>
  <si>
    <t>06/11/2025</t>
  </si>
  <si>
    <t>ORD-000014</t>
  </si>
  <si>
    <t>Paul Garcia</t>
  </si>
  <si>
    <t>07/20/2025</t>
  </si>
  <si>
    <t>ORD-000015</t>
  </si>
  <si>
    <t>Sarah Hernandez</t>
  </si>
  <si>
    <t>Surge Protector</t>
  </si>
  <si>
    <t>Store-13</t>
  </si>
  <si>
    <t>06/18/2025</t>
  </si>
  <si>
    <t>ORD-000016</t>
  </si>
  <si>
    <t>Andrew Gonzalez</t>
  </si>
  <si>
    <t>Laptop</t>
  </si>
  <si>
    <t>02/27/2025</t>
  </si>
  <si>
    <t>ORD-000017</t>
  </si>
  <si>
    <t>Joseph Brown</t>
  </si>
  <si>
    <t>Cable Kit</t>
  </si>
  <si>
    <t>11/11/2024</t>
  </si>
  <si>
    <t>ORD-000018</t>
  </si>
  <si>
    <t>Nancy Flores</t>
  </si>
  <si>
    <t>Tablet</t>
  </si>
  <si>
    <t>Store-02</t>
  </si>
  <si>
    <t>05/03/2025</t>
  </si>
  <si>
    <t>ORD-000019</t>
  </si>
  <si>
    <t>Daniel Nguyen</t>
  </si>
  <si>
    <t>11/01/2025</t>
  </si>
  <si>
    <t>ORD-000020</t>
  </si>
  <si>
    <t>Donna Moore</t>
  </si>
  <si>
    <t>Store-11</t>
  </si>
  <si>
    <t>03/04/2025</t>
  </si>
  <si>
    <t>ORD-000021</t>
  </si>
  <si>
    <t>Dorothy Allen</t>
  </si>
  <si>
    <t>12/21/2025</t>
  </si>
  <si>
    <t>ORD-000022</t>
  </si>
  <si>
    <t>Emily Jackson</t>
  </si>
  <si>
    <t>05/01/2026</t>
  </si>
  <si>
    <t>ORD-000023</t>
  </si>
  <si>
    <t>Donna Wright</t>
  </si>
  <si>
    <t>ORD-000024</t>
  </si>
  <si>
    <t>Sandra Walker</t>
  </si>
  <si>
    <t>Mouse</t>
  </si>
  <si>
    <t>Store-17</t>
  </si>
  <si>
    <t>01/21/2025</t>
  </si>
  <si>
    <t>ORD-000025</t>
  </si>
  <si>
    <t>Mark Martinez</t>
  </si>
  <si>
    <t>01/08/2026</t>
  </si>
  <si>
    <t>ORD-000026</t>
  </si>
  <si>
    <t>Mark Wilson</t>
  </si>
  <si>
    <t>10/21/2024</t>
  </si>
  <si>
    <t>ORD-000027</t>
  </si>
  <si>
    <t>Donald Brown</t>
  </si>
  <si>
    <t>Store-06</t>
  </si>
  <si>
    <t>05/27/2025</t>
  </si>
  <si>
    <t>ORD-000028</t>
  </si>
  <si>
    <t>Susan Ramirez</t>
  </si>
  <si>
    <t>03/29/2025</t>
  </si>
  <si>
    <t>ORD-000029</t>
  </si>
  <si>
    <t>Andrew Miller</t>
  </si>
  <si>
    <t>Store-07</t>
  </si>
  <si>
    <t>04/29/2026</t>
  </si>
  <si>
    <t>ORD-000030</t>
  </si>
  <si>
    <t>Donna Robinson</t>
  </si>
  <si>
    <t>03/28/2025</t>
  </si>
  <si>
    <t>ORD-000031</t>
  </si>
  <si>
    <t>Sarah Wilson</t>
  </si>
  <si>
    <t>12/29/2024</t>
  </si>
  <si>
    <t>ORD-000032</t>
  </si>
  <si>
    <t>Patricia Davis</t>
  </si>
  <si>
    <t>05/17/2026</t>
  </si>
  <si>
    <t>ORD-000033</t>
  </si>
  <si>
    <t>Sandra Moore</t>
  </si>
  <si>
    <t>11/17/2024</t>
  </si>
  <si>
    <t>ORD-000034</t>
  </si>
  <si>
    <t>Linda Scott</t>
  </si>
  <si>
    <t>03/24/2025</t>
  </si>
  <si>
    <t>ORD-000035</t>
  </si>
  <si>
    <t>Patricia Moore</t>
  </si>
  <si>
    <t>Store-15</t>
  </si>
  <si>
    <t>06/13/2026</t>
  </si>
  <si>
    <t>ORD-000036</t>
  </si>
  <si>
    <t>Christopher Ramirez</t>
  </si>
  <si>
    <t>04/04/2025</t>
  </si>
  <si>
    <t>ORD-000037</t>
  </si>
  <si>
    <t>Mark Sanchez</t>
  </si>
  <si>
    <t>07/19/2025</t>
  </si>
  <si>
    <t>ORD-000038</t>
  </si>
  <si>
    <t>Steven Nguyen</t>
  </si>
  <si>
    <t>Store-10</t>
  </si>
  <si>
    <t>03/04/2026</t>
  </si>
  <si>
    <t>ORD-000039</t>
  </si>
  <si>
    <t>Steven Wilson</t>
  </si>
  <si>
    <t>07/04/2026</t>
  </si>
  <si>
    <t>ORD-000040</t>
  </si>
  <si>
    <t>Joseph Nguyen</t>
  </si>
  <si>
    <t>01/04/2026</t>
  </si>
  <si>
    <t>ORD-000041</t>
  </si>
  <si>
    <t>Anthony Lee</t>
  </si>
  <si>
    <t>03/30/2026</t>
  </si>
  <si>
    <t>ORD-000042</t>
  </si>
  <si>
    <t>Sandra Lee</t>
  </si>
  <si>
    <t>07/31/2025</t>
  </si>
  <si>
    <t>ORD-000043</t>
  </si>
  <si>
    <t>David Nguyen</t>
  </si>
  <si>
    <t>08/12/2026</t>
  </si>
  <si>
    <t>ORD-000044</t>
  </si>
  <si>
    <t>James Thompson</t>
  </si>
  <si>
    <t>02/01/2026</t>
  </si>
  <si>
    <t>ORD-000045</t>
  </si>
  <si>
    <t>Daniel Johnson</t>
  </si>
  <si>
    <t>07/26/2026</t>
  </si>
  <si>
    <t>ORD-000046</t>
  </si>
  <si>
    <t>Jessica Martinez</t>
  </si>
  <si>
    <t>04/29/2025</t>
  </si>
  <si>
    <t>ORD-000047</t>
  </si>
  <si>
    <t>Joseph White</t>
  </si>
  <si>
    <t>07/20/2026</t>
  </si>
  <si>
    <t>ORD-000048</t>
  </si>
  <si>
    <t>Margaret Allen</t>
  </si>
  <si>
    <t>08/28/2025</t>
  </si>
  <si>
    <t>ORD-000049</t>
  </si>
  <si>
    <t>Linda Williams</t>
  </si>
  <si>
    <t>05/27/2026</t>
  </si>
  <si>
    <t>ORD-000050</t>
  </si>
  <si>
    <t>Ashley King</t>
  </si>
  <si>
    <t>06/03/2025</t>
  </si>
  <si>
    <t>ORD-000051</t>
  </si>
  <si>
    <t>Thomas Anderson</t>
  </si>
  <si>
    <t>01/11/2025</t>
  </si>
  <si>
    <t>ORD-000052</t>
  </si>
  <si>
    <t>Mark Miller</t>
  </si>
  <si>
    <t>01/27/2026</t>
  </si>
  <si>
    <t>ORD-000053</t>
  </si>
  <si>
    <t>03/14/2026</t>
  </si>
  <si>
    <t>ORD-000054</t>
  </si>
  <si>
    <t>Betty Nguyen</t>
  </si>
  <si>
    <t>03/17/2025</t>
  </si>
  <si>
    <t>ORD-000055</t>
  </si>
  <si>
    <t>Paul Wilson</t>
  </si>
  <si>
    <t>07/21/2026</t>
  </si>
  <si>
    <t>ORD-000056</t>
  </si>
  <si>
    <t>Nancy Thompson</t>
  </si>
  <si>
    <t>ORD-000057</t>
  </si>
  <si>
    <t>Jennifer Allen</t>
  </si>
  <si>
    <t>10/18/2024</t>
  </si>
  <si>
    <t>ORD-000058</t>
  </si>
  <si>
    <t>Paul Thompson</t>
  </si>
  <si>
    <t>11/14/2025</t>
  </si>
  <si>
    <t>ORD-000059</t>
  </si>
  <si>
    <t>02/15/2026</t>
  </si>
  <si>
    <t>ORD-000060</t>
  </si>
  <si>
    <t>Dorothy Lopez</t>
  </si>
  <si>
    <t>ORD-000061</t>
  </si>
  <si>
    <t>Nancy Garcia</t>
  </si>
  <si>
    <t>03/15/2026</t>
  </si>
  <si>
    <t>ORD-000062</t>
  </si>
  <si>
    <t>Donna Smith</t>
  </si>
  <si>
    <t>11/02/2024</t>
  </si>
  <si>
    <t>ORD-000063</t>
  </si>
  <si>
    <t>Joseph Anderson</t>
  </si>
  <si>
    <t>ORD-000064</t>
  </si>
  <si>
    <t>Dorothy Walker</t>
  </si>
  <si>
    <t>Store-18</t>
  </si>
  <si>
    <t>08/02/2025</t>
  </si>
  <si>
    <t>ORD-000065</t>
  </si>
  <si>
    <t>Jessica Miller</t>
  </si>
  <si>
    <t>10/14/2025</t>
  </si>
  <si>
    <t>ORD-000066</t>
  </si>
  <si>
    <t>Paul Taylor</t>
  </si>
  <si>
    <t>12/09/2025</t>
  </si>
  <si>
    <t>ORD-000067</t>
  </si>
  <si>
    <t>Robert Martinez</t>
  </si>
  <si>
    <t>06/08/2025</t>
  </si>
  <si>
    <t>ORD-000068</t>
  </si>
  <si>
    <t>Richard Hill</t>
  </si>
  <si>
    <t>01/28/2025</t>
  </si>
  <si>
    <t>ORD-000069</t>
  </si>
  <si>
    <t>Barbara Lee</t>
  </si>
  <si>
    <t>04/21/2025</t>
  </si>
  <si>
    <t>ORD-000070</t>
  </si>
  <si>
    <t>Joshua Robinson</t>
  </si>
  <si>
    <t>ORD-000071</t>
  </si>
  <si>
    <t>Lisa Martin</t>
  </si>
  <si>
    <t>12/14/2025</t>
  </si>
  <si>
    <t>ORD-000072</t>
  </si>
  <si>
    <t>Christopher Anderson</t>
  </si>
  <si>
    <t>07/29/2026</t>
  </si>
  <si>
    <t>ORD-000073</t>
  </si>
  <si>
    <t>David Jackson</t>
  </si>
  <si>
    <t>07/22/2026</t>
  </si>
  <si>
    <t>ORD-000074</t>
  </si>
  <si>
    <t>Lisa Moore</t>
  </si>
  <si>
    <t>09/12/2025</t>
  </si>
  <si>
    <t>ORD-000075</t>
  </si>
  <si>
    <t>Charles Nguyen</t>
  </si>
  <si>
    <t>02/24/2025</t>
  </si>
  <si>
    <t>ORD-000076</t>
  </si>
  <si>
    <t>Elizabeth Scott</t>
  </si>
  <si>
    <t>01/12/2025</t>
  </si>
  <si>
    <t>ORD-000077</t>
  </si>
  <si>
    <t>Charles King</t>
  </si>
  <si>
    <t>12/01/2025</t>
  </si>
  <si>
    <t>ORD-000078</t>
  </si>
  <si>
    <t>Paul Lopez</t>
  </si>
  <si>
    <t>03/11/2025</t>
  </si>
  <si>
    <t>ORD-000079</t>
  </si>
  <si>
    <t>Andrew Brown</t>
  </si>
  <si>
    <t>04/19/2026</t>
  </si>
  <si>
    <t>ORD-000080</t>
  </si>
  <si>
    <t>William Torres</t>
  </si>
  <si>
    <t>ORD-000081</t>
  </si>
  <si>
    <t>John Sanchez</t>
  </si>
  <si>
    <t>06/22/2026</t>
  </si>
  <si>
    <t>ORD-000082</t>
  </si>
  <si>
    <t>John Nguyen</t>
  </si>
  <si>
    <t>05/30/2026</t>
  </si>
  <si>
    <t>ORD-000083</t>
  </si>
  <si>
    <t>Patricia Clark</t>
  </si>
  <si>
    <t>05/23/2025</t>
  </si>
  <si>
    <t>ORD-000084</t>
  </si>
  <si>
    <t>John Garcia</t>
  </si>
  <si>
    <t>09/21/2025</t>
  </si>
  <si>
    <t>ORD-000085</t>
  </si>
  <si>
    <t>Richard Rodriguez</t>
  </si>
  <si>
    <t>04/12/2025</t>
  </si>
  <si>
    <t>ORD-000086</t>
  </si>
  <si>
    <t>Mark Scott</t>
  </si>
  <si>
    <t>10/02/2025</t>
  </si>
  <si>
    <t>ORD-000087</t>
  </si>
  <si>
    <t>Thomas Hill</t>
  </si>
  <si>
    <t>06/03/2026</t>
  </si>
  <si>
    <t>ORD-000088</t>
  </si>
  <si>
    <t>04/22/2026</t>
  </si>
  <si>
    <t>ORD-000089</t>
  </si>
  <si>
    <t>03/30/2025</t>
  </si>
  <si>
    <t>ORD-000090</t>
  </si>
  <si>
    <t>Nancy Wright</t>
  </si>
  <si>
    <t>05/20/2025</t>
  </si>
  <si>
    <t>ORD-000091</t>
  </si>
  <si>
    <t>William Jackson</t>
  </si>
  <si>
    <t>03/13/2026</t>
  </si>
  <si>
    <t>ORD-000092</t>
  </si>
  <si>
    <t>Nancy Hill</t>
  </si>
  <si>
    <t>06/04/2026</t>
  </si>
  <si>
    <t>ORD-000093</t>
  </si>
  <si>
    <t>Donald Davis</t>
  </si>
  <si>
    <t>02/25/2026</t>
  </si>
  <si>
    <t>ORD-000094</t>
  </si>
  <si>
    <t>William Harris</t>
  </si>
  <si>
    <t>01/23/2026</t>
  </si>
  <si>
    <t>ORD-000095</t>
  </si>
  <si>
    <t>Joseph Scott</t>
  </si>
  <si>
    <t>04/23/2025</t>
  </si>
  <si>
    <t>ORD-000096</t>
  </si>
  <si>
    <t>Jennifer Rodriguez</t>
  </si>
  <si>
    <t>01/22/2025</t>
  </si>
  <si>
    <t>ORD-000097</t>
  </si>
  <si>
    <t>Sarah Torres</t>
  </si>
  <si>
    <t>01/05/2025</t>
  </si>
  <si>
    <t>ORD-000098</t>
  </si>
  <si>
    <t>Elizabeth Lewis</t>
  </si>
  <si>
    <t>11/13/2025</t>
  </si>
  <si>
    <t>ORD-000099</t>
  </si>
  <si>
    <t>Margaret Lopez</t>
  </si>
  <si>
    <t>08/25/2025</t>
  </si>
  <si>
    <t>ORD-000100</t>
  </si>
  <si>
    <t>Betty Harris</t>
  </si>
  <si>
    <t>04/20/2026</t>
  </si>
  <si>
    <t>ORD-000101</t>
  </si>
  <si>
    <t>David Allen</t>
  </si>
  <si>
    <t>ORD-000102</t>
  </si>
  <si>
    <t>Richard Wright</t>
  </si>
  <si>
    <t>06/02/2025</t>
  </si>
  <si>
    <t>ORD-000103</t>
  </si>
  <si>
    <t>Sarah Lee</t>
  </si>
  <si>
    <t>04/02/2026</t>
  </si>
  <si>
    <t>ORD-000104</t>
  </si>
  <si>
    <t>Christopher Sanchez</t>
  </si>
  <si>
    <t>06/17/2025</t>
  </si>
  <si>
    <t>ORD-000105</t>
  </si>
  <si>
    <t>Sarah Anderson</t>
  </si>
  <si>
    <t>10/31/2024</t>
  </si>
  <si>
    <t>ORD-000106</t>
  </si>
  <si>
    <t>Susan Hernandez</t>
  </si>
  <si>
    <t>04/25/2026</t>
  </si>
  <si>
    <t>ORD-000107</t>
  </si>
  <si>
    <t>Joshua Perez</t>
  </si>
  <si>
    <t>08/02/2026</t>
  </si>
  <si>
    <t>ORD-000108</t>
  </si>
  <si>
    <t>Elizabeth Williams</t>
  </si>
  <si>
    <t>ORD-000109</t>
  </si>
  <si>
    <t>Michael Williams</t>
  </si>
  <si>
    <t>09/05/2026</t>
  </si>
  <si>
    <t>ORD-000110</t>
  </si>
  <si>
    <t>Margaret Martinez</t>
  </si>
  <si>
    <t>07/07/2025</t>
  </si>
  <si>
    <t>ORD-000111</t>
  </si>
  <si>
    <t>Barbara Martinez</t>
  </si>
  <si>
    <t>06/15/2026</t>
  </si>
  <si>
    <t>ORD-000112</t>
  </si>
  <si>
    <t>James Hill</t>
  </si>
  <si>
    <t>08/17/2025</t>
  </si>
  <si>
    <t>ORD-000113</t>
  </si>
  <si>
    <t>John Torres</t>
  </si>
  <si>
    <t>05/02/2025</t>
  </si>
  <si>
    <t>ORD-000114</t>
  </si>
  <si>
    <t>Richard Jones</t>
  </si>
  <si>
    <t>10/27/2025</t>
  </si>
  <si>
    <t>ORD-000115</t>
  </si>
  <si>
    <t>Donna Jones</t>
  </si>
  <si>
    <t>11/30/2024</t>
  </si>
  <si>
    <t>ORD-000116</t>
  </si>
  <si>
    <t>John Clark</t>
  </si>
  <si>
    <t>12/17/2025</t>
  </si>
  <si>
    <t>ORD-000117</t>
  </si>
  <si>
    <t>David Davis</t>
  </si>
  <si>
    <t>08/08/2026</t>
  </si>
  <si>
    <t>ORD-000118</t>
  </si>
  <si>
    <t>Matthew Young</t>
  </si>
  <si>
    <t>ORD-000119</t>
  </si>
  <si>
    <t>Linda Perez</t>
  </si>
  <si>
    <t>09/18/2025</t>
  </si>
  <si>
    <t>ORD-000120</t>
  </si>
  <si>
    <t>Paul Rodriguez</t>
  </si>
  <si>
    <t>12/05/2024</t>
  </si>
  <si>
    <t>ORD-000121</t>
  </si>
  <si>
    <t>Daniel Taylor</t>
  </si>
  <si>
    <t>07/17/2025</t>
  </si>
  <si>
    <t>ORD-000122</t>
  </si>
  <si>
    <t>Paul Gonzalez</t>
  </si>
  <si>
    <t>05/12/2025</t>
  </si>
  <si>
    <t>ORD-000123</t>
  </si>
  <si>
    <t>Patricia Johnson</t>
  </si>
  <si>
    <t>12/31/2025</t>
  </si>
  <si>
    <t>ORD-000124</t>
  </si>
  <si>
    <t>Anthony Harris</t>
  </si>
  <si>
    <t>02/21/2026</t>
  </si>
  <si>
    <t>ORD-000125</t>
  </si>
  <si>
    <t>William Jones</t>
  </si>
  <si>
    <t>07/06/2025</t>
  </si>
  <si>
    <t>ORD-000126</t>
  </si>
  <si>
    <t>Joseph Jackson</t>
  </si>
  <si>
    <t>10/17/2024</t>
  </si>
  <si>
    <t>ORD-000127</t>
  </si>
  <si>
    <t>Donald Harris</t>
  </si>
  <si>
    <t>09/10/2026</t>
  </si>
  <si>
    <t>ORD-000128</t>
  </si>
  <si>
    <t>Thomas Flores</t>
  </si>
  <si>
    <t>10/28/2025</t>
  </si>
  <si>
    <t>ORD-000129</t>
  </si>
  <si>
    <t>Ashley Robinson</t>
  </si>
  <si>
    <t>08/17/2026</t>
  </si>
  <si>
    <t>ORD-000130</t>
  </si>
  <si>
    <t>Donna Gonzalez</t>
  </si>
  <si>
    <t>02/26/2025</t>
  </si>
  <si>
    <t>ORD-000131</t>
  </si>
  <si>
    <t>Donald King</t>
  </si>
  <si>
    <t>02/20/2025</t>
  </si>
  <si>
    <t>ORD-000132</t>
  </si>
  <si>
    <t>Susan Williams</t>
  </si>
  <si>
    <t>03/24/2026</t>
  </si>
  <si>
    <t>ORD-000133</t>
  </si>
  <si>
    <t>Susan Torres</t>
  </si>
  <si>
    <t>08/10/2026</t>
  </si>
  <si>
    <t>ORD-000134</t>
  </si>
  <si>
    <t>Thomas Rodriguez</t>
  </si>
  <si>
    <t>12/16/2024</t>
  </si>
  <si>
    <t>ORD-000135</t>
  </si>
  <si>
    <t>Joshua Johnson</t>
  </si>
  <si>
    <t>04/27/2026</t>
  </si>
  <si>
    <t>ORD-000136</t>
  </si>
  <si>
    <t>ORD-000137</t>
  </si>
  <si>
    <t>Michael Allen</t>
  </si>
  <si>
    <t>05/17/2025</t>
  </si>
  <si>
    <t>ORD-000138</t>
  </si>
  <si>
    <t>Sandra Young</t>
  </si>
  <si>
    <t>03/27/2025</t>
  </si>
  <si>
    <t>ORD-000139</t>
  </si>
  <si>
    <t>Elizabeth Torres</t>
  </si>
  <si>
    <t>01/20/2026</t>
  </si>
  <si>
    <t>ORD-000140</t>
  </si>
  <si>
    <t>Donald Perez</t>
  </si>
  <si>
    <t>ORD-000141</t>
  </si>
  <si>
    <t>Robert Sanchez</t>
  </si>
  <si>
    <t>06/16/2025</t>
  </si>
  <si>
    <t>ORD-000142</t>
  </si>
  <si>
    <t>12/29/2025</t>
  </si>
  <si>
    <t>ORD-000143</t>
  </si>
  <si>
    <t>Karen Flores</t>
  </si>
  <si>
    <t>ORD-000144</t>
  </si>
  <si>
    <t>James Moore</t>
  </si>
  <si>
    <t>08/27/2026</t>
  </si>
  <si>
    <t>ORD-000145</t>
  </si>
  <si>
    <t>Donna Jackson</t>
  </si>
  <si>
    <t>05/26/2025</t>
  </si>
  <si>
    <t>ORD-000146</t>
  </si>
  <si>
    <t>Karen Lee</t>
  </si>
  <si>
    <t>01/18/2026</t>
  </si>
  <si>
    <t>ORD-000147</t>
  </si>
  <si>
    <t>Margaret Sanchez</t>
  </si>
  <si>
    <t>09/05/2025</t>
  </si>
  <si>
    <t>ORD-000148</t>
  </si>
  <si>
    <t>William Wilson</t>
  </si>
  <si>
    <t>05/24/2026</t>
  </si>
  <si>
    <t>ORD-000149</t>
  </si>
  <si>
    <t>Elizabeth Sanchez</t>
  </si>
  <si>
    <t>03/16/2025</t>
  </si>
  <si>
    <t>ORD-000150</t>
  </si>
  <si>
    <t>Charles Brown</t>
  </si>
  <si>
    <t>02/17/2025</t>
  </si>
  <si>
    <t>ORD-000151</t>
  </si>
  <si>
    <t>Elizabeth Taylor</t>
  </si>
  <si>
    <t>09/18/2026</t>
  </si>
  <si>
    <t>ORD-000152</t>
  </si>
  <si>
    <t>Paul Torres</t>
  </si>
  <si>
    <t>09/19/2026</t>
  </si>
  <si>
    <t>ORD-000153</t>
  </si>
  <si>
    <t>Lisa Scott</t>
  </si>
  <si>
    <t>05/01/2025</t>
  </si>
  <si>
    <t>ORD-000154</t>
  </si>
  <si>
    <t>Sandra Allen</t>
  </si>
  <si>
    <t>11/22/2025</t>
  </si>
  <si>
    <t>ORD-000155</t>
  </si>
  <si>
    <t>Sandra Martin</t>
  </si>
  <si>
    <t>10/20/2025</t>
  </si>
  <si>
    <t>ORD-000156</t>
  </si>
  <si>
    <t>Jessica King</t>
  </si>
  <si>
    <t>11/03/2025</t>
  </si>
  <si>
    <t>ORD-000157</t>
  </si>
  <si>
    <t>Donna Ramirez</t>
  </si>
  <si>
    <t>04/11/2026</t>
  </si>
  <si>
    <t>ORD-000158</t>
  </si>
  <si>
    <t>Sandra Jackson</t>
  </si>
  <si>
    <t>11/15/2024</t>
  </si>
  <si>
    <t>ORD-000159</t>
  </si>
  <si>
    <t>William Lopez</t>
  </si>
  <si>
    <t>07/21/2025</t>
  </si>
  <si>
    <t>ORD-000160</t>
  </si>
  <si>
    <t>Ashley Torres</t>
  </si>
  <si>
    <t>ORD-000161</t>
  </si>
  <si>
    <t>Joseph Perez</t>
  </si>
  <si>
    <t>07/28/2026</t>
  </si>
  <si>
    <t>ORD-000162</t>
  </si>
  <si>
    <t>Susan Lewis</t>
  </si>
  <si>
    <t>04/15/2025</t>
  </si>
  <si>
    <t>ORD-000163</t>
  </si>
  <si>
    <t>Sandra Hill</t>
  </si>
  <si>
    <t>ORD-000164</t>
  </si>
  <si>
    <t>Karen Anderson</t>
  </si>
  <si>
    <t>05/18/2025</t>
  </si>
  <si>
    <t>ORD-000165</t>
  </si>
  <si>
    <t>Mark Flores</t>
  </si>
  <si>
    <t>12/30/2025</t>
  </si>
  <si>
    <t>ORD-000166</t>
  </si>
  <si>
    <t>Karen Nguyen</t>
  </si>
  <si>
    <t>03/02/2026</t>
  </si>
  <si>
    <t>ORD-000167</t>
  </si>
  <si>
    <t>Margaret White</t>
  </si>
  <si>
    <t>ORD-000168</t>
  </si>
  <si>
    <t>Andrew Hernandez</t>
  </si>
  <si>
    <t>08/20/2026</t>
  </si>
  <si>
    <t>ORD-000169</t>
  </si>
  <si>
    <t>Matthew Smith</t>
  </si>
  <si>
    <t>ORD-000170</t>
  </si>
  <si>
    <t>Daniel White</t>
  </si>
  <si>
    <t>09/16/2026</t>
  </si>
  <si>
    <t>ORD-000171</t>
  </si>
  <si>
    <t>Susan Gonzalez</t>
  </si>
  <si>
    <t>03/01/2025</t>
  </si>
  <si>
    <t>ORD-000172</t>
  </si>
  <si>
    <t>Jennifer Wright</t>
  </si>
  <si>
    <t>09/06/2026</t>
  </si>
  <si>
    <t>ORD-000173</t>
  </si>
  <si>
    <t>Betty Lopez</t>
  </si>
  <si>
    <t>02/28/2025</t>
  </si>
  <si>
    <t>ORD-000174</t>
  </si>
  <si>
    <t>Mary Harris</t>
  </si>
  <si>
    <t>ORD-000175</t>
  </si>
  <si>
    <t>Joshua Taylor</t>
  </si>
  <si>
    <t>10/22/2024</t>
  </si>
  <si>
    <t>ORD-000176</t>
  </si>
  <si>
    <t>Nancy Davis</t>
  </si>
  <si>
    <t>03/31/2025</t>
  </si>
  <si>
    <t>ORD-000177</t>
  </si>
  <si>
    <t>Karen Wright</t>
  </si>
  <si>
    <t>03/20/2025</t>
  </si>
  <si>
    <t>ORD-000178</t>
  </si>
  <si>
    <t>Susan Brown</t>
  </si>
  <si>
    <t>02/26/2026</t>
  </si>
  <si>
    <t>ORD-000179</t>
  </si>
  <si>
    <t>John Hernandez</t>
  </si>
  <si>
    <t>ORD-000180</t>
  </si>
  <si>
    <t>Jessica Thompson</t>
  </si>
  <si>
    <t>03/16/2026</t>
  </si>
  <si>
    <t>ORD-000181</t>
  </si>
  <si>
    <t>Betty Perez</t>
  </si>
  <si>
    <t>08/22/2026</t>
  </si>
  <si>
    <t>ORD-000182</t>
  </si>
  <si>
    <t>Donald Rodriguez</t>
  </si>
  <si>
    <t>07/01/2026</t>
  </si>
  <si>
    <t>ORD-000183</t>
  </si>
  <si>
    <t>William Ramirez</t>
  </si>
  <si>
    <t>ORD-000184</t>
  </si>
  <si>
    <t>John Anderson</t>
  </si>
  <si>
    <t>ORD-000185</t>
  </si>
  <si>
    <t>Paul Perez</t>
  </si>
  <si>
    <t>ORD-000186</t>
  </si>
  <si>
    <t>Susan Davis</t>
  </si>
  <si>
    <t>09/20/2025</t>
  </si>
  <si>
    <t>ORD-000187</t>
  </si>
  <si>
    <t>Thomas Perez</t>
  </si>
  <si>
    <t>01/13/2025</t>
  </si>
  <si>
    <t>ORD-000188</t>
  </si>
  <si>
    <t>Patricia Allen</t>
  </si>
  <si>
    <t>11/03/2024</t>
  </si>
  <si>
    <t>ORD-000189</t>
  </si>
  <si>
    <t>Mark Wright</t>
  </si>
  <si>
    <t>10/16/2025</t>
  </si>
  <si>
    <t>ORD-000190</t>
  </si>
  <si>
    <t>Susan Hill</t>
  </si>
  <si>
    <t>05/07/2025</t>
  </si>
  <si>
    <t>ORD-000191</t>
  </si>
  <si>
    <t>Joshua Flores</t>
  </si>
  <si>
    <t>04/08/2025</t>
  </si>
  <si>
    <t>ORD-000192</t>
  </si>
  <si>
    <t>Steven Walker</t>
  </si>
  <si>
    <t>02/18/2025</t>
  </si>
  <si>
    <t>ORD-000193</t>
  </si>
  <si>
    <t>Mary Gonzalez</t>
  </si>
  <si>
    <t>05/22/2025</t>
  </si>
  <si>
    <t>ORD-000194</t>
  </si>
  <si>
    <t>02/22/2026</t>
  </si>
  <si>
    <t>ORD-000195</t>
  </si>
  <si>
    <t>Paul Sanchez</t>
  </si>
  <si>
    <t>07/14/2025</t>
  </si>
  <si>
    <t>ORD-000196</t>
  </si>
  <si>
    <t>Susan Thomas</t>
  </si>
  <si>
    <t>10/25/2025</t>
  </si>
  <si>
    <t>ORD-000197</t>
  </si>
  <si>
    <t>Donald Robinson</t>
  </si>
  <si>
    <t>09/08/2026</t>
  </si>
  <si>
    <t>ORD-000198</t>
  </si>
  <si>
    <t>ORD-000199</t>
  </si>
  <si>
    <t>Ashley Brown</t>
  </si>
  <si>
    <t>01/09/2025</t>
  </si>
  <si>
    <t>ORD-000200</t>
  </si>
  <si>
    <t>Barbara Clark</t>
  </si>
  <si>
    <t>02/25/2025</t>
  </si>
  <si>
    <t>ORD-000201</t>
  </si>
  <si>
    <t>Margaret Nguyen</t>
  </si>
  <si>
    <t>ORD-000202</t>
  </si>
  <si>
    <t>ORD-000203</t>
  </si>
  <si>
    <t>Jennifer Wilson</t>
  </si>
  <si>
    <t>ORD-000204</t>
  </si>
  <si>
    <t>Barbara Torres</t>
  </si>
  <si>
    <t>07/18/2026</t>
  </si>
  <si>
    <t>ORD-000205</t>
  </si>
  <si>
    <t>07/11/2026</t>
  </si>
  <si>
    <t>ORD-000206</t>
  </si>
  <si>
    <t>Emily King</t>
  </si>
  <si>
    <t>12/23/2024</t>
  </si>
  <si>
    <t>ORD-000207</t>
  </si>
  <si>
    <t>Barbara Hernandez</t>
  </si>
  <si>
    <t>02/23/2025</t>
  </si>
  <si>
    <t>ORD-000208</t>
  </si>
  <si>
    <t>John Johnson</t>
  </si>
  <si>
    <t>03/13/2025</t>
  </si>
  <si>
    <t>ORD-000209</t>
  </si>
  <si>
    <t>Christopher King</t>
  </si>
  <si>
    <t>03/06/2025</t>
  </si>
  <si>
    <t>ORD-000210</t>
  </si>
  <si>
    <t>Sarah Miller</t>
  </si>
  <si>
    <t>11/26/2025</t>
  </si>
  <si>
    <t>ORD-000211</t>
  </si>
  <si>
    <t>Michael Perez</t>
  </si>
  <si>
    <t>09/07/2025</t>
  </si>
  <si>
    <t>ORD-000212</t>
  </si>
  <si>
    <t>Matthew Taylor</t>
  </si>
  <si>
    <t>09/28/2025</t>
  </si>
  <si>
    <t>ORD-000213</t>
  </si>
  <si>
    <t>Margaret Clark</t>
  </si>
  <si>
    <t>08/15/2026</t>
  </si>
  <si>
    <t>ORD-000214</t>
  </si>
  <si>
    <t>Elizabeth Martinez</t>
  </si>
  <si>
    <t>06/14/2025</t>
  </si>
  <si>
    <t>ORD-000215</t>
  </si>
  <si>
    <t>ORD-000216</t>
  </si>
  <si>
    <t>Karen Smith</t>
  </si>
  <si>
    <t>02/02/2026</t>
  </si>
  <si>
    <t>ORD-000217</t>
  </si>
  <si>
    <t>Christopher Lewis</t>
  </si>
  <si>
    <t>09/14/2026</t>
  </si>
  <si>
    <t>ORD-000218</t>
  </si>
  <si>
    <t>Kimberly Williams</t>
  </si>
  <si>
    <t>ORD-000219</t>
  </si>
  <si>
    <t>ORD-000220</t>
  </si>
  <si>
    <t>03/12/2026</t>
  </si>
  <si>
    <t>ORD-000221</t>
  </si>
  <si>
    <t>Ashley Lopez</t>
  </si>
  <si>
    <t>09/03/2025</t>
  </si>
  <si>
    <t>ORD-000222</t>
  </si>
  <si>
    <t>Joshua Wright</t>
  </si>
  <si>
    <t>04/18/2026</t>
  </si>
  <si>
    <t>ORD-000223</t>
  </si>
  <si>
    <t>Robert Taylor</t>
  </si>
  <si>
    <t>09/24/2025</t>
  </si>
  <si>
    <t>ORD-000224</t>
  </si>
  <si>
    <t>Joshua Young</t>
  </si>
  <si>
    <t>08/25/2026</t>
  </si>
  <si>
    <t>ORD-000225</t>
  </si>
  <si>
    <t>Anthony Young</t>
  </si>
  <si>
    <t>07/14/2026</t>
  </si>
  <si>
    <t>ORD-000226</t>
  </si>
  <si>
    <t>Mark Lee</t>
  </si>
  <si>
    <t>ORD-000227</t>
  </si>
  <si>
    <t>Susan Johnson</t>
  </si>
  <si>
    <t>10/09/2025</t>
  </si>
  <si>
    <t>ORD-000228</t>
  </si>
  <si>
    <t>John Wright</t>
  </si>
  <si>
    <t>10/25/2024</t>
  </si>
  <si>
    <t>ORD-000229</t>
  </si>
  <si>
    <t>Steven Smith</t>
  </si>
  <si>
    <t>ORD-000230</t>
  </si>
  <si>
    <t>Donna Harris</t>
  </si>
  <si>
    <t>ORD-000231</t>
  </si>
  <si>
    <t>Donald Scott</t>
  </si>
  <si>
    <t>01/01/2026</t>
  </si>
  <si>
    <t>ORD-000232</t>
  </si>
  <si>
    <t>Nancy Miller</t>
  </si>
  <si>
    <t>06/22/2025</t>
  </si>
  <si>
    <t>ORD-000233</t>
  </si>
  <si>
    <t>Kimberly Young</t>
  </si>
  <si>
    <t>12/04/2025</t>
  </si>
  <si>
    <t>ORD-000234</t>
  </si>
  <si>
    <t>Betty Martinez</t>
  </si>
  <si>
    <t>11/17/2025</t>
  </si>
  <si>
    <t>ORD-000235</t>
  </si>
  <si>
    <t>Donald Lewis</t>
  </si>
  <si>
    <t>01/02/2025</t>
  </si>
  <si>
    <t>ORD-000236</t>
  </si>
  <si>
    <t>Betty Martin</t>
  </si>
  <si>
    <t>09/02/2025</t>
  </si>
  <si>
    <t>ORD-000237</t>
  </si>
  <si>
    <t>Susan Smith</t>
  </si>
  <si>
    <t>06/23/2025</t>
  </si>
  <si>
    <t>ORD-000238</t>
  </si>
  <si>
    <t>Michael Garcia</t>
  </si>
  <si>
    <t>04/05/2025</t>
  </si>
  <si>
    <t>ORD-000239</t>
  </si>
  <si>
    <t>Joseph Taylor</t>
  </si>
  <si>
    <t>05/21/2025</t>
  </si>
  <si>
    <t>ORD-000240</t>
  </si>
  <si>
    <t>08/06/2026</t>
  </si>
  <si>
    <t>ORD-000241</t>
  </si>
  <si>
    <t>02/20/2026</t>
  </si>
  <si>
    <t>ORD-000242</t>
  </si>
  <si>
    <t>Charles Allen</t>
  </si>
  <si>
    <t>06/06/2026</t>
  </si>
  <si>
    <t>ORD-000243</t>
  </si>
  <si>
    <t>Andrew Wilson</t>
  </si>
  <si>
    <t>09/30/2025</t>
  </si>
  <si>
    <t>ORD-000244</t>
  </si>
  <si>
    <t>Matthew Walker</t>
  </si>
  <si>
    <t>11/16/2024</t>
  </si>
  <si>
    <t>ORD-000245</t>
  </si>
  <si>
    <t>James Sanchez</t>
  </si>
  <si>
    <t>ORD-000246</t>
  </si>
  <si>
    <t>Donald Thompson</t>
  </si>
  <si>
    <t>10/22/2025</t>
  </si>
  <si>
    <t>ORD-000247</t>
  </si>
  <si>
    <t>Thomas Robinson</t>
  </si>
  <si>
    <t>ORD-000248</t>
  </si>
  <si>
    <t>Elizabeth Nguyen</t>
  </si>
  <si>
    <t>10/08/2025</t>
  </si>
  <si>
    <t>ORD-000249</t>
  </si>
  <si>
    <t>Anthony Johnson</t>
  </si>
  <si>
    <t>12/25/2025</t>
  </si>
  <si>
    <t>ORD-000250</t>
  </si>
  <si>
    <t>Joshua Wilson</t>
  </si>
  <si>
    <t>04/09/2026</t>
  </si>
  <si>
    <t>ORD-000251</t>
  </si>
  <si>
    <t>Emily Walker</t>
  </si>
  <si>
    <t>05/18/2026</t>
  </si>
  <si>
    <t>ORD-000252</t>
  </si>
  <si>
    <t>08/14/2025</t>
  </si>
  <si>
    <t>ORD-000253</t>
  </si>
  <si>
    <t>Jessica Flores</t>
  </si>
  <si>
    <t>ORD-000254</t>
  </si>
  <si>
    <t>Andrew White</t>
  </si>
  <si>
    <t>07/04/2025</t>
  </si>
  <si>
    <t>ORD-000255</t>
  </si>
  <si>
    <t>Anthony Perez</t>
  </si>
  <si>
    <t>ORD-000256</t>
  </si>
  <si>
    <t>Charles Wilson</t>
  </si>
  <si>
    <t>01/29/2026</t>
  </si>
  <si>
    <t>ORD-000257</t>
  </si>
  <si>
    <t>Joshua Scott</t>
  </si>
  <si>
    <t>09/27/2026</t>
  </si>
  <si>
    <t>ORD-000258</t>
  </si>
  <si>
    <t>Emily Martinez</t>
  </si>
  <si>
    <t>10/07/2026</t>
  </si>
  <si>
    <t>ORD-000259</t>
  </si>
  <si>
    <t>Ashley Wright</t>
  </si>
  <si>
    <t>ORD-000260</t>
  </si>
  <si>
    <t>Robert Hill</t>
  </si>
  <si>
    <t>03/09/2026</t>
  </si>
  <si>
    <t>ORD-000261</t>
  </si>
  <si>
    <t>Mary King</t>
  </si>
  <si>
    <t>06/23/2026</t>
  </si>
  <si>
    <t>ORD-000262</t>
  </si>
  <si>
    <t>ORD-000263</t>
  </si>
  <si>
    <t>James Ramirez</t>
  </si>
  <si>
    <t>ORD-000264</t>
  </si>
  <si>
    <t>Mark Young</t>
  </si>
  <si>
    <t>ORD-000265</t>
  </si>
  <si>
    <t>Sandra Jones</t>
  </si>
  <si>
    <t>ORD-000266</t>
  </si>
  <si>
    <t>Charles Lopez</t>
  </si>
  <si>
    <t>ORD-000267</t>
  </si>
  <si>
    <t>Sandra Smith</t>
  </si>
  <si>
    <t>11/04/2025</t>
  </si>
  <si>
    <t>ORD-000268</t>
  </si>
  <si>
    <t>Joseph Wright</t>
  </si>
  <si>
    <t>08/21/2026</t>
  </si>
  <si>
    <t>ORD-000269</t>
  </si>
  <si>
    <t>12/27/2024</t>
  </si>
  <si>
    <t>ORD-000270</t>
  </si>
  <si>
    <t>Kimberly Thomas</t>
  </si>
  <si>
    <t>ORD-000271</t>
  </si>
  <si>
    <t>Paul Johnson</t>
  </si>
  <si>
    <t>09/03/2026</t>
  </si>
  <si>
    <t>ORD-000272</t>
  </si>
  <si>
    <t>Paul Nguyen</t>
  </si>
  <si>
    <t>06/01/2025</t>
  </si>
  <si>
    <t>ORD-000273</t>
  </si>
  <si>
    <t>02/04/2025</t>
  </si>
  <si>
    <t>ORD-000274</t>
  </si>
  <si>
    <t>ORD-000275</t>
  </si>
  <si>
    <t>Ashley Nguyen</t>
  </si>
  <si>
    <t>04/14/2025</t>
  </si>
  <si>
    <t>ORD-000276</t>
  </si>
  <si>
    <t>Christopher Hernandez</t>
  </si>
  <si>
    <t>ORD-000277</t>
  </si>
  <si>
    <t>Kimberly Hill</t>
  </si>
  <si>
    <t>ORD-000278</t>
  </si>
  <si>
    <t>Sandra Johnson</t>
  </si>
  <si>
    <t>ORD-000279</t>
  </si>
  <si>
    <t>Susan Lopez</t>
  </si>
  <si>
    <t>07/23/2025</t>
  </si>
  <si>
    <t>ORD-000280</t>
  </si>
  <si>
    <t>Mark Johnson</t>
  </si>
  <si>
    <t>05/04/2026</t>
  </si>
  <si>
    <t>ORD-000281</t>
  </si>
  <si>
    <t>Joseph Harris</t>
  </si>
  <si>
    <t>06/30/2025</t>
  </si>
  <si>
    <t>ORD-000282</t>
  </si>
  <si>
    <t>Steven Jackson</t>
  </si>
  <si>
    <t>04/26/2026</t>
  </si>
  <si>
    <t>ORD-000283</t>
  </si>
  <si>
    <t>Karen Gonzalez</t>
  </si>
  <si>
    <t>12/26/2024</t>
  </si>
  <si>
    <t>ORD-000284</t>
  </si>
  <si>
    <t>Margaret Robinson</t>
  </si>
  <si>
    <t>ORD-000285</t>
  </si>
  <si>
    <t>ORD-000286</t>
  </si>
  <si>
    <t>Lisa Johnson</t>
  </si>
  <si>
    <t>01/05/2026</t>
  </si>
  <si>
    <t>ORD-000287</t>
  </si>
  <si>
    <t>Steven Brown</t>
  </si>
  <si>
    <t>08/23/2025</t>
  </si>
  <si>
    <t>ORD-000288</t>
  </si>
  <si>
    <t>Matthew Gonzalez</t>
  </si>
  <si>
    <t>07/05/2026</t>
  </si>
  <si>
    <t>ORD-000289</t>
  </si>
  <si>
    <t>Paul Allen</t>
  </si>
  <si>
    <t>11/01/2024</t>
  </si>
  <si>
    <t>ORD-000290</t>
  </si>
  <si>
    <t>David Hill</t>
  </si>
  <si>
    <t>09/09/2026</t>
  </si>
  <si>
    <t>ORD-000291</t>
  </si>
  <si>
    <t>Joshua Harris</t>
  </si>
  <si>
    <t>06/17/2026</t>
  </si>
  <si>
    <t>ORD-000292</t>
  </si>
  <si>
    <t>Elizabeth Clark</t>
  </si>
  <si>
    <t>ORD-000293</t>
  </si>
  <si>
    <t>ORD-000294</t>
  </si>
  <si>
    <t>Sarah Young</t>
  </si>
  <si>
    <t>ORD-000295</t>
  </si>
  <si>
    <t>Patricia Nguyen</t>
  </si>
  <si>
    <t>ORD-000296</t>
  </si>
  <si>
    <t>Richard Smith</t>
  </si>
  <si>
    <t>01/16/2026</t>
  </si>
  <si>
    <t>ORD-000297</t>
  </si>
  <si>
    <t>James Walker</t>
  </si>
  <si>
    <t>ORD-000298</t>
  </si>
  <si>
    <t>Steven Clark</t>
  </si>
  <si>
    <t>ORD-000299</t>
  </si>
  <si>
    <t>Mary Brown</t>
  </si>
  <si>
    <t>04/07/2025</t>
  </si>
  <si>
    <t>ORD-000300</t>
  </si>
  <si>
    <t>Paul Thomas</t>
  </si>
  <si>
    <t>09/14/2025</t>
  </si>
  <si>
    <t>ORD-000301</t>
  </si>
  <si>
    <t>Barbara Thompson</t>
  </si>
  <si>
    <t>07/16/2025</t>
  </si>
  <si>
    <t>ORD-000302</t>
  </si>
  <si>
    <t>02/15/2025</t>
  </si>
  <si>
    <t>ORD-000303</t>
  </si>
  <si>
    <t>James Johnson</t>
  </si>
  <si>
    <t>10/09/2024</t>
  </si>
  <si>
    <t>ORD-000304</t>
  </si>
  <si>
    <t>Karen Harris</t>
  </si>
  <si>
    <t>ORD-000305</t>
  </si>
  <si>
    <t>Karen Scott</t>
  </si>
  <si>
    <t>ORD-000306</t>
  </si>
  <si>
    <t>William Walker</t>
  </si>
  <si>
    <t>03/03/2025</t>
  </si>
  <si>
    <t>ORD-000307</t>
  </si>
  <si>
    <t>Christopher Lopez</t>
  </si>
  <si>
    <t>02/11/2025</t>
  </si>
  <si>
    <t>ORD-000308</t>
  </si>
  <si>
    <t>Richard Jackson</t>
  </si>
  <si>
    <t>07/16/2026</t>
  </si>
  <si>
    <t>ORD-000309</t>
  </si>
  <si>
    <t>John Jackson</t>
  </si>
  <si>
    <t>06/09/2025</t>
  </si>
  <si>
    <t>ORD-000310</t>
  </si>
  <si>
    <t>James Hernandez</t>
  </si>
  <si>
    <t>03/10/2025</t>
  </si>
  <si>
    <t>ORD-000311</t>
  </si>
  <si>
    <t>Mary Garcia</t>
  </si>
  <si>
    <t>08/22/2025</t>
  </si>
  <si>
    <t>ORD-000312</t>
  </si>
  <si>
    <t>02/07/2025</t>
  </si>
  <si>
    <t>ORD-000313</t>
  </si>
  <si>
    <t>Emily Thomas</t>
  </si>
  <si>
    <t>ORD-000314</t>
  </si>
  <si>
    <t>Robert Thompson</t>
  </si>
  <si>
    <t>10/06/2025</t>
  </si>
  <si>
    <t>ORD-000315</t>
  </si>
  <si>
    <t>David Brown</t>
  </si>
  <si>
    <t>05/31/2025</t>
  </si>
  <si>
    <t>ORD-000316</t>
  </si>
  <si>
    <t>Sandra Anderson</t>
  </si>
  <si>
    <t>07/09/2026</t>
  </si>
  <si>
    <t>ORD-000317</t>
  </si>
  <si>
    <t>Thomas Martin</t>
  </si>
  <si>
    <t>09/15/2025</t>
  </si>
  <si>
    <t>ORD-000318</t>
  </si>
  <si>
    <t>ORD-000319</t>
  </si>
  <si>
    <t>Mark Rodriguez</t>
  </si>
  <si>
    <t>10/07/2025</t>
  </si>
  <si>
    <t>ORD-000320</t>
  </si>
  <si>
    <t>Sandra Wilson</t>
  </si>
  <si>
    <t>ORD-000321</t>
  </si>
  <si>
    <t>06/24/2026</t>
  </si>
  <si>
    <t>ORD-000322</t>
  </si>
  <si>
    <t>Mark Harris</t>
  </si>
  <si>
    <t>ORD-000323</t>
  </si>
  <si>
    <t>Emily Wright</t>
  </si>
  <si>
    <t>03/19/2025</t>
  </si>
  <si>
    <t>ORD-000324</t>
  </si>
  <si>
    <t>Emily Garcia</t>
  </si>
  <si>
    <t>11/13/2024</t>
  </si>
  <si>
    <t>ORD-000325</t>
  </si>
  <si>
    <t>Daniel King</t>
  </si>
  <si>
    <t>ORD-000326</t>
  </si>
  <si>
    <t>Andrew Young</t>
  </si>
  <si>
    <t>09/13/2025</t>
  </si>
  <si>
    <t>ORD-000327</t>
  </si>
  <si>
    <t>Dorothy Brown</t>
  </si>
  <si>
    <t>12/18/2025</t>
  </si>
  <si>
    <t>ORD-000328</t>
  </si>
  <si>
    <t>03/07/2025</t>
  </si>
  <si>
    <t>ORD-000329</t>
  </si>
  <si>
    <t>Mark Nguyen</t>
  </si>
  <si>
    <t>01/21/2026</t>
  </si>
  <si>
    <t>ORD-000330</t>
  </si>
  <si>
    <t>David Sanchez</t>
  </si>
  <si>
    <t>10/30/2024</t>
  </si>
  <si>
    <t>ORD-000331</t>
  </si>
  <si>
    <t>Ashley Harris</t>
  </si>
  <si>
    <t>11/07/2025</t>
  </si>
  <si>
    <t>ORD-000332</t>
  </si>
  <si>
    <t>Patricia Jackson</t>
  </si>
  <si>
    <t>02/08/2026</t>
  </si>
  <si>
    <t>ORD-000333</t>
  </si>
  <si>
    <t>Linda Martin</t>
  </si>
  <si>
    <t>ORD-000334</t>
  </si>
  <si>
    <t>Ashley Johnson</t>
  </si>
  <si>
    <t>ORD-000335</t>
  </si>
  <si>
    <t>ORD-000336</t>
  </si>
  <si>
    <t>Richard Garcia</t>
  </si>
  <si>
    <t>11/29/2025</t>
  </si>
  <si>
    <t>ORD-000337</t>
  </si>
  <si>
    <t>John Ramirez</t>
  </si>
  <si>
    <t>03/20/2026</t>
  </si>
  <si>
    <t>ORD-000338</t>
  </si>
  <si>
    <t>Matthew Ramirez</t>
  </si>
  <si>
    <t>ORD-000339</t>
  </si>
  <si>
    <t>Joshua Garcia</t>
  </si>
  <si>
    <t>ORD-000340</t>
  </si>
  <si>
    <t>James Perez</t>
  </si>
  <si>
    <t>ORD-000341</t>
  </si>
  <si>
    <t>11/23/2024</t>
  </si>
  <si>
    <t>ORD-000342</t>
  </si>
  <si>
    <t>Paul King</t>
  </si>
  <si>
    <t>08/23/2026</t>
  </si>
  <si>
    <t>ORD-000343</t>
  </si>
  <si>
    <t>Barbara Moore</t>
  </si>
  <si>
    <t>08/19/2025</t>
  </si>
  <si>
    <t>ORD-000344</t>
  </si>
  <si>
    <t>Donald Martin</t>
  </si>
  <si>
    <t>ORD-000345</t>
  </si>
  <si>
    <t>Christopher Wilson</t>
  </si>
  <si>
    <t>ORD-000346</t>
  </si>
  <si>
    <t>Patricia Brown</t>
  </si>
  <si>
    <t>09/04/2025</t>
  </si>
  <si>
    <t>ORD-000347</t>
  </si>
  <si>
    <t>Margaret Davis</t>
  </si>
  <si>
    <t>ORD-000348</t>
  </si>
  <si>
    <t>Barbara Smith</t>
  </si>
  <si>
    <t>ORD-000349</t>
  </si>
  <si>
    <t>Steven Scott</t>
  </si>
  <si>
    <t>10/28/2024</t>
  </si>
  <si>
    <t>ORD-000350</t>
  </si>
  <si>
    <t>Donald Allen</t>
  </si>
  <si>
    <t>ORD-000351</t>
  </si>
  <si>
    <t>Joseph Ramirez</t>
  </si>
  <si>
    <t>11/06/2025</t>
  </si>
  <si>
    <t>ORD-000352</t>
  </si>
  <si>
    <t>12/08/2025</t>
  </si>
  <si>
    <t>ORD-000353</t>
  </si>
  <si>
    <t>Steven Flores</t>
  </si>
  <si>
    <t>07/28/2025</t>
  </si>
  <si>
    <t>ORD-000354</t>
  </si>
  <si>
    <t>Joshua Lopez</t>
  </si>
  <si>
    <t>05/24/2025</t>
  </si>
  <si>
    <t>ORD-000355</t>
  </si>
  <si>
    <t>William Wright</t>
  </si>
  <si>
    <t>08/31/2025</t>
  </si>
  <si>
    <t>ORD-000356</t>
  </si>
  <si>
    <t>Sarah Garcia</t>
  </si>
  <si>
    <t>ORD-000357</t>
  </si>
  <si>
    <t>Susan Robinson</t>
  </si>
  <si>
    <t>ORD-000358</t>
  </si>
  <si>
    <t>ORD-000359</t>
  </si>
  <si>
    <t>08/28/2026</t>
  </si>
  <si>
    <t>ORD-000360</t>
  </si>
  <si>
    <t>10/06/2026</t>
  </si>
  <si>
    <t>ORD-000361</t>
  </si>
  <si>
    <t>04/03/2026</t>
  </si>
  <si>
    <t>ORD-000362</t>
  </si>
  <si>
    <t>Donald Flores</t>
  </si>
  <si>
    <t>ORD-000363</t>
  </si>
  <si>
    <t>07/19/2026</t>
  </si>
  <si>
    <t>ORD-000364</t>
  </si>
  <si>
    <t>12/23/2025</t>
  </si>
  <si>
    <t>ORD-000365</t>
  </si>
  <si>
    <t>Thomas Jones</t>
  </si>
  <si>
    <t>01/04/2025</t>
  </si>
  <si>
    <t>ORD-000366</t>
  </si>
  <si>
    <t>John Flores</t>
  </si>
  <si>
    <t>06/20/2025</t>
  </si>
  <si>
    <t>ORD-000367</t>
  </si>
  <si>
    <t>Donna White</t>
  </si>
  <si>
    <t>12/06/2025</t>
  </si>
  <si>
    <t>ORD-000368</t>
  </si>
  <si>
    <t>ORD-000369</t>
  </si>
  <si>
    <t>Linda Thompson</t>
  </si>
  <si>
    <t>06/18/2026</t>
  </si>
  <si>
    <t>ORD-000370</t>
  </si>
  <si>
    <t>12/10/2025</t>
  </si>
  <si>
    <t>ORD-000371</t>
  </si>
  <si>
    <t>Daniel Wilson</t>
  </si>
  <si>
    <t>ORD-000372</t>
  </si>
  <si>
    <t>Charles Lee</t>
  </si>
  <si>
    <t>07/10/2026</t>
  </si>
  <si>
    <t>ORD-000373</t>
  </si>
  <si>
    <t>John Lee</t>
  </si>
  <si>
    <t>ORD-000374</t>
  </si>
  <si>
    <t>10/19/2025</t>
  </si>
  <si>
    <t>ORD-000375</t>
  </si>
  <si>
    <t>David Harris</t>
  </si>
  <si>
    <t>ORD-000376</t>
  </si>
  <si>
    <t>Emily Moore</t>
  </si>
  <si>
    <t>04/22/2025</t>
  </si>
  <si>
    <t>ORD-000377</t>
  </si>
  <si>
    <t>David Jones</t>
  </si>
  <si>
    <t>ORD-000378</t>
  </si>
  <si>
    <t>Lisa White</t>
  </si>
  <si>
    <t>01/08/2025</t>
  </si>
  <si>
    <t>ORD-000379</t>
  </si>
  <si>
    <t>Robert Young</t>
  </si>
  <si>
    <t>12/24/2024</t>
  </si>
  <si>
    <t>ORD-000380</t>
  </si>
  <si>
    <t>Andrew King</t>
  </si>
  <si>
    <t>07/13/2026</t>
  </si>
  <si>
    <t>ORD-000381</t>
  </si>
  <si>
    <t>Anthony Torres</t>
  </si>
  <si>
    <t>01/27/2025</t>
  </si>
  <si>
    <t>ORD-000382</t>
  </si>
  <si>
    <t>Patricia Lopez</t>
  </si>
  <si>
    <t>ORD-000383</t>
  </si>
  <si>
    <t>Barbara Wilson</t>
  </si>
  <si>
    <t>ORD-000384</t>
  </si>
  <si>
    <t>Anthony Walker</t>
  </si>
  <si>
    <t>11/05/2024</t>
  </si>
  <si>
    <t>ORD-000385</t>
  </si>
  <si>
    <t>Steven Lopez</t>
  </si>
  <si>
    <t>ORD-000386</t>
  </si>
  <si>
    <t>David Anderson</t>
  </si>
  <si>
    <t>02/21/2025</t>
  </si>
  <si>
    <t>ORD-000387</t>
  </si>
  <si>
    <t>Jessica Allen</t>
  </si>
  <si>
    <t>12/12/2025</t>
  </si>
  <si>
    <t>ORD-000388</t>
  </si>
  <si>
    <t>Steven Lewis</t>
  </si>
  <si>
    <t>06/04/2025</t>
  </si>
  <si>
    <t>ORD-000389</t>
  </si>
  <si>
    <t>Sarah King</t>
  </si>
  <si>
    <t>04/04/2026</t>
  </si>
  <si>
    <t>ORD-000390</t>
  </si>
  <si>
    <t>ORD-000391</t>
  </si>
  <si>
    <t>07/27/2025</t>
  </si>
  <si>
    <t>ORD-000392</t>
  </si>
  <si>
    <t>Linda Johnson</t>
  </si>
  <si>
    <t>07/22/2025</t>
  </si>
  <si>
    <t>ORD-000393</t>
  </si>
  <si>
    <t>Lisa Taylor</t>
  </si>
  <si>
    <t>10/15/2025</t>
  </si>
  <si>
    <t>ORD-000394</t>
  </si>
  <si>
    <t>Richard Anderson</t>
  </si>
  <si>
    <t>04/06/2025</t>
  </si>
  <si>
    <t>ORD-000395</t>
  </si>
  <si>
    <t>William Martinez</t>
  </si>
  <si>
    <t>ORD-000396</t>
  </si>
  <si>
    <t>Ashley Lewis</t>
  </si>
  <si>
    <t>12/20/2025</t>
  </si>
  <si>
    <t>ORD-000397</t>
  </si>
  <si>
    <t>Patricia Martinez</t>
  </si>
  <si>
    <t>08/27/2025</t>
  </si>
  <si>
    <t>ORD-000398</t>
  </si>
  <si>
    <t>Christopher Clark</t>
  </si>
  <si>
    <t>09/30/2026</t>
  </si>
  <si>
    <t>ORD-000399</t>
  </si>
  <si>
    <t>ORD-000400</t>
  </si>
  <si>
    <t>Jennifer Lee</t>
  </si>
  <si>
    <t>04/01/2025</t>
  </si>
  <si>
    <t>ORD-000401</t>
  </si>
  <si>
    <t>Margaret King</t>
  </si>
  <si>
    <t>ORD-000402</t>
  </si>
  <si>
    <t>William Thompson</t>
  </si>
  <si>
    <t>ORD-000403</t>
  </si>
  <si>
    <t>Andrew Rodriguez</t>
  </si>
  <si>
    <t>03/17/2026</t>
  </si>
  <si>
    <t>ORD-000404</t>
  </si>
  <si>
    <t>Andrew Johnson</t>
  </si>
  <si>
    <t>ORD-000405</t>
  </si>
  <si>
    <t>Jessica Thomas</t>
  </si>
  <si>
    <t>08/03/2025</t>
  </si>
  <si>
    <t>ORD-000406</t>
  </si>
  <si>
    <t>William Sanchez</t>
  </si>
  <si>
    <t>ORD-000407</t>
  </si>
  <si>
    <t>Sandra White</t>
  </si>
  <si>
    <t>ORD-000408</t>
  </si>
  <si>
    <t>Sarah Harris</t>
  </si>
  <si>
    <t>09/26/2026</t>
  </si>
  <si>
    <t>ORD-000409</t>
  </si>
  <si>
    <t>Anthony Ramirez</t>
  </si>
  <si>
    <t>ORD-000410</t>
  </si>
  <si>
    <t>John King</t>
  </si>
  <si>
    <t>04/09/2025</t>
  </si>
  <si>
    <t>ORD-000411</t>
  </si>
  <si>
    <t>Sandra Taylor</t>
  </si>
  <si>
    <t>03/06/2026</t>
  </si>
  <si>
    <t>ORD-000412</t>
  </si>
  <si>
    <t>Jessica Gonzalez</t>
  </si>
  <si>
    <t>04/13/2025</t>
  </si>
  <si>
    <t>ORD-000413</t>
  </si>
  <si>
    <t>Charles Ramirez</t>
  </si>
  <si>
    <t>05/19/2026</t>
  </si>
  <si>
    <t>ORD-000414</t>
  </si>
  <si>
    <t>David Young</t>
  </si>
  <si>
    <t>ORD-000415</t>
  </si>
  <si>
    <t>ORD-000416</t>
  </si>
  <si>
    <t>Jennifer Sanchez</t>
  </si>
  <si>
    <t>ORD-000417</t>
  </si>
  <si>
    <t>Margaret Torres</t>
  </si>
  <si>
    <t>ORD-000418</t>
  </si>
  <si>
    <t>ORD-000419</t>
  </si>
  <si>
    <t>John Gonzalez</t>
  </si>
  <si>
    <t>05/11/2026</t>
  </si>
  <si>
    <t>ORD-000420</t>
  </si>
  <si>
    <t>ORD-000421</t>
  </si>
  <si>
    <t>Susan Walker</t>
  </si>
  <si>
    <t>02/27/2026</t>
  </si>
  <si>
    <t>ORD-000422</t>
  </si>
  <si>
    <t>Robert Wright</t>
  </si>
  <si>
    <t>12/24/2025</t>
  </si>
  <si>
    <t>ORD-000423</t>
  </si>
  <si>
    <t>Mary Smith</t>
  </si>
  <si>
    <t>06/10/2026</t>
  </si>
  <si>
    <t>ORD-000424</t>
  </si>
  <si>
    <t>Sandra Torres</t>
  </si>
  <si>
    <t>ORD-000425</t>
  </si>
  <si>
    <t>Lisa Garcia</t>
  </si>
  <si>
    <t>04/24/2026</t>
  </si>
  <si>
    <t>ORD-000426</t>
  </si>
  <si>
    <t>Karen Rodriguez</t>
  </si>
  <si>
    <t>08/29/2025</t>
  </si>
  <si>
    <t>ORD-000427</t>
  </si>
  <si>
    <t>ORD-000428</t>
  </si>
  <si>
    <t>Elizabeth Ramirez</t>
  </si>
  <si>
    <t>ORD-000429</t>
  </si>
  <si>
    <t>07/25/2025</t>
  </si>
  <si>
    <t>ORD-000430</t>
  </si>
  <si>
    <t>Sarah Scott</t>
  </si>
  <si>
    <t>ORD-000431</t>
  </si>
  <si>
    <t>Sarah Martin</t>
  </si>
  <si>
    <t>09/29/2026</t>
  </si>
  <si>
    <t>ORD-000432</t>
  </si>
  <si>
    <t>05/11/2025</t>
  </si>
  <si>
    <t>ORD-000433</t>
  </si>
  <si>
    <t>Charles Flores</t>
  </si>
  <si>
    <t>ORD-000434</t>
  </si>
  <si>
    <t>Donald Lopez</t>
  </si>
  <si>
    <t>ORD-000435</t>
  </si>
  <si>
    <t>Linda Nguyen</t>
  </si>
  <si>
    <t>02/23/2026</t>
  </si>
  <si>
    <t>ORD-000436</t>
  </si>
  <si>
    <t>Sandra Perez</t>
  </si>
  <si>
    <t>ORD-000437</t>
  </si>
  <si>
    <t>Matthew King</t>
  </si>
  <si>
    <t>ORD-000438</t>
  </si>
  <si>
    <t>William Scott</t>
  </si>
  <si>
    <t>02/22/2025</t>
  </si>
  <si>
    <t>ORD-000439</t>
  </si>
  <si>
    <t>Kimberly Sanchez</t>
  </si>
  <si>
    <t>ORD-000440</t>
  </si>
  <si>
    <t>Sarah White</t>
  </si>
  <si>
    <t>ORD-000441</t>
  </si>
  <si>
    <t>09/28/2026</t>
  </si>
  <si>
    <t>ORD-000442</t>
  </si>
  <si>
    <t>03/21/2025</t>
  </si>
  <si>
    <t>ORD-000443</t>
  </si>
  <si>
    <t>Karen Brown</t>
  </si>
  <si>
    <t>02/28/2026</t>
  </si>
  <si>
    <t>ORD-000444</t>
  </si>
  <si>
    <t>Karen Jones</t>
  </si>
  <si>
    <t>07/24/2025</t>
  </si>
  <si>
    <t>ORD-000445</t>
  </si>
  <si>
    <t>04/16/2026</t>
  </si>
  <si>
    <t>ORD-000446</t>
  </si>
  <si>
    <t>David Thomas</t>
  </si>
  <si>
    <t>ORD-000447</t>
  </si>
  <si>
    <t>Robert King</t>
  </si>
  <si>
    <t>ORD-000448</t>
  </si>
  <si>
    <t>Nancy Moore</t>
  </si>
  <si>
    <t>11/28/2025</t>
  </si>
  <si>
    <t>ORD-000449</t>
  </si>
  <si>
    <t>David Gonzalez</t>
  </si>
  <si>
    <t>ORD-000450</t>
  </si>
  <si>
    <t>Dorothy Wilson</t>
  </si>
  <si>
    <t>06/13/2025</t>
  </si>
  <si>
    <t>ORD-000451</t>
  </si>
  <si>
    <t>09/04/2026</t>
  </si>
  <si>
    <t>ORD-000452</t>
  </si>
  <si>
    <t>Dorothy Jones</t>
  </si>
  <si>
    <t>ORD-000453</t>
  </si>
  <si>
    <t>Paul Brown</t>
  </si>
  <si>
    <t>07/10/2025</t>
  </si>
  <si>
    <t>ORD-000454</t>
  </si>
  <si>
    <t>David King</t>
  </si>
  <si>
    <t>ORD-000455</t>
  </si>
  <si>
    <t>Elizabeth Hill</t>
  </si>
  <si>
    <t>ORD-000456</t>
  </si>
  <si>
    <t>Robert Garcia</t>
  </si>
  <si>
    <t>06/27/2025</t>
  </si>
  <si>
    <t>ORD-000457</t>
  </si>
  <si>
    <t>Kimberly Davis</t>
  </si>
  <si>
    <t>ORD-000458</t>
  </si>
  <si>
    <t>Dorothy Smith</t>
  </si>
  <si>
    <t>ORD-000459</t>
  </si>
  <si>
    <t>Kimberly Scott</t>
  </si>
  <si>
    <t>01/20/2025</t>
  </si>
  <si>
    <t>ORD-000460</t>
  </si>
  <si>
    <t>Ashley Rodriguez</t>
  </si>
  <si>
    <t>04/21/2026</t>
  </si>
  <si>
    <t>ORD-000461</t>
  </si>
  <si>
    <t>Matthew Rodriguez</t>
  </si>
  <si>
    <t>10/13/2025</t>
  </si>
  <si>
    <t>ORD-000462</t>
  </si>
  <si>
    <t>Donald Martinez</t>
  </si>
  <si>
    <t>ORD-000463</t>
  </si>
  <si>
    <t>Lisa Martinez</t>
  </si>
  <si>
    <t>ORD-000464</t>
  </si>
  <si>
    <t>Elizabeth King</t>
  </si>
  <si>
    <t>12/08/2024</t>
  </si>
  <si>
    <t>ORD-000465</t>
  </si>
  <si>
    <t>ORD-000466</t>
  </si>
  <si>
    <t>11/09/2025</t>
  </si>
  <si>
    <t>ORD-000467</t>
  </si>
  <si>
    <t>Linda Rodriguez</t>
  </si>
  <si>
    <t>05/10/2026</t>
  </si>
  <si>
    <t>ORD-000468</t>
  </si>
  <si>
    <t>Karen Walker</t>
  </si>
  <si>
    <t>ORD-000469</t>
  </si>
  <si>
    <t>Ashley Flores</t>
  </si>
  <si>
    <t>10/31/2025</t>
  </si>
  <si>
    <t>ORD-000470</t>
  </si>
  <si>
    <t>01/06/2026</t>
  </si>
  <si>
    <t>ORD-000471</t>
  </si>
  <si>
    <t>Anthony Hernandez</t>
  </si>
  <si>
    <t>11/20/2024</t>
  </si>
  <si>
    <t>ORD-000472</t>
  </si>
  <si>
    <t>Patricia Taylor</t>
  </si>
  <si>
    <t>11/04/2024</t>
  </si>
  <si>
    <t>ORD-000473</t>
  </si>
  <si>
    <t>06/12/2025</t>
  </si>
  <si>
    <t>ORD-000474</t>
  </si>
  <si>
    <t>Barbara Ramirez</t>
  </si>
  <si>
    <t>ORD-000475</t>
  </si>
  <si>
    <t>Donna Flores</t>
  </si>
  <si>
    <t>ORD-000476</t>
  </si>
  <si>
    <t>Barbara King</t>
  </si>
  <si>
    <t>ORD-000477</t>
  </si>
  <si>
    <t>Joshua Lee</t>
  </si>
  <si>
    <t>04/18/2025</t>
  </si>
  <si>
    <t>ORD-000478</t>
  </si>
  <si>
    <t>Richard Robinson</t>
  </si>
  <si>
    <t>04/30/2025</t>
  </si>
  <si>
    <t>ORD-000479</t>
  </si>
  <si>
    <t>Mark Hill</t>
  </si>
  <si>
    <t>ORD-000480</t>
  </si>
  <si>
    <t>Michael Torres</t>
  </si>
  <si>
    <t>11/30/2025</t>
  </si>
  <si>
    <t>ORD-000481</t>
  </si>
  <si>
    <t>Kimberly Hernandez</t>
  </si>
  <si>
    <t>ORD-000482</t>
  </si>
  <si>
    <t>Jessica Rodriguez</t>
  </si>
  <si>
    <t>04/17/2026</t>
  </si>
  <si>
    <t>ORD-000483</t>
  </si>
  <si>
    <t>Charles Walker</t>
  </si>
  <si>
    <t>05/14/2026</t>
  </si>
  <si>
    <t>ORD-000484</t>
  </si>
  <si>
    <t>Richard Allen</t>
  </si>
  <si>
    <t>ORD-000485</t>
  </si>
  <si>
    <t>Thomas Allen</t>
  </si>
  <si>
    <t>05/09/2026</t>
  </si>
  <si>
    <t>ORD-000486</t>
  </si>
  <si>
    <t>Mary Young</t>
  </si>
  <si>
    <t>ORD-000487</t>
  </si>
  <si>
    <t>ORD-000488</t>
  </si>
  <si>
    <t>Margaret Anderson</t>
  </si>
  <si>
    <t>ORD-000489</t>
  </si>
  <si>
    <t>Richard Thomas</t>
  </si>
  <si>
    <t>ORD-000490</t>
  </si>
  <si>
    <t>Matthew Thompson</t>
  </si>
  <si>
    <t>11/26/2024</t>
  </si>
  <si>
    <t>ORD-000491</t>
  </si>
  <si>
    <t>Sarah Moore</t>
  </si>
  <si>
    <t>12/31/2024</t>
  </si>
  <si>
    <t>ORD-000492</t>
  </si>
  <si>
    <t>ORD-000493</t>
  </si>
  <si>
    <t>Jessica Scott</t>
  </si>
  <si>
    <t>ORD-000494</t>
  </si>
  <si>
    <t>Thomas Moore</t>
  </si>
  <si>
    <t>06/09/2026</t>
  </si>
  <si>
    <t>ORD-000495</t>
  </si>
  <si>
    <t>Joseph Torres</t>
  </si>
  <si>
    <t>ORD-000496</t>
  </si>
  <si>
    <t>Richard Clark</t>
  </si>
  <si>
    <t>08/07/2025</t>
  </si>
  <si>
    <t>ORD-000497</t>
  </si>
  <si>
    <t>Mary Taylor</t>
  </si>
  <si>
    <t>12/30/2024</t>
  </si>
  <si>
    <t>ORD-000498</t>
  </si>
  <si>
    <t>07/05/2025</t>
  </si>
  <si>
    <t>ORD-000499</t>
  </si>
  <si>
    <t>01/22/2026</t>
  </si>
  <si>
    <t>ORD-000500</t>
  </si>
  <si>
    <t>Michael Martin</t>
  </si>
  <si>
    <t>ORD-000501</t>
  </si>
  <si>
    <t>Dorothy Nguyen</t>
  </si>
  <si>
    <t>12/26/2025</t>
  </si>
  <si>
    <t>ORD-000502</t>
  </si>
  <si>
    <t>Donald Lee</t>
  </si>
  <si>
    <t>ORD-000503</t>
  </si>
  <si>
    <t>Robert Harris</t>
  </si>
  <si>
    <t>ORD-000504</t>
  </si>
  <si>
    <t>09/23/2025</t>
  </si>
  <si>
    <t>ORD-000505</t>
  </si>
  <si>
    <t>07/30/2025</t>
  </si>
  <si>
    <t>ORD-000506</t>
  </si>
  <si>
    <t>John Perez</t>
  </si>
  <si>
    <t>02/13/2026</t>
  </si>
  <si>
    <t>ORD-000507</t>
  </si>
  <si>
    <t>ORD-000508</t>
  </si>
  <si>
    <t>06/28/2026</t>
  </si>
  <si>
    <t>ORD-000509</t>
  </si>
  <si>
    <t>Elizabeth Thomas</t>
  </si>
  <si>
    <t>11/16/2025</t>
  </si>
  <si>
    <t>ORD-000510</t>
  </si>
  <si>
    <t>Dorothy Rodriguez</t>
  </si>
  <si>
    <t>ORD-000511</t>
  </si>
  <si>
    <t>Michael Smith</t>
  </si>
  <si>
    <t>06/11/2026</t>
  </si>
  <si>
    <t>ORD-000512</t>
  </si>
  <si>
    <t>Joshua Brown</t>
  </si>
  <si>
    <t>ORD-000513</t>
  </si>
  <si>
    <t>Susan Nguyen</t>
  </si>
  <si>
    <t>ORD-000514</t>
  </si>
  <si>
    <t>Joseph Clark</t>
  </si>
  <si>
    <t>ORD-000515</t>
  </si>
  <si>
    <t>ORD-000516</t>
  </si>
  <si>
    <t>01/03/2025</t>
  </si>
  <si>
    <t>ORD-000517</t>
  </si>
  <si>
    <t>Donna Torres</t>
  </si>
  <si>
    <t>01/24/2026</t>
  </si>
  <si>
    <t>ORD-000518</t>
  </si>
  <si>
    <t>William Johnson</t>
  </si>
  <si>
    <t>ORD-000519</t>
  </si>
  <si>
    <t>Richard Lee</t>
  </si>
  <si>
    <t>12/07/2024</t>
  </si>
  <si>
    <t>ORD-000520</t>
  </si>
  <si>
    <t>06/07/2025</t>
  </si>
  <si>
    <t>ORD-000521</t>
  </si>
  <si>
    <t>Joseph Thompson</t>
  </si>
  <si>
    <t>ORD-000522</t>
  </si>
  <si>
    <t>William Allen</t>
  </si>
  <si>
    <t>01/14/2025</t>
  </si>
  <si>
    <t>ORD-000523</t>
  </si>
  <si>
    <t>06/28/2025</t>
  </si>
  <si>
    <t>ORD-000524</t>
  </si>
  <si>
    <t>ORD-000525</t>
  </si>
  <si>
    <t>04/25/2025</t>
  </si>
  <si>
    <t>ORD-000526</t>
  </si>
  <si>
    <t>Linda Martinez</t>
  </si>
  <si>
    <t>ORD-000527</t>
  </si>
  <si>
    <t>Thomas Sanchez</t>
  </si>
  <si>
    <t>02/13/2025</t>
  </si>
  <si>
    <t>ORD-000528</t>
  </si>
  <si>
    <t>Donald Williams</t>
  </si>
  <si>
    <t>ORD-000529</t>
  </si>
  <si>
    <t>Charles Thompson</t>
  </si>
  <si>
    <t>04/16/2025</t>
  </si>
  <si>
    <t>ORD-000530</t>
  </si>
  <si>
    <t>Thomas Thompson</t>
  </si>
  <si>
    <t>ORD-000531</t>
  </si>
  <si>
    <t>Dorothy Wright</t>
  </si>
  <si>
    <t>ORD-000532</t>
  </si>
  <si>
    <t>Richard Ramirez</t>
  </si>
  <si>
    <t>ORD-000533</t>
  </si>
  <si>
    <t>Daniel Torres</t>
  </si>
  <si>
    <t>ORD-000534</t>
  </si>
  <si>
    <t>02/12/2025</t>
  </si>
  <si>
    <t>ORD-000535</t>
  </si>
  <si>
    <t>Thomas Lewis</t>
  </si>
  <si>
    <t>09/12/2026</t>
  </si>
  <si>
    <t>ORD-000536</t>
  </si>
  <si>
    <t>01/07/2026</t>
  </si>
  <si>
    <t>ORD-000537</t>
  </si>
  <si>
    <t>James Davis</t>
  </si>
  <si>
    <t>10/13/2024</t>
  </si>
  <si>
    <t>ORD-000538</t>
  </si>
  <si>
    <t>Lisa Jones</t>
  </si>
  <si>
    <t>ORD-000539</t>
  </si>
  <si>
    <t>Barbara Harris</t>
  </si>
  <si>
    <t>ORD-000540</t>
  </si>
  <si>
    <t>Mary Sanchez</t>
  </si>
  <si>
    <t>ORD-000541</t>
  </si>
  <si>
    <t>Sarah Sanchez</t>
  </si>
  <si>
    <t>02/11/2026</t>
  </si>
  <si>
    <t>ORD-000542</t>
  </si>
  <si>
    <t>Nancy Williams</t>
  </si>
  <si>
    <t>03/05/2025</t>
  </si>
  <si>
    <t>ORD-000543</t>
  </si>
  <si>
    <t>09/17/2025</t>
  </si>
  <si>
    <t>ORD-000544</t>
  </si>
  <si>
    <t>William Rodriguez</t>
  </si>
  <si>
    <t>06/21/2025</t>
  </si>
  <si>
    <t>ORD-000545</t>
  </si>
  <si>
    <t>ORD-000546</t>
  </si>
  <si>
    <t>Elizabeth Davis</t>
  </si>
  <si>
    <t>03/25/2026</t>
  </si>
  <si>
    <t>ORD-000547</t>
  </si>
  <si>
    <t>Daniel Sanchez</t>
  </si>
  <si>
    <t>ORD-000548</t>
  </si>
  <si>
    <t>Linda Taylor</t>
  </si>
  <si>
    <t>ORD-000549</t>
  </si>
  <si>
    <t>Steven Taylor</t>
  </si>
  <si>
    <t>ORD-000550</t>
  </si>
  <si>
    <t>ORD-000551</t>
  </si>
  <si>
    <t>Margaret Walker</t>
  </si>
  <si>
    <t>ORD-000552</t>
  </si>
  <si>
    <t>ORD-000553</t>
  </si>
  <si>
    <t>David Williams</t>
  </si>
  <si>
    <t>ORD-000554</t>
  </si>
  <si>
    <t>Steven Harris</t>
  </si>
  <si>
    <t>ORD-000555</t>
  </si>
  <si>
    <t>Jennifer Lewis</t>
  </si>
  <si>
    <t>ORD-000556</t>
  </si>
  <si>
    <t>ORD-000557</t>
  </si>
  <si>
    <t>Dorothy Thomas</t>
  </si>
  <si>
    <t>ORD-000558</t>
  </si>
  <si>
    <t>ORD-000559</t>
  </si>
  <si>
    <t>Matthew Harris</t>
  </si>
  <si>
    <t>11/06/2024</t>
  </si>
  <si>
    <t>ORD-000560</t>
  </si>
  <si>
    <t>Joseph Johnson</t>
  </si>
  <si>
    <t>ORD-000561</t>
  </si>
  <si>
    <t>07/08/2025</t>
  </si>
  <si>
    <t>ORD-000562</t>
  </si>
  <si>
    <t>Andrew Lee</t>
  </si>
  <si>
    <t>ORD-000563</t>
  </si>
  <si>
    <t>Matthew Torres</t>
  </si>
  <si>
    <t>ORD-000564</t>
  </si>
  <si>
    <t>ORD-000565</t>
  </si>
  <si>
    <t>Paul Moore</t>
  </si>
  <si>
    <t>07/01/2025</t>
  </si>
  <si>
    <t>ORD-000566</t>
  </si>
  <si>
    <t>Daniel Robinson</t>
  </si>
  <si>
    <t>12/18/2024</t>
  </si>
  <si>
    <t>ORD-000567</t>
  </si>
  <si>
    <t>Steven King</t>
  </si>
  <si>
    <t>ORD-000568</t>
  </si>
  <si>
    <t>Dorothy Robinson</t>
  </si>
  <si>
    <t>08/18/2025</t>
  </si>
  <si>
    <t>ORD-000569</t>
  </si>
  <si>
    <t>07/17/2026</t>
  </si>
  <si>
    <t>ORD-000570</t>
  </si>
  <si>
    <t>Matthew Nguyen</t>
  </si>
  <si>
    <t>ORD-000571</t>
  </si>
  <si>
    <t>Matthew Lewis</t>
  </si>
  <si>
    <t>10/05/2026</t>
  </si>
  <si>
    <t>ORD-000572</t>
  </si>
  <si>
    <t>Kimberly Jackson</t>
  </si>
  <si>
    <t>ORD-000573</t>
  </si>
  <si>
    <t>07/12/2025</t>
  </si>
  <si>
    <t>ORD-000574</t>
  </si>
  <si>
    <t>David Martin</t>
  </si>
  <si>
    <t>ORD-000575</t>
  </si>
  <si>
    <t>Ashley Thomas</t>
  </si>
  <si>
    <t>10/11/2025</t>
  </si>
  <si>
    <t>ORD-000576</t>
  </si>
  <si>
    <t>Daniel Garcia</t>
  </si>
  <si>
    <t>ORD-000577</t>
  </si>
  <si>
    <t>Betty Flores</t>
  </si>
  <si>
    <t>07/13/2025</t>
  </si>
  <si>
    <t>ORD-000578</t>
  </si>
  <si>
    <t>David Torres</t>
  </si>
  <si>
    <t>05/08/2026</t>
  </si>
  <si>
    <t>ORD-000579</t>
  </si>
  <si>
    <t>01/01/2025</t>
  </si>
  <si>
    <t>ORD-000580</t>
  </si>
  <si>
    <t>Betty Torres</t>
  </si>
  <si>
    <t>04/12/2026</t>
  </si>
  <si>
    <t>ORD-000581</t>
  </si>
  <si>
    <t>Donald Torres</t>
  </si>
  <si>
    <t>ORD-000582</t>
  </si>
  <si>
    <t>Michael Wilson</t>
  </si>
  <si>
    <t>12/17/2024</t>
  </si>
  <si>
    <t>ORD-000583</t>
  </si>
  <si>
    <t>ORD-000584</t>
  </si>
  <si>
    <t>ORD-000585</t>
  </si>
  <si>
    <t>12/10/2024</t>
  </si>
  <si>
    <t>ORD-000586</t>
  </si>
  <si>
    <t>Sarah Johnson</t>
  </si>
  <si>
    <t>ORD-000587</t>
  </si>
  <si>
    <t>Patricia Torres</t>
  </si>
  <si>
    <t>10/29/2024</t>
  </si>
  <si>
    <t>ORD-000588</t>
  </si>
  <si>
    <t>Anthony Lopez</t>
  </si>
  <si>
    <t>06/24/2025</t>
  </si>
  <si>
    <t>ORD-000589</t>
  </si>
  <si>
    <t>ORD-000590</t>
  </si>
  <si>
    <t>Thomas White</t>
  </si>
  <si>
    <t>08/03/2026</t>
  </si>
  <si>
    <t>ORD-000591</t>
  </si>
  <si>
    <t>Mary Williams</t>
  </si>
  <si>
    <t>ORD-000592</t>
  </si>
  <si>
    <t>Jennifer Harris</t>
  </si>
  <si>
    <t>11/25/2025</t>
  </si>
  <si>
    <t>ORD-000593</t>
  </si>
  <si>
    <t>Donna Rodriguez</t>
  </si>
  <si>
    <t>ORD-000594</t>
  </si>
  <si>
    <t>Anthony Taylor</t>
  </si>
  <si>
    <t>ORD-000595</t>
  </si>
  <si>
    <t>Nancy Allen</t>
  </si>
  <si>
    <t>11/27/2025</t>
  </si>
  <si>
    <t>ORD-000596</t>
  </si>
  <si>
    <t>11/21/2024</t>
  </si>
  <si>
    <t>ORD-000597</t>
  </si>
  <si>
    <t>ORD-000598</t>
  </si>
  <si>
    <t>07/31/2026</t>
  </si>
  <si>
    <t>ORD-000599</t>
  </si>
  <si>
    <t>02/19/2025</t>
  </si>
  <si>
    <t>ORD-000600</t>
  </si>
  <si>
    <t>Mark Brown</t>
  </si>
  <si>
    <t>01/14/2026</t>
  </si>
  <si>
    <t>ORD-000601</t>
  </si>
  <si>
    <t>Thomas Johnson</t>
  </si>
  <si>
    <t>ORD-000602</t>
  </si>
  <si>
    <t>ORD-000603</t>
  </si>
  <si>
    <t>Joshua Smith</t>
  </si>
  <si>
    <t>09/06/2025</t>
  </si>
  <si>
    <t>ORD-000604</t>
  </si>
  <si>
    <t>10/27/2024</t>
  </si>
  <si>
    <t>ORD-000605</t>
  </si>
  <si>
    <t>Richard Davis</t>
  </si>
  <si>
    <t>12/02/2024</t>
  </si>
  <si>
    <t>ORD-000606</t>
  </si>
  <si>
    <t>Joshua White</t>
  </si>
  <si>
    <t>ORD-000607</t>
  </si>
  <si>
    <t>ORD-000608</t>
  </si>
  <si>
    <t>02/19/2026</t>
  </si>
  <si>
    <t>ORD-000609</t>
  </si>
  <si>
    <t>ORD-000610</t>
  </si>
  <si>
    <t>Patricia Wright</t>
  </si>
  <si>
    <t>01/25/2026</t>
  </si>
  <si>
    <t>ORD-000611</t>
  </si>
  <si>
    <t>08/30/2025</t>
  </si>
  <si>
    <t>ORD-000612</t>
  </si>
  <si>
    <t>Linda Ramirez</t>
  </si>
  <si>
    <t>ORD-000613</t>
  </si>
  <si>
    <t>02/09/2026</t>
  </si>
  <si>
    <t>ORD-000614</t>
  </si>
  <si>
    <t>Nancy Lopez</t>
  </si>
  <si>
    <t>12/07/2025</t>
  </si>
  <si>
    <t>ORD-000615</t>
  </si>
  <si>
    <t>Kimberly Ramirez</t>
  </si>
  <si>
    <t>ORD-000616</t>
  </si>
  <si>
    <t>Donald Gonzalez</t>
  </si>
  <si>
    <t>ORD-000617</t>
  </si>
  <si>
    <t>ORD-000618</t>
  </si>
  <si>
    <t>Joshua Jackson</t>
  </si>
  <si>
    <t>ORD-000619</t>
  </si>
  <si>
    <t>Joshua Martin</t>
  </si>
  <si>
    <t>ORD-000620</t>
  </si>
  <si>
    <t>ORD-000621</t>
  </si>
  <si>
    <t>ORD-000622</t>
  </si>
  <si>
    <t>Steven Johnson</t>
  </si>
  <si>
    <t>ORD-000623</t>
  </si>
  <si>
    <t>Mary Clark</t>
  </si>
  <si>
    <t>ORD-000624</t>
  </si>
  <si>
    <t>Charles Sanchez</t>
  </si>
  <si>
    <t>ORD-000625</t>
  </si>
  <si>
    <t>Daniel Perez</t>
  </si>
  <si>
    <t>ORD-000626</t>
  </si>
  <si>
    <t>Mark Allen</t>
  </si>
  <si>
    <t>ORD-000627</t>
  </si>
  <si>
    <t>Lisa Davis</t>
  </si>
  <si>
    <t>04/03/2025</t>
  </si>
  <si>
    <t>ORD-000628</t>
  </si>
  <si>
    <t>Nancy Ramirez</t>
  </si>
  <si>
    <t>ORD-000629</t>
  </si>
  <si>
    <t>Jennifer Davis</t>
  </si>
  <si>
    <t>12/09/2024</t>
  </si>
  <si>
    <t>ORD-000630</t>
  </si>
  <si>
    <t>Christopher Davis</t>
  </si>
  <si>
    <t>05/10/2025</t>
  </si>
  <si>
    <t>ORD-000631</t>
  </si>
  <si>
    <t>Sandra Gonzalez</t>
  </si>
  <si>
    <t>12/06/2024</t>
  </si>
  <si>
    <t>ORD-000632</t>
  </si>
  <si>
    <t>03/18/2025</t>
  </si>
  <si>
    <t>ORD-000633</t>
  </si>
  <si>
    <t>10/05/2025</t>
  </si>
  <si>
    <t>ORD-000634</t>
  </si>
  <si>
    <t>Margaret Perez</t>
  </si>
  <si>
    <t>ORD-000635</t>
  </si>
  <si>
    <t>David Miller</t>
  </si>
  <si>
    <t>ORD-000636</t>
  </si>
  <si>
    <t>ORD-000637</t>
  </si>
  <si>
    <t>Charles White</t>
  </si>
  <si>
    <t>06/01/2026</t>
  </si>
  <si>
    <t>ORD-000638</t>
  </si>
  <si>
    <t>12/03/2025</t>
  </si>
  <si>
    <t>ORD-000639</t>
  </si>
  <si>
    <t>James Lewis</t>
  </si>
  <si>
    <t>08/09/2026</t>
  </si>
  <si>
    <t>ORD-000640</t>
  </si>
  <si>
    <t>Charles Rodriguez</t>
  </si>
  <si>
    <t>ORD-000641</t>
  </si>
  <si>
    <t>Jennifer Thomas</t>
  </si>
  <si>
    <t>03/10/2026</t>
  </si>
  <si>
    <t>ORD-000642</t>
  </si>
  <si>
    <t>ORD-000643</t>
  </si>
  <si>
    <t>John Thompson</t>
  </si>
  <si>
    <t>ORD-000644</t>
  </si>
  <si>
    <t>ORD-000645</t>
  </si>
  <si>
    <t>Susan Jackson</t>
  </si>
  <si>
    <t>ORD-000646</t>
  </si>
  <si>
    <t>Elizabeth Garcia</t>
  </si>
  <si>
    <t>ORD-000647</t>
  </si>
  <si>
    <t>Christopher Scott</t>
  </si>
  <si>
    <t>05/31/2026</t>
  </si>
  <si>
    <t>ORD-000648</t>
  </si>
  <si>
    <t>Mary Lee</t>
  </si>
  <si>
    <t>ORD-000649</t>
  </si>
  <si>
    <t>Donna Brown</t>
  </si>
  <si>
    <t>ORD-000650</t>
  </si>
  <si>
    <t>Daniel Jackson</t>
  </si>
  <si>
    <t>ORD-000651</t>
  </si>
  <si>
    <t>ORD-000652</t>
  </si>
  <si>
    <t>Susan Perez</t>
  </si>
  <si>
    <t>ORD-000653</t>
  </si>
  <si>
    <t>ORD-000654</t>
  </si>
  <si>
    <t>Andrew Lewis</t>
  </si>
  <si>
    <t>ORD-000655</t>
  </si>
  <si>
    <t>Matthew Martin</t>
  </si>
  <si>
    <t>ORD-000656</t>
  </si>
  <si>
    <t>William Lee</t>
  </si>
  <si>
    <t>09/15/2026</t>
  </si>
  <si>
    <t>ORD-000657</t>
  </si>
  <si>
    <t>ORD-000658</t>
  </si>
  <si>
    <t>Michael White</t>
  </si>
  <si>
    <t>08/05/2025</t>
  </si>
  <si>
    <t>ORD-000659</t>
  </si>
  <si>
    <t>01/06/2025</t>
  </si>
  <si>
    <t>ORD-000660</t>
  </si>
  <si>
    <t>William Thomas</t>
  </si>
  <si>
    <t>03/27/2026</t>
  </si>
  <si>
    <t>ORD-000661</t>
  </si>
  <si>
    <t>Linda White</t>
  </si>
  <si>
    <t>01/26/2026</t>
  </si>
  <si>
    <t>ORD-000662</t>
  </si>
  <si>
    <t>Anthony Thomas</t>
  </si>
  <si>
    <t>ORD-000663</t>
  </si>
  <si>
    <t>Nancy Rodriguez</t>
  </si>
  <si>
    <t>ORD-000664</t>
  </si>
  <si>
    <t>Jessica Nguyen</t>
  </si>
  <si>
    <t>08/11/2026</t>
  </si>
  <si>
    <t>ORD-000665</t>
  </si>
  <si>
    <t>Elizabeth Harris</t>
  </si>
  <si>
    <t>07/24/2026</t>
  </si>
  <si>
    <t>ORD-000666</t>
  </si>
  <si>
    <t>ORD-000667</t>
  </si>
  <si>
    <t>Charles Johnson</t>
  </si>
  <si>
    <t>04/20/2025</t>
  </si>
  <si>
    <t>ORD-000668</t>
  </si>
  <si>
    <t>Sarah Rodriguez</t>
  </si>
  <si>
    <t>ORD-000669</t>
  </si>
  <si>
    <t>Mark Gonzalez</t>
  </si>
  <si>
    <t>08/04/2026</t>
  </si>
  <si>
    <t>ORD-000670</t>
  </si>
  <si>
    <t>06/20/2026</t>
  </si>
  <si>
    <t>ORD-000671</t>
  </si>
  <si>
    <t>Joseph Lewis</t>
  </si>
  <si>
    <t>ORD-000672</t>
  </si>
  <si>
    <t>Lisa Harris</t>
  </si>
  <si>
    <t>ORD-000673</t>
  </si>
  <si>
    <t>Charles Torres</t>
  </si>
  <si>
    <t>05/21/2026</t>
  </si>
  <si>
    <t>ORD-000674</t>
  </si>
  <si>
    <t>Dorothy Torres</t>
  </si>
  <si>
    <t>05/25/2025</t>
  </si>
  <si>
    <t>ORD-000675</t>
  </si>
  <si>
    <t>Linda Flores</t>
  </si>
  <si>
    <t>ORD-000676</t>
  </si>
  <si>
    <t>ORD-000677</t>
  </si>
  <si>
    <t>ORD-000678</t>
  </si>
  <si>
    <t>ORD-000679</t>
  </si>
  <si>
    <t>Emily Davis</t>
  </si>
  <si>
    <t>ORD-000680</t>
  </si>
  <si>
    <t>Mary Torres</t>
  </si>
  <si>
    <t>ORD-000681</t>
  </si>
  <si>
    <t>Paul Smith</t>
  </si>
  <si>
    <t>ORD-000682</t>
  </si>
  <si>
    <t>Mary Wright</t>
  </si>
  <si>
    <t>04/23/2026</t>
  </si>
  <si>
    <t>ORD-000683</t>
  </si>
  <si>
    <t>Barbara Lewis</t>
  </si>
  <si>
    <t>ORD-000684</t>
  </si>
  <si>
    <t>Joshua Davis</t>
  </si>
  <si>
    <t>ORD-000685</t>
  </si>
  <si>
    <t>Charles Davis</t>
  </si>
  <si>
    <t>ORD-000686</t>
  </si>
  <si>
    <t>ORD-000687</t>
  </si>
  <si>
    <t>Christopher Allen</t>
  </si>
  <si>
    <t>ORD-000688</t>
  </si>
  <si>
    <t>Daniel Lopez</t>
  </si>
  <si>
    <t>ORD-000689</t>
  </si>
  <si>
    <t>ORD-000690</t>
  </si>
  <si>
    <t>Anthony Miller</t>
  </si>
  <si>
    <t>12/16/2025</t>
  </si>
  <si>
    <t>ORD-000691</t>
  </si>
  <si>
    <t>Steven Anderson</t>
  </si>
  <si>
    <t>ORD-000692</t>
  </si>
  <si>
    <t>Charles Miller</t>
  </si>
  <si>
    <t>ORD-000693</t>
  </si>
  <si>
    <t>Daniel Jones</t>
  </si>
  <si>
    <t>ORD-000694</t>
  </si>
  <si>
    <t>Paul Walker</t>
  </si>
  <si>
    <t>ORD-000695</t>
  </si>
  <si>
    <t>Betty Thomas</t>
  </si>
  <si>
    <t>ORD-000696</t>
  </si>
  <si>
    <t>ORD-000697</t>
  </si>
  <si>
    <t>10/11/2024</t>
  </si>
  <si>
    <t>ORD-000698</t>
  </si>
  <si>
    <t>ORD-000699</t>
  </si>
  <si>
    <t>Lisa Jackson</t>
  </si>
  <si>
    <t>03/05/2026</t>
  </si>
  <si>
    <t>ORD-000700</t>
  </si>
  <si>
    <t>ORD-000701</t>
  </si>
  <si>
    <t>Jennifer Gonzalez</t>
  </si>
  <si>
    <t>ORD-000702</t>
  </si>
  <si>
    <t>Lisa Walker</t>
  </si>
  <si>
    <t>08/24/2025</t>
  </si>
  <si>
    <t>ORD-000703</t>
  </si>
  <si>
    <t>Michael Gonzalez</t>
  </si>
  <si>
    <t>ORD-000704</t>
  </si>
  <si>
    <t>10/12/2025</t>
  </si>
  <si>
    <t>ORD-000705</t>
  </si>
  <si>
    <t>Donna Hill</t>
  </si>
  <si>
    <t>ORD-000706</t>
  </si>
  <si>
    <t>Karen Moore</t>
  </si>
  <si>
    <t>02/03/2026</t>
  </si>
  <si>
    <t>ORD-000707</t>
  </si>
  <si>
    <t>Daniel Hernandez</t>
  </si>
  <si>
    <t>ORD-000708</t>
  </si>
  <si>
    <t>05/20/2026</t>
  </si>
  <si>
    <t>ORD-000709</t>
  </si>
  <si>
    <t>ORD-000710</t>
  </si>
  <si>
    <t>Robert Lee</t>
  </si>
  <si>
    <t>ORD-000711</t>
  </si>
  <si>
    <t>02/14/2025</t>
  </si>
  <si>
    <t>ORD-000712</t>
  </si>
  <si>
    <t>07/03/2025</t>
  </si>
  <si>
    <t>ORD-000713</t>
  </si>
  <si>
    <t>Patricia Harris</t>
  </si>
  <si>
    <t>ORD-000714</t>
  </si>
  <si>
    <t>Ashley Taylor</t>
  </si>
  <si>
    <t>ORD-000715</t>
  </si>
  <si>
    <t>Lisa Thomas</t>
  </si>
  <si>
    <t>08/14/2026</t>
  </si>
  <si>
    <t>ORD-000716</t>
  </si>
  <si>
    <t>10/03/2025</t>
  </si>
  <si>
    <t>ORD-000717</t>
  </si>
  <si>
    <t>James Smith</t>
  </si>
  <si>
    <t>ORD-000718</t>
  </si>
  <si>
    <t>Paul Ramirez</t>
  </si>
  <si>
    <t>ORD-000719</t>
  </si>
  <si>
    <t>05/29/2026</t>
  </si>
  <si>
    <t>ORD-000720</t>
  </si>
  <si>
    <t>ORD-000721</t>
  </si>
  <si>
    <t>Mary Walker</t>
  </si>
  <si>
    <t>06/19/2026</t>
  </si>
  <si>
    <t>ORD-000722</t>
  </si>
  <si>
    <t>Lisa Perez</t>
  </si>
  <si>
    <t>ORD-000723</t>
  </si>
  <si>
    <t>Nancy Hernandez</t>
  </si>
  <si>
    <t>ORD-000724</t>
  </si>
  <si>
    <t>Ashley Perez</t>
  </si>
  <si>
    <t>ORD-000725</t>
  </si>
  <si>
    <t>Daniel Scott</t>
  </si>
  <si>
    <t>ORD-000726</t>
  </si>
  <si>
    <t>Patricia Garcia</t>
  </si>
  <si>
    <t>ORD-000727</t>
  </si>
  <si>
    <t>John Smith</t>
  </si>
  <si>
    <t>ORD-000728</t>
  </si>
  <si>
    <t>John Brown</t>
  </si>
  <si>
    <t>10/08/2026</t>
  </si>
  <si>
    <t>ORD-000729</t>
  </si>
  <si>
    <t>ORD-000730</t>
  </si>
  <si>
    <t>Karen Wilson</t>
  </si>
  <si>
    <t>ORD-000731</t>
  </si>
  <si>
    <t>ORD-000732</t>
  </si>
  <si>
    <t>ORD-000733</t>
  </si>
  <si>
    <t>Elizabeth Allen</t>
  </si>
  <si>
    <t>11/19/2024</t>
  </si>
  <si>
    <t>ORD-000734</t>
  </si>
  <si>
    <t>James Jones</t>
  </si>
  <si>
    <t>ORD-000735</t>
  </si>
  <si>
    <t>Steven Young</t>
  </si>
  <si>
    <t>ORD-000736</t>
  </si>
  <si>
    <t>ORD-000737</t>
  </si>
  <si>
    <t>Linda Lewis</t>
  </si>
  <si>
    <t>02/14/2026</t>
  </si>
  <si>
    <t>ORD-000738</t>
  </si>
  <si>
    <t>Margaret Williams</t>
  </si>
  <si>
    <t>ORD-000739</t>
  </si>
  <si>
    <t>Steven Torres</t>
  </si>
  <si>
    <t>ORD-000740</t>
  </si>
  <si>
    <t>Patricia Perez</t>
  </si>
  <si>
    <t>ORD-000741</t>
  </si>
  <si>
    <t>ORD-000742</t>
  </si>
  <si>
    <t>Jennifer Miller</t>
  </si>
  <si>
    <t>01/24/2025</t>
  </si>
  <si>
    <t>ORD-000743</t>
  </si>
  <si>
    <t>ORD-000744</t>
  </si>
  <si>
    <t>ORD-000745</t>
  </si>
  <si>
    <t>11/18/2024</t>
  </si>
  <si>
    <t>ORD-000746</t>
  </si>
  <si>
    <t>Richard Miller</t>
  </si>
  <si>
    <t>ORD-000747</t>
  </si>
  <si>
    <t>ORD-000748</t>
  </si>
  <si>
    <t>Mary Flores</t>
  </si>
  <si>
    <t>ORD-000749</t>
  </si>
  <si>
    <t>ORD-000750</t>
  </si>
  <si>
    <t>ORD-000751</t>
  </si>
  <si>
    <t>Christopher Robinson</t>
  </si>
  <si>
    <t>ORD-000752</t>
  </si>
  <si>
    <t>Jennifer Scott</t>
  </si>
  <si>
    <t>ORD-000753</t>
  </si>
  <si>
    <t>Linda Walker</t>
  </si>
  <si>
    <t>10/19/2024</t>
  </si>
  <si>
    <t>ORD-000754</t>
  </si>
  <si>
    <t>Joshua Clark</t>
  </si>
  <si>
    <t>ORD-000755</t>
  </si>
  <si>
    <t>William Anderson</t>
  </si>
  <si>
    <t>ORD-000756</t>
  </si>
  <si>
    <t>ORD-000757</t>
  </si>
  <si>
    <t>ORD-000758</t>
  </si>
  <si>
    <t>ORD-000759</t>
  </si>
  <si>
    <t>ORD-000760</t>
  </si>
  <si>
    <t>Patricia Jones</t>
  </si>
  <si>
    <t>ORD-000761</t>
  </si>
  <si>
    <t>John White</t>
  </si>
  <si>
    <t>ORD-000762</t>
  </si>
  <si>
    <t>Joseph Miller</t>
  </si>
  <si>
    <t>ORD-000763</t>
  </si>
  <si>
    <t>Ashley Hernandez</t>
  </si>
  <si>
    <t>04/24/2025</t>
  </si>
  <si>
    <t>ORD-000764</t>
  </si>
  <si>
    <t>Joshua Hernandez</t>
  </si>
  <si>
    <t>ORD-000765</t>
  </si>
  <si>
    <t>Ashley Allen</t>
  </si>
  <si>
    <t>ORD-000766</t>
  </si>
  <si>
    <t>ORD-000767</t>
  </si>
  <si>
    <t>Daniel Lewis</t>
  </si>
  <si>
    <t>ORD-000768</t>
  </si>
  <si>
    <t>Sarah Lopez</t>
  </si>
  <si>
    <t>08/13/2025</t>
  </si>
  <si>
    <t>ORD-000769</t>
  </si>
  <si>
    <t>ORD-000770</t>
  </si>
  <si>
    <t>06/25/2025</t>
  </si>
  <si>
    <t>ORD-000771</t>
  </si>
  <si>
    <t>Susan Harris</t>
  </si>
  <si>
    <t>ORD-000772</t>
  </si>
  <si>
    <t>ORD-000773</t>
  </si>
  <si>
    <t>Sarah Thomas</t>
  </si>
  <si>
    <t>ORD-000774</t>
  </si>
  <si>
    <t>Christopher Wright</t>
  </si>
  <si>
    <t>ORD-000775</t>
  </si>
  <si>
    <t>David Walker</t>
  </si>
  <si>
    <t>03/26/2025</t>
  </si>
  <si>
    <t>ORD-000776</t>
  </si>
  <si>
    <t>ORD-000777</t>
  </si>
  <si>
    <t>ORD-000778</t>
  </si>
  <si>
    <t>James Nguyen</t>
  </si>
  <si>
    <t>03/22/2026</t>
  </si>
  <si>
    <t>ORD-000779</t>
  </si>
  <si>
    <t>Donna Martinez</t>
  </si>
  <si>
    <t>02/10/2025</t>
  </si>
  <si>
    <t>ORD-000780</t>
  </si>
  <si>
    <t>Donna Martin</t>
  </si>
  <si>
    <t>ORD-000781</t>
  </si>
  <si>
    <t>Matthew Hill</t>
  </si>
  <si>
    <t>ORD-000782</t>
  </si>
  <si>
    <t>ORD-000783</t>
  </si>
  <si>
    <t>Betty Jackson</t>
  </si>
  <si>
    <t>ORD-000784</t>
  </si>
  <si>
    <t>ORD-000785</t>
  </si>
  <si>
    <t>Richard Walker</t>
  </si>
  <si>
    <t>ORD-000786</t>
  </si>
  <si>
    <t>Margaret Jackson</t>
  </si>
  <si>
    <t>ORD-000787</t>
  </si>
  <si>
    <t>06/06/2025</t>
  </si>
  <si>
    <t>ORD-000788</t>
  </si>
  <si>
    <t>04/07/2026</t>
  </si>
  <si>
    <t>ORD-000789</t>
  </si>
  <si>
    <t>Barbara Jones</t>
  </si>
  <si>
    <t>ORD-000790</t>
  </si>
  <si>
    <t>ORD-000791</t>
  </si>
  <si>
    <t>Christopher Thomas</t>
  </si>
  <si>
    <t>ORD-000792</t>
  </si>
  <si>
    <t>ORD-000793</t>
  </si>
  <si>
    <t>Nancy King</t>
  </si>
  <si>
    <t>ORD-000794</t>
  </si>
  <si>
    <t>Kimberly Anderson</t>
  </si>
  <si>
    <t>ORD-000795</t>
  </si>
  <si>
    <t>ORD-000796</t>
  </si>
  <si>
    <t>Jessica Taylor</t>
  </si>
  <si>
    <t>04/05/2026</t>
  </si>
  <si>
    <t>ORD-000797</t>
  </si>
  <si>
    <t>Mary Miller</t>
  </si>
  <si>
    <t>ORD-000798</t>
  </si>
  <si>
    <t>David Perez</t>
  </si>
  <si>
    <t>03/07/2026</t>
  </si>
  <si>
    <t>ORD-000799</t>
  </si>
  <si>
    <t>09/16/2025</t>
  </si>
  <si>
    <t>ORD-000800</t>
  </si>
  <si>
    <t>Robert Wilson</t>
  </si>
  <si>
    <t>ORD-000801</t>
  </si>
  <si>
    <t>Emily Jones</t>
  </si>
  <si>
    <t>ORD-000802</t>
  </si>
  <si>
    <t>ORD-000803</t>
  </si>
  <si>
    <t>Charles Wright</t>
  </si>
  <si>
    <t>11/07/2024</t>
  </si>
  <si>
    <t>ORD-000804</t>
  </si>
  <si>
    <t>ORD-000805</t>
  </si>
  <si>
    <t>Michael Hernandez</t>
  </si>
  <si>
    <t>ORD-000806</t>
  </si>
  <si>
    <t>Kimberly Harris</t>
  </si>
  <si>
    <t>ORD-000807</t>
  </si>
  <si>
    <t>ORD-000808</t>
  </si>
  <si>
    <t>Linda Wright</t>
  </si>
  <si>
    <t>ORD-000809</t>
  </si>
  <si>
    <t>12/22/2025</t>
  </si>
  <si>
    <t>ORD-000810</t>
  </si>
  <si>
    <t>Mark Thompson</t>
  </si>
  <si>
    <t>ORD-000811</t>
  </si>
  <si>
    <t>05/16/2025</t>
  </si>
  <si>
    <t>ORD-000812</t>
  </si>
  <si>
    <t>Patricia Smith</t>
  </si>
  <si>
    <t>ORD-000813</t>
  </si>
  <si>
    <t>Barbara Taylor</t>
  </si>
  <si>
    <t>ORD-000814</t>
  </si>
  <si>
    <t>ORD-000815</t>
  </si>
  <si>
    <t>Ashley Miller</t>
  </si>
  <si>
    <t>12/05/2025</t>
  </si>
  <si>
    <t>ORD-000816</t>
  </si>
  <si>
    <t>Betty Taylor</t>
  </si>
  <si>
    <t>05/30/2025</t>
  </si>
  <si>
    <t>ORD-000817</t>
  </si>
  <si>
    <t>Donna Thomas</t>
  </si>
  <si>
    <t>ORD-000818</t>
  </si>
  <si>
    <t>Dorothy Lee</t>
  </si>
  <si>
    <t>ORD-000819</t>
  </si>
  <si>
    <t>Karen Garcia</t>
  </si>
  <si>
    <t>ORD-000820</t>
  </si>
  <si>
    <t>Patricia Thomas</t>
  </si>
  <si>
    <t>ORD-000821</t>
  </si>
  <si>
    <t>ORD-000822</t>
  </si>
  <si>
    <t>Ashley Jackson</t>
  </si>
  <si>
    <t>ORD-000823</t>
  </si>
  <si>
    <t>Dorothy Young</t>
  </si>
  <si>
    <t>ORD-000824</t>
  </si>
  <si>
    <t>Christopher Brown</t>
  </si>
  <si>
    <t>ORD-000825</t>
  </si>
  <si>
    <t>ORD-000826</t>
  </si>
  <si>
    <t>Richard Flores</t>
  </si>
  <si>
    <t>ORD-000827</t>
  </si>
  <si>
    <t>Christopher Rodriguez</t>
  </si>
  <si>
    <t>ORD-000828</t>
  </si>
  <si>
    <t>07/26/2025</t>
  </si>
  <si>
    <t>ORD-000829</t>
  </si>
  <si>
    <t>ORD-000830</t>
  </si>
  <si>
    <t>Karen Torres</t>
  </si>
  <si>
    <t>ORD-000831</t>
  </si>
  <si>
    <t>Ashley White</t>
  </si>
  <si>
    <t>ORD-000832</t>
  </si>
  <si>
    <t>Thomas Garcia</t>
  </si>
  <si>
    <t>ORD-000833</t>
  </si>
  <si>
    <t>ORD-000834</t>
  </si>
  <si>
    <t>Susan White</t>
  </si>
  <si>
    <t>ORD-000835</t>
  </si>
  <si>
    <t>ORD-000836</t>
  </si>
  <si>
    <t>Lisa Brown</t>
  </si>
  <si>
    <t>08/26/2026</t>
  </si>
  <si>
    <t>ORD-000837</t>
  </si>
  <si>
    <t>ORD-000838</t>
  </si>
  <si>
    <t>Richard Scott</t>
  </si>
  <si>
    <t>ORD-000839</t>
  </si>
  <si>
    <t>Barbara Wright</t>
  </si>
  <si>
    <t>02/01/2025</t>
  </si>
  <si>
    <t>ORD-000840</t>
  </si>
  <si>
    <t>Lisa Rodriguez</t>
  </si>
  <si>
    <t>12/14/2024</t>
  </si>
  <si>
    <t>ORD-000841</t>
  </si>
  <si>
    <t>Jennifer Anderson</t>
  </si>
  <si>
    <t>10/24/2024</t>
  </si>
  <si>
    <t>ORD-000842</t>
  </si>
  <si>
    <t>ORD-000843</t>
  </si>
  <si>
    <t>Charles Garcia</t>
  </si>
  <si>
    <t>ORD-000844</t>
  </si>
  <si>
    <t>Ashley Davis</t>
  </si>
  <si>
    <t>03/12/2025</t>
  </si>
  <si>
    <t>ORD-000845</t>
  </si>
  <si>
    <t>ORD-000846</t>
  </si>
  <si>
    <t>Robert Lewis</t>
  </si>
  <si>
    <t>ORD-000847</t>
  </si>
  <si>
    <t>Donna Thompson</t>
  </si>
  <si>
    <t>07/23/2026</t>
  </si>
  <si>
    <t>ORD-000848</t>
  </si>
  <si>
    <t>Nancy Jones</t>
  </si>
  <si>
    <t>ORD-000849</t>
  </si>
  <si>
    <t>William Young</t>
  </si>
  <si>
    <t>ORD-000850</t>
  </si>
  <si>
    <t>ORD-000851</t>
  </si>
  <si>
    <t>Elizabeth Thompson</t>
  </si>
  <si>
    <t>ORD-000852</t>
  </si>
  <si>
    <t>10/14/2024</t>
  </si>
  <si>
    <t>ORD-000853</t>
  </si>
  <si>
    <t>ORD-000854</t>
  </si>
  <si>
    <t>ORD-000855</t>
  </si>
  <si>
    <t>08/31/2026</t>
  </si>
  <si>
    <t>ORD-000856</t>
  </si>
  <si>
    <t>ORD-000857</t>
  </si>
  <si>
    <t>ORD-000858</t>
  </si>
  <si>
    <t>Jennifer Flores</t>
  </si>
  <si>
    <t>09/11/2026</t>
  </si>
  <si>
    <t>ORD-000859</t>
  </si>
  <si>
    <t>Karen White</t>
  </si>
  <si>
    <t>ORD-000860</t>
  </si>
  <si>
    <t>Joshua Torres</t>
  </si>
  <si>
    <t>11/20/2025</t>
  </si>
  <si>
    <t>ORD-000861</t>
  </si>
  <si>
    <t>Daniel Rodriguez</t>
  </si>
  <si>
    <t>12/03/2024</t>
  </si>
  <si>
    <t>ORD-000862</t>
  </si>
  <si>
    <t>ORD-000863</t>
  </si>
  <si>
    <t>ORD-000864</t>
  </si>
  <si>
    <t>02/16/2026</t>
  </si>
  <si>
    <t>ORD-000865</t>
  </si>
  <si>
    <t>John Young</t>
  </si>
  <si>
    <t>ORD-000866</t>
  </si>
  <si>
    <t>05/19/2025</t>
  </si>
  <si>
    <t>ORD-000867</t>
  </si>
  <si>
    <t>Jessica Williams</t>
  </si>
  <si>
    <t>10/18/2025</t>
  </si>
  <si>
    <t>ORD-000868</t>
  </si>
  <si>
    <t>Mary Rodriguez</t>
  </si>
  <si>
    <t>12/19/2025</t>
  </si>
  <si>
    <t>ORD-000869</t>
  </si>
  <si>
    <t>Mark Jones</t>
  </si>
  <si>
    <t>ORD-000870</t>
  </si>
  <si>
    <t>Kimberly Robinson</t>
  </si>
  <si>
    <t>05/22/2026</t>
  </si>
  <si>
    <t>ORD-000871</t>
  </si>
  <si>
    <t>Margaret Wilson</t>
  </si>
  <si>
    <t>ORD-000872</t>
  </si>
  <si>
    <t>Steven Moore</t>
  </si>
  <si>
    <t>01/02/2026</t>
  </si>
  <si>
    <t>ORD-000873</t>
  </si>
  <si>
    <t>08/30/2026</t>
  </si>
  <si>
    <t>ORD-000874</t>
  </si>
  <si>
    <t>ORD-000875</t>
  </si>
  <si>
    <t>ORD-000876</t>
  </si>
  <si>
    <t>ORD-000877</t>
  </si>
  <si>
    <t>09/10/2025</t>
  </si>
  <si>
    <t>ORD-000878</t>
  </si>
  <si>
    <t>ORD-000879</t>
  </si>
  <si>
    <t>Joshua Nguyen</t>
  </si>
  <si>
    <t>11/23/2025</t>
  </si>
  <si>
    <t>ORD-000880</t>
  </si>
  <si>
    <t>Steven Martinez</t>
  </si>
  <si>
    <t>ORD-000881</t>
  </si>
  <si>
    <t>Betty Sanchez</t>
  </si>
  <si>
    <t>08/09/2025</t>
  </si>
  <si>
    <t>ORD-000882</t>
  </si>
  <si>
    <t>ORD-000883</t>
  </si>
  <si>
    <t>10/17/2025</t>
  </si>
  <si>
    <t>ORD-000884</t>
  </si>
  <si>
    <t>Susan Scott</t>
  </si>
  <si>
    <t>ORD-000885</t>
  </si>
  <si>
    <t>Anthony Davis</t>
  </si>
  <si>
    <t>02/12/2026</t>
  </si>
  <si>
    <t>ORD-000886</t>
  </si>
  <si>
    <t>Patricia King</t>
  </si>
  <si>
    <t>ORD-000887</t>
  </si>
  <si>
    <t>ORD-000888</t>
  </si>
  <si>
    <t>Lisa Allen</t>
  </si>
  <si>
    <t>ORD-000889</t>
  </si>
  <si>
    <t>Kimberly Lopez</t>
  </si>
  <si>
    <t>ORD-000890</t>
  </si>
  <si>
    <t>David Johnson</t>
  </si>
  <si>
    <t>12/04/2024</t>
  </si>
  <si>
    <t>ORD-000891</t>
  </si>
  <si>
    <t>Andrew Garcia</t>
  </si>
  <si>
    <t>07/30/2026</t>
  </si>
  <si>
    <t>ORD-000892</t>
  </si>
  <si>
    <t>ORD-000893</t>
  </si>
  <si>
    <t>ORD-000894</t>
  </si>
  <si>
    <t>Christopher Walker</t>
  </si>
  <si>
    <t>06/29/2026</t>
  </si>
  <si>
    <t>ORD-000895</t>
  </si>
  <si>
    <t>Jessica Hill</t>
  </si>
  <si>
    <t>01/31/2025</t>
  </si>
  <si>
    <t>ORD-000896</t>
  </si>
  <si>
    <t>ORD-000897</t>
  </si>
  <si>
    <t>John Davis</t>
  </si>
  <si>
    <t>ORD-000898</t>
  </si>
  <si>
    <t>ORD-000899</t>
  </si>
  <si>
    <t>ORD-000900</t>
  </si>
  <si>
    <t>ORD-000901</t>
  </si>
  <si>
    <t>11/27/2024</t>
  </si>
  <si>
    <t>ORD-000902</t>
  </si>
  <si>
    <t>Matthew Martinez</t>
  </si>
  <si>
    <t>10/03/2026</t>
  </si>
  <si>
    <t>ORD-000903</t>
  </si>
  <si>
    <t>Ashley Smith</t>
  </si>
  <si>
    <t>ORD-000904</t>
  </si>
  <si>
    <t>ORD-000905</t>
  </si>
  <si>
    <t>ORD-000906</t>
  </si>
  <si>
    <t>10/08/2024</t>
  </si>
  <si>
    <t>ORD-000907</t>
  </si>
  <si>
    <t>ORD-000908</t>
  </si>
  <si>
    <t>ORD-000909</t>
  </si>
  <si>
    <t>ORD-000910</t>
  </si>
  <si>
    <t>Paul Lee</t>
  </si>
  <si>
    <t>ORD-000911</t>
  </si>
  <si>
    <t>ORD-000912</t>
  </si>
  <si>
    <t>ORD-000913</t>
  </si>
  <si>
    <t>ORD-000914</t>
  </si>
  <si>
    <t>Patricia Ramirez</t>
  </si>
  <si>
    <t>01/28/2026</t>
  </si>
  <si>
    <t>ORD-000915</t>
  </si>
  <si>
    <t>Donald Young</t>
  </si>
  <si>
    <t>ORD-000916</t>
  </si>
  <si>
    <t>Steven Allen</t>
  </si>
  <si>
    <t>10/01/2025</t>
  </si>
  <si>
    <t>ORD-000917</t>
  </si>
  <si>
    <t>Elizabeth White</t>
  </si>
  <si>
    <t>ORD-000918</t>
  </si>
  <si>
    <t>ORD-000919</t>
  </si>
  <si>
    <t>Sarah Jones</t>
  </si>
  <si>
    <t>ORD-000920</t>
  </si>
  <si>
    <t>Karen Hernandez</t>
  </si>
  <si>
    <t>ORD-000921</t>
  </si>
  <si>
    <t>Richard Johnson</t>
  </si>
  <si>
    <t>ORD-000922</t>
  </si>
  <si>
    <t>11/24/2024</t>
  </si>
  <si>
    <t>ORD-000923</t>
  </si>
  <si>
    <t>Elizabeth Johnson</t>
  </si>
  <si>
    <t>ORD-000924</t>
  </si>
  <si>
    <t>ORD-000925</t>
  </si>
  <si>
    <t>ORD-000926</t>
  </si>
  <si>
    <t>ORD-000927</t>
  </si>
  <si>
    <t>Donna Young</t>
  </si>
  <si>
    <t>ORD-000928</t>
  </si>
  <si>
    <t>ORD-000929</t>
  </si>
  <si>
    <t>Michael Sanchez</t>
  </si>
  <si>
    <t>ORD-000930</t>
  </si>
  <si>
    <t>Mark Hernandez</t>
  </si>
  <si>
    <t>05/23/2026</t>
  </si>
  <si>
    <t>ORD-000931</t>
  </si>
  <si>
    <t>12/25/2024</t>
  </si>
  <si>
    <t>ORD-000932</t>
  </si>
  <si>
    <t>ORD-000933</t>
  </si>
  <si>
    <t>ORD-000934</t>
  </si>
  <si>
    <t>Jennifer Perez</t>
  </si>
  <si>
    <t>ORD-000935</t>
  </si>
  <si>
    <t>Matthew Anderson</t>
  </si>
  <si>
    <t>05/05/2026</t>
  </si>
  <si>
    <t>ORD-000936</t>
  </si>
  <si>
    <t>Emily Ramirez</t>
  </si>
  <si>
    <t>ORD-000937</t>
  </si>
  <si>
    <t>Joshua Martinez</t>
  </si>
  <si>
    <t>ORD-000938</t>
  </si>
  <si>
    <t>ORD-000939</t>
  </si>
  <si>
    <t>James Anderson</t>
  </si>
  <si>
    <t>ORD-000940</t>
  </si>
  <si>
    <t>Linda Jones</t>
  </si>
  <si>
    <t>ORD-000941</t>
  </si>
  <si>
    <t>ORD-000942</t>
  </si>
  <si>
    <t>Kimberly Brown</t>
  </si>
  <si>
    <t>03/31/2026</t>
  </si>
  <si>
    <t>ORD-000943</t>
  </si>
  <si>
    <t>John Allen</t>
  </si>
  <si>
    <t>ORD-000944</t>
  </si>
  <si>
    <t>Thomas Lopez</t>
  </si>
  <si>
    <t>ORD-000945</t>
  </si>
  <si>
    <t>Daniel Thomas</t>
  </si>
  <si>
    <t>ORD-000946</t>
  </si>
  <si>
    <t>ORD-000947</t>
  </si>
  <si>
    <t>Joshua Allen</t>
  </si>
  <si>
    <t>ORD-000948</t>
  </si>
  <si>
    <t>Charles Williams</t>
  </si>
  <si>
    <t>10/15/2024</t>
  </si>
  <si>
    <t>ORD-000949</t>
  </si>
  <si>
    <t>Jessica Lopez</t>
  </si>
  <si>
    <t>ORD-000950</t>
  </si>
  <si>
    <t>01/10/2025</t>
  </si>
  <si>
    <t>ORD-000951</t>
  </si>
  <si>
    <t>ORD-000952</t>
  </si>
  <si>
    <t>Ashley Martin</t>
  </si>
  <si>
    <t>ORD-000953</t>
  </si>
  <si>
    <t>Jessica Young</t>
  </si>
  <si>
    <t>ORD-000954</t>
  </si>
  <si>
    <t>Donald Hernandez</t>
  </si>
  <si>
    <t>ORD-000955</t>
  </si>
  <si>
    <t>James Rodriguez</t>
  </si>
  <si>
    <t>ORD-000956</t>
  </si>
  <si>
    <t>06/10/2025</t>
  </si>
  <si>
    <t>ORD-000957</t>
  </si>
  <si>
    <t>Susan Moore</t>
  </si>
  <si>
    <t>ORD-000958</t>
  </si>
  <si>
    <t>Mary Perez</t>
  </si>
  <si>
    <t>ORD-000959</t>
  </si>
  <si>
    <t>04/08/2026</t>
  </si>
  <si>
    <t>ORD-000960</t>
  </si>
  <si>
    <t>ORD-000961</t>
  </si>
  <si>
    <t>Thomas Brown</t>
  </si>
  <si>
    <t>ORD-000962</t>
  </si>
  <si>
    <t>Dorothy Thompson</t>
  </si>
  <si>
    <t>ORD-000963</t>
  </si>
  <si>
    <t>Karen Thomas</t>
  </si>
  <si>
    <t>ORD-000964</t>
  </si>
  <si>
    <t>ORD-000965</t>
  </si>
  <si>
    <t>09/17/2026</t>
  </si>
  <si>
    <t>ORD-000966</t>
  </si>
  <si>
    <t>ORD-000967</t>
  </si>
  <si>
    <t>Lisa Flores</t>
  </si>
  <si>
    <t>04/28/2025</t>
  </si>
  <si>
    <t>ORD-000968</t>
  </si>
  <si>
    <t>Robert White</t>
  </si>
  <si>
    <t>05/15/2025</t>
  </si>
  <si>
    <t>ORD-000969</t>
  </si>
  <si>
    <t>ORD-000970</t>
  </si>
  <si>
    <t>Barbara Scott</t>
  </si>
  <si>
    <t>ORD-000971</t>
  </si>
  <si>
    <t>Paul White</t>
  </si>
  <si>
    <t>ORD-000972</t>
  </si>
  <si>
    <t>Daniel Lee</t>
  </si>
  <si>
    <t>ORD-000973</t>
  </si>
  <si>
    <t>ORD-000974</t>
  </si>
  <si>
    <t>Ashley Anderson</t>
  </si>
  <si>
    <t>03/15/2025</t>
  </si>
  <si>
    <t>ORD-000975</t>
  </si>
  <si>
    <t>ORD-000976</t>
  </si>
  <si>
    <t>01/11/2026</t>
  </si>
  <si>
    <t>ORD-000977</t>
  </si>
  <si>
    <t>Matthew Hernandez</t>
  </si>
  <si>
    <t>ORD-000978</t>
  </si>
  <si>
    <t>Andrew Jones</t>
  </si>
  <si>
    <t>ORD-000979</t>
  </si>
  <si>
    <t>Sandra Lopez</t>
  </si>
  <si>
    <t>ORD-000980</t>
  </si>
  <si>
    <t>ORD-000981</t>
  </si>
  <si>
    <t>ORD-000982</t>
  </si>
  <si>
    <t>ORD-000983</t>
  </si>
  <si>
    <t>Mary Ramirez</t>
  </si>
  <si>
    <t>ORD-000984</t>
  </si>
  <si>
    <t>Barbara Hill</t>
  </si>
  <si>
    <t>11/08/2025</t>
  </si>
  <si>
    <t>ORD-000985</t>
  </si>
  <si>
    <t>ORD-000986</t>
  </si>
  <si>
    <t>Anthony Moore</t>
  </si>
  <si>
    <t>04/02/2025</t>
  </si>
  <si>
    <t>ORD-000987</t>
  </si>
  <si>
    <t>ORD-000988</t>
  </si>
  <si>
    <t>ORD-000989</t>
  </si>
  <si>
    <t>Jessica Brown</t>
  </si>
  <si>
    <t>ORD-000990</t>
  </si>
  <si>
    <t>Dorothy Hernandez</t>
  </si>
  <si>
    <t>ORD-000991</t>
  </si>
  <si>
    <t>08/18/2026</t>
  </si>
  <si>
    <t>ORD-000992</t>
  </si>
  <si>
    <t>ORD-000993</t>
  </si>
  <si>
    <t>Donald Wright</t>
  </si>
  <si>
    <t>ORD-000994</t>
  </si>
  <si>
    <t>ORD-000995</t>
  </si>
  <si>
    <t>ORD-000996</t>
  </si>
  <si>
    <t>05/13/2026</t>
  </si>
  <si>
    <t>ORD-000997</t>
  </si>
  <si>
    <t>06/26/2026</t>
  </si>
  <si>
    <t>ORD-000998</t>
  </si>
  <si>
    <t>ORD-000999</t>
  </si>
  <si>
    <t>Ashley Walker</t>
  </si>
  <si>
    <t>03/28/2026</t>
  </si>
  <si>
    <t>ORD-001000</t>
  </si>
  <si>
    <t>John Scott</t>
  </si>
  <si>
    <t>Online Payment</t>
  </si>
  <si>
    <t>Total Amount Expenses of sales</t>
  </si>
  <si>
    <t>Average Quantity per sales</t>
  </si>
  <si>
    <t>Avearge Discount percentage</t>
  </si>
  <si>
    <t>Total Number of smartphone product sales</t>
  </si>
  <si>
    <t>Mode of unit Price</t>
  </si>
  <si>
    <t>Trim</t>
  </si>
  <si>
    <t>Proper</t>
  </si>
  <si>
    <t>Data Pre-processing using Excel</t>
  </si>
  <si>
    <t>In this mini-project, I performed data pre-processing on the Retail Sales Data dataset using Microsoft Excel.</t>
  </si>
  <si>
    <t>Tasks performed:</t>
  </si>
  <si>
    <r>
      <t>2. Handling missing values:</t>
    </r>
    <r>
      <rPr>
        <sz val="12"/>
        <color theme="1"/>
        <rFont val="Calibri"/>
        <family val="2"/>
        <scheme val="minor"/>
      </rPr>
      <t xml:space="preserve"> Checked all main data columns for blank values. No missing values were found in the main sales dataset.</t>
    </r>
  </si>
  <si>
    <r>
      <t>3. Standardizing formats:</t>
    </r>
    <r>
      <rPr>
        <sz val="12"/>
        <color theme="1"/>
        <rFont val="Calibri"/>
        <family val="2"/>
        <scheme val="minor"/>
      </rPr>
      <t xml:space="preserve"> Standardized date, numerical and text formats for consistency.</t>
    </r>
  </si>
  <si>
    <r>
      <t>4. Creating calculated fields:</t>
    </r>
    <r>
      <rPr>
        <sz val="12"/>
        <color theme="1"/>
        <rFont val="Calibri"/>
        <family val="2"/>
        <scheme val="minor"/>
      </rPr>
      <t xml:space="preserve"> Created a Calculated Amount field to validate sales values after applying discounts.</t>
    </r>
  </si>
  <si>
    <r>
      <t>5. Filtering and sorting:</t>
    </r>
    <r>
      <rPr>
        <sz val="12"/>
        <color theme="1"/>
        <rFont val="Calibri"/>
        <family val="2"/>
        <scheme val="minor"/>
      </rPr>
      <t xml:space="preserve"> Filtered data by product, region, quantity and payment method, and sorted sales amounts and dates.</t>
    </r>
  </si>
  <si>
    <r>
      <t>6. Creating Pivot Tables:</t>
    </r>
    <r>
      <rPr>
        <sz val="12"/>
        <color theme="1"/>
        <rFont val="Calibri"/>
        <family val="2"/>
        <scheme val="minor"/>
      </rPr>
      <t xml:space="preserve"> Summarized sales by category and region, and quantity by product.</t>
    </r>
  </si>
  <si>
    <t>Stock Details</t>
  </si>
  <si>
    <t>High Stock</t>
  </si>
  <si>
    <t>Low Stock</t>
  </si>
  <si>
    <r>
      <t>1. Removing duplicates:</t>
    </r>
    <r>
      <rPr>
        <sz val="12"/>
        <color theme="1"/>
        <rFont val="Calibri"/>
        <family val="2"/>
        <scheme val="minor"/>
      </rPr>
      <t xml:space="preserve"> Checked for duplicate records and no duplicate in this dataset.</t>
    </r>
  </si>
  <si>
    <t>Row Labels</t>
  </si>
  <si>
    <t>Grand Total</t>
  </si>
  <si>
    <t>Sum of Total Amount</t>
  </si>
  <si>
    <t>Count of Quantity</t>
  </si>
  <si>
    <t>2025</t>
  </si>
  <si>
    <t>2026</t>
  </si>
  <si>
    <t>Oct</t>
  </si>
  <si>
    <t>Nov</t>
  </si>
  <si>
    <t>Dec</t>
  </si>
  <si>
    <t>Jan</t>
  </si>
  <si>
    <t>Feb</t>
  </si>
  <si>
    <t>Mar</t>
  </si>
  <si>
    <t>Apr</t>
  </si>
  <si>
    <t>May</t>
  </si>
  <si>
    <t>Jun</t>
  </si>
  <si>
    <t>Jul</t>
  </si>
  <si>
    <t>Aug</t>
  </si>
  <si>
    <t>Sep</t>
  </si>
  <si>
    <t>Column Labels</t>
  </si>
  <si>
    <t>Average of Total Amount</t>
  </si>
  <si>
    <t>Average of Discount (%)</t>
  </si>
  <si>
    <t xml:space="preserve">                               INVENTORY RETAIL SALES DASHBOARD</t>
  </si>
  <si>
    <t>Total Sales vs Region</t>
  </si>
  <si>
    <t>Average Sales per Month</t>
  </si>
  <si>
    <t>Payment Method Distribution</t>
  </si>
  <si>
    <t>Top 10 Total Sales by Store</t>
  </si>
  <si>
    <t>Average Category by Sales &amp; Discount(%)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</si>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</sst>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5" x14ac:knownFonts="1">
    <font>
      <sz val="12"/>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26"/>
      <color theme="1"/>
      <name val="Algerian"/>
      <family val="5"/>
    </font>
  </fonts>
  <fills count="6">
    <fill>
      <patternFill patternType="none"/>
    </fill>
    <fill>
      <patternFill patternType="gray125"/>
    </fill>
    <fill>
      <patternFill patternType="solid">
        <fgColor theme="3"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14" fontId="0" fillId="0" borderId="1" xfId="0" applyNumberFormat="1" applyBorder="1" applyAlignment="1">
      <alignment horizontal="center" vertical="center"/>
    </xf>
    <xf numFmtId="14" fontId="0" fillId="0" borderId="0" xfId="0" applyNumberFormat="1"/>
    <xf numFmtId="164" fontId="0" fillId="0" borderId="1" xfId="0" applyNumberFormat="1" applyBorder="1" applyAlignment="1">
      <alignment horizontal="center" vertical="center"/>
    </xf>
    <xf numFmtId="164" fontId="0" fillId="0" borderId="0" xfId="0" applyNumberFormat="1"/>
    <xf numFmtId="0" fontId="1" fillId="0" borderId="2" xfId="0" applyFont="1" applyBorder="1" applyAlignment="1">
      <alignment horizontal="center" vertical="center"/>
    </xf>
    <xf numFmtId="0" fontId="1" fillId="3" borderId="1" xfId="0" applyFont="1" applyFill="1" applyBorder="1" applyAlignment="1">
      <alignment horizontal="center" vertical="center"/>
    </xf>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2" fillId="0" borderId="0" xfId="0" applyFont="1" applyAlignment="1">
      <alignment vertical="center"/>
    </xf>
    <xf numFmtId="0" fontId="3"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wrapText="1"/>
    </xf>
    <xf numFmtId="0" fontId="1" fillId="0" borderId="0" xfId="0" applyFont="1" applyAlignment="1">
      <alignment horizontal="center" vertical="center"/>
    </xf>
    <xf numFmtId="0" fontId="0" fillId="2" borderId="1" xfId="0" applyFill="1" applyBorder="1" applyAlignment="1">
      <alignment horizontal="center" vertical="center"/>
    </xf>
    <xf numFmtId="0" fontId="0" fillId="5" borderId="0" xfId="0" applyFill="1"/>
    <xf numFmtId="0" fontId="0" fillId="5" borderId="0" xfId="0" applyFill="1" applyAlignment="1">
      <alignment horizontal="center" vertical="center"/>
    </xf>
    <xf numFmtId="0" fontId="1" fillId="0" borderId="0" xfId="0" applyFont="1" applyAlignment="1">
      <alignment horizontal="center"/>
    </xf>
    <xf numFmtId="0" fontId="1" fillId="0" borderId="0" xfId="0" applyFont="1" applyAlignment="1">
      <alignment horizontal="center"/>
    </xf>
    <xf numFmtId="0" fontId="4" fillId="4" borderId="0" xfId="0" applyFont="1" applyFill="1"/>
  </cellXfs>
  <cellStyles count="1">
    <cellStyle name="Normal" xfId="0" builtinId="0"/>
  </cellStyles>
  <dxfs count="1">
    <dxf>
      <numFmt numFmtId="2" formatCode="0.0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 Project retail-sales-data.xlsx]Pivot Tables!PivotTable1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Total Sales vs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 #,##0</c:formatCode>
                <c:ptCount val="4"/>
                <c:pt idx="0">
                  <c:v>1690028.9299999997</c:v>
                </c:pt>
                <c:pt idx="1">
                  <c:v>1737386.1900000002</c:v>
                </c:pt>
                <c:pt idx="2">
                  <c:v>1299189.919999999</c:v>
                </c:pt>
                <c:pt idx="3">
                  <c:v>1437731.2800000003</c:v>
                </c:pt>
              </c:numCache>
            </c:numRef>
          </c:val>
          <c:extLst>
            <c:ext xmlns:c16="http://schemas.microsoft.com/office/drawing/2014/chart" uri="{C3380CC4-5D6E-409C-BE32-E72D297353CC}">
              <c16:uniqueId val="{00000000-29FE-4BDA-9913-1C9C05F9D726}"/>
            </c:ext>
          </c:extLst>
        </c:ser>
        <c:dLbls>
          <c:dLblPos val="outEnd"/>
          <c:showLegendKey val="0"/>
          <c:showVal val="1"/>
          <c:showCatName val="0"/>
          <c:showSerName val="0"/>
          <c:showPercent val="0"/>
          <c:showBubbleSize val="0"/>
        </c:dLbls>
        <c:gapWidth val="219"/>
        <c:overlap val="-27"/>
        <c:axId val="870266304"/>
        <c:axId val="870284544"/>
      </c:barChart>
      <c:catAx>
        <c:axId val="8702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284544"/>
        <c:crosses val="autoZero"/>
        <c:auto val="1"/>
        <c:lblAlgn val="ctr"/>
        <c:lblOffset val="100"/>
        <c:noMultiLvlLbl val="0"/>
      </c:catAx>
      <c:valAx>
        <c:axId val="870284544"/>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26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 Project retail-sales-data.xlsx]Pivot Tables!PivotTable3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Average</a:t>
            </a:r>
            <a:r>
              <a:rPr lang="en-IN" b="1" baseline="0"/>
              <a:t> Sales per Month</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Tables'!$B$11:$B$12</c:f>
              <c:strCache>
                <c:ptCount val="1"/>
                <c:pt idx="0">
                  <c:v>2025</c:v>
                </c:pt>
              </c:strCache>
            </c:strRef>
          </c:tx>
          <c:spPr>
            <a:ln w="28575" cap="rnd">
              <a:solidFill>
                <a:schemeClr val="accent1"/>
              </a:solidFill>
              <a:round/>
            </a:ln>
            <a:effectLst/>
          </c:spPr>
          <c:marker>
            <c:symbol val="none"/>
          </c:marker>
          <c:cat>
            <c:strRef>
              <c:f>'Pivot Tables'!$A$13:$A$25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Tables'!$B$13:$B$25</c:f>
              <c:numCache>
                <c:formatCode>"₹"\ #,##0</c:formatCode>
                <c:ptCount val="12"/>
                <c:pt idx="0">
                  <c:v>6154.8240000000005</c:v>
                </c:pt>
                <c:pt idx="1">
                  <c:v>6877.0238888888889</c:v>
                </c:pt>
                <c:pt idx="2">
                  <c:v>7451.53</c:v>
                </c:pt>
                <c:pt idx="3">
                  <c:v>9378.9855319148955</c:v>
                </c:pt>
                <c:pt idx="4">
                  <c:v>6819.4513043478264</c:v>
                </c:pt>
                <c:pt idx="5">
                  <c:v>7429.8423913043507</c:v>
                </c:pt>
                <c:pt idx="6">
                  <c:v>6023.8157446808518</c:v>
                </c:pt>
                <c:pt idx="7">
                  <c:v>3787.4442499999991</c:v>
                </c:pt>
                <c:pt idx="8">
                  <c:v>6492.1595238095251</c:v>
                </c:pt>
                <c:pt idx="9">
                  <c:v>6161.3752941176472</c:v>
                </c:pt>
                <c:pt idx="10">
                  <c:v>3689.7707894736827</c:v>
                </c:pt>
                <c:pt idx="11">
                  <c:v>6087.3672916666683</c:v>
                </c:pt>
              </c:numCache>
            </c:numRef>
          </c:val>
          <c:smooth val="0"/>
          <c:extLst>
            <c:ext xmlns:c16="http://schemas.microsoft.com/office/drawing/2014/chart" uri="{C3380CC4-5D6E-409C-BE32-E72D297353CC}">
              <c16:uniqueId val="{00000000-B351-4240-9980-58D8A54444C5}"/>
            </c:ext>
          </c:extLst>
        </c:ser>
        <c:ser>
          <c:idx val="1"/>
          <c:order val="1"/>
          <c:tx>
            <c:strRef>
              <c:f>'Pivot Tables'!$C$11:$C$12</c:f>
              <c:strCache>
                <c:ptCount val="1"/>
                <c:pt idx="0">
                  <c:v>2026</c:v>
                </c:pt>
              </c:strCache>
            </c:strRef>
          </c:tx>
          <c:spPr>
            <a:ln w="28575" cap="rnd">
              <a:solidFill>
                <a:schemeClr val="accent2"/>
              </a:solidFill>
              <a:round/>
            </a:ln>
            <a:effectLst/>
          </c:spPr>
          <c:marker>
            <c:symbol val="none"/>
          </c:marker>
          <c:cat>
            <c:strRef>
              <c:f>'Pivot Tables'!$A$13:$A$25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Tables'!$C$13:$C$25</c:f>
              <c:numCache>
                <c:formatCode>"₹"\ #,##0</c:formatCode>
                <c:ptCount val="12"/>
                <c:pt idx="0">
                  <c:v>5813.3202702702702</c:v>
                </c:pt>
                <c:pt idx="1">
                  <c:v>4681.2213513513516</c:v>
                </c:pt>
                <c:pt idx="2">
                  <c:v>4795.8448936170207</c:v>
                </c:pt>
                <c:pt idx="3">
                  <c:v>5899.288333333333</c:v>
                </c:pt>
                <c:pt idx="4">
                  <c:v>5657.9872972972989</c:v>
                </c:pt>
                <c:pt idx="5">
                  <c:v>4289.2</c:v>
                </c:pt>
                <c:pt idx="6">
                  <c:v>7547.59</c:v>
                </c:pt>
                <c:pt idx="7">
                  <c:v>5674.0076086956524</c:v>
                </c:pt>
                <c:pt idx="8">
                  <c:v>6808.0030769230771</c:v>
                </c:pt>
                <c:pt idx="9">
                  <c:v>13250.24375</c:v>
                </c:pt>
              </c:numCache>
            </c:numRef>
          </c:val>
          <c:smooth val="0"/>
          <c:extLst>
            <c:ext xmlns:c16="http://schemas.microsoft.com/office/drawing/2014/chart" uri="{C3380CC4-5D6E-409C-BE32-E72D297353CC}">
              <c16:uniqueId val="{00000001-E87D-4E34-9FE8-AB0314285CA6}"/>
            </c:ext>
          </c:extLst>
        </c:ser>
        <c:dLbls>
          <c:showLegendKey val="0"/>
          <c:showVal val="0"/>
          <c:showCatName val="0"/>
          <c:showSerName val="0"/>
          <c:showPercent val="0"/>
          <c:showBubbleSize val="0"/>
        </c:dLbls>
        <c:smooth val="0"/>
        <c:axId val="570720896"/>
        <c:axId val="570721376"/>
      </c:lineChart>
      <c:catAx>
        <c:axId val="57072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21376"/>
        <c:crosses val="autoZero"/>
        <c:auto val="1"/>
        <c:lblAlgn val="ctr"/>
        <c:lblOffset val="100"/>
        <c:noMultiLvlLbl val="0"/>
      </c:catAx>
      <c:valAx>
        <c:axId val="570721376"/>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2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 Project retail-sales-data.xlsx]Pivot Tables!PivotTable4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Payment</a:t>
            </a:r>
            <a:r>
              <a:rPr lang="en-IN" b="1" baseline="0"/>
              <a:t> Method Distribution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5.0761421319796982E-2"/>
              <c:y val="-0.12288786482334869"/>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7.6142131979695438E-2"/>
              <c:y val="-9.728622631848438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8.7422447828539196E-2"/>
              <c:y val="1.536098310291858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113931190073322"/>
              <c:y val="7.93650793650793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79497803891264"/>
                  <c:h val="0.10350157843172829"/>
                </c:manualLayout>
              </c15:layout>
            </c:ext>
          </c:extLst>
        </c:dLbl>
      </c:pivotFmt>
      <c:pivotFmt>
        <c:idx val="7"/>
        <c:dLbl>
          <c:idx val="0"/>
          <c:layout>
            <c:manualLayout>
              <c:x val="-0.11562323745064865"/>
              <c:y val="0.11264720942140279"/>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6135"/>
                    <a:gd name="adj2" fmla="val -57111"/>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6.8922305764411024E-2"/>
              <c:y val="-9.72862263184843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dLbl>
          <c:idx val="0"/>
          <c:layout>
            <c:manualLayout>
              <c:x val="8.4586466165413418E-2"/>
              <c:y val="-3.58422939068100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3"/>
          </a:solidFill>
          <a:ln w="19050">
            <a:solidFill>
              <a:schemeClr val="lt1"/>
            </a:solidFill>
          </a:ln>
          <a:effectLst/>
        </c:spPr>
        <c:dLbl>
          <c:idx val="0"/>
          <c:layout>
            <c:manualLayout>
              <c:x val="0.2114661654135338"/>
              <c:y val="1.92830734867818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2299252067177"/>
                  <c:h val="0.19839092694058405"/>
                </c:manualLayout>
              </c15:layout>
            </c:ext>
          </c:extLst>
        </c:dLbl>
      </c:pivotFmt>
      <c:pivotFmt>
        <c:idx val="12"/>
        <c:spPr>
          <a:solidFill>
            <a:schemeClr val="accent4"/>
          </a:solidFill>
          <a:ln w="19050">
            <a:solidFill>
              <a:schemeClr val="lt1"/>
            </a:solidFill>
          </a:ln>
          <a:effectLst/>
        </c:spPr>
        <c:dLbl>
          <c:idx val="0"/>
          <c:layout>
            <c:manualLayout>
              <c:x val="-9.0852130325814531E-2"/>
              <c:y val="0.112647209421403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solidFill>
          <a:ln w="19050">
            <a:solidFill>
              <a:schemeClr val="lt1"/>
            </a:solidFill>
          </a:ln>
          <a:effectLst/>
        </c:spPr>
        <c:dLbl>
          <c:idx val="0"/>
          <c:layout>
            <c:manualLayout>
              <c:x val="-0.10651629072681706"/>
              <c:y val="-8.7045570916538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6.8922305764411024E-2"/>
              <c:y val="-9.72862263184843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8.4586466165413418E-2"/>
              <c:y val="-3.58422939068100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114661654135338"/>
              <c:y val="1.92830734867818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2299252067177"/>
                  <c:h val="0.19839092694058405"/>
                </c:manualLayout>
              </c15:layout>
            </c:ext>
          </c:extLst>
        </c:dLbl>
      </c:pivotFmt>
      <c:pivotFmt>
        <c:idx val="18"/>
        <c:spPr>
          <a:solidFill>
            <a:schemeClr val="accent1"/>
          </a:solidFill>
          <a:ln w="19050">
            <a:solidFill>
              <a:schemeClr val="lt1"/>
            </a:solidFill>
          </a:ln>
          <a:effectLst/>
        </c:spPr>
        <c:dLbl>
          <c:idx val="0"/>
          <c:layout>
            <c:manualLayout>
              <c:x val="-9.0852130325814531E-2"/>
              <c:y val="0.112647209421403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0651629072681706"/>
              <c:y val="-8.7045570916538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6.8922305764411024E-2"/>
              <c:y val="-9.72862263184843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8.4586466165413418E-2"/>
              <c:y val="-3.58422939068100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2114661654135338"/>
              <c:y val="1.92830734867818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2299252067177"/>
                  <c:h val="0.19839092694058405"/>
                </c:manualLayout>
              </c15:layout>
            </c:ext>
          </c:extLst>
        </c:dLbl>
      </c:pivotFmt>
      <c:pivotFmt>
        <c:idx val="24"/>
        <c:spPr>
          <a:solidFill>
            <a:schemeClr val="accent1"/>
          </a:solidFill>
          <a:ln w="19050">
            <a:solidFill>
              <a:schemeClr val="lt1"/>
            </a:solidFill>
          </a:ln>
          <a:effectLst/>
        </c:spPr>
        <c:dLbl>
          <c:idx val="0"/>
          <c:layout>
            <c:manualLayout>
              <c:x val="-9.0852130325814531E-2"/>
              <c:y val="0.112647209421403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10651629072681706"/>
              <c:y val="-8.7045570916538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38-4CE7-9DA1-0E36AC4BA3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38-4CE7-9DA1-0E36AC4BA3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38-4CE7-9DA1-0E36AC4BA3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38-4CE7-9DA1-0E36AC4BA3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38-4CE7-9DA1-0E36AC4BA38B}"/>
              </c:ext>
            </c:extLst>
          </c:dPt>
          <c:dLbls>
            <c:dLbl>
              <c:idx val="0"/>
              <c:layout>
                <c:manualLayout>
                  <c:x val="6.8922305764411024E-2"/>
                  <c:y val="-9.72862263184843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38-4CE7-9DA1-0E36AC4BA38B}"/>
                </c:ext>
              </c:extLst>
            </c:dLbl>
            <c:dLbl>
              <c:idx val="1"/>
              <c:layout>
                <c:manualLayout>
                  <c:x val="8.4586466165413418E-2"/>
                  <c:y val="-3.58422939068100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38-4CE7-9DA1-0E36AC4BA38B}"/>
                </c:ext>
              </c:extLst>
            </c:dLbl>
            <c:dLbl>
              <c:idx val="2"/>
              <c:layout>
                <c:manualLayout>
                  <c:x val="0.2114661654135338"/>
                  <c:y val="1.92830734867818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2299252067177"/>
                      <c:h val="0.19839092694058405"/>
                    </c:manualLayout>
                  </c15:layout>
                </c:ext>
                <c:ext xmlns:c16="http://schemas.microsoft.com/office/drawing/2014/chart" uri="{C3380CC4-5D6E-409C-BE32-E72D297353CC}">
                  <c16:uniqueId val="{00000005-1D38-4CE7-9DA1-0E36AC4BA38B}"/>
                </c:ext>
              </c:extLst>
            </c:dLbl>
            <c:dLbl>
              <c:idx val="3"/>
              <c:layout>
                <c:manualLayout>
                  <c:x val="-9.0852130325814531E-2"/>
                  <c:y val="0.112647209421403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D38-4CE7-9DA1-0E36AC4BA38B}"/>
                </c:ext>
              </c:extLst>
            </c:dLbl>
            <c:dLbl>
              <c:idx val="4"/>
              <c:layout>
                <c:manualLayout>
                  <c:x val="-0.10651629072681706"/>
                  <c:y val="-8.70455709165387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D38-4CE7-9DA1-0E36AC4BA38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Tables'!$F$4:$F$9</c:f>
              <c:strCache>
                <c:ptCount val="5"/>
                <c:pt idx="0">
                  <c:v>Cash</c:v>
                </c:pt>
                <c:pt idx="1">
                  <c:v>Check</c:v>
                </c:pt>
                <c:pt idx="2">
                  <c:v>Credit Card</c:v>
                </c:pt>
                <c:pt idx="3">
                  <c:v>Debit Card</c:v>
                </c:pt>
                <c:pt idx="4">
                  <c:v>Online Payment</c:v>
                </c:pt>
              </c:strCache>
            </c:strRef>
          </c:cat>
          <c:val>
            <c:numRef>
              <c:f>'Pivot Tables'!$G$4:$G$9</c:f>
              <c:numCache>
                <c:formatCode>General</c:formatCode>
                <c:ptCount val="5"/>
                <c:pt idx="0">
                  <c:v>186</c:v>
                </c:pt>
                <c:pt idx="1">
                  <c:v>206</c:v>
                </c:pt>
                <c:pt idx="2">
                  <c:v>217</c:v>
                </c:pt>
                <c:pt idx="3">
                  <c:v>205</c:v>
                </c:pt>
                <c:pt idx="4">
                  <c:v>186</c:v>
                </c:pt>
              </c:numCache>
            </c:numRef>
          </c:val>
          <c:extLst>
            <c:ext xmlns:c16="http://schemas.microsoft.com/office/drawing/2014/chart" uri="{C3380CC4-5D6E-409C-BE32-E72D297353CC}">
              <c16:uniqueId val="{0000000A-1D38-4CE7-9DA1-0E36AC4BA3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[Mani Project retail-sales-data.xlsx]Pivot Tables!PivotTable5</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Total</a:t>
            </a:r>
            <a:r>
              <a:rPr lang="en-US" b="1"/>
              <a:t> Sales by Store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pivotFmt>
    </c:pivotFmts>
    <c:plotArea>
      <c:layout/>
      <c:barChart>
        <c:barDir val="col"/>
        <c:grouping val="clustered"/>
        <c:varyColors val="0"/>
        <c:ser>
          <c:idx val="0"/>
          <c:order val="0"/>
          <c:tx>
            <c:strRef>
              <c:f>'Pivot Tables'!$G$13</c:f>
              <c:strCache>
                <c:ptCount val="1"/>
                <c:pt idx="0">
                  <c:v>Total</c:v>
                </c:pt>
              </c:strCache>
            </c:strRef>
          </c:tx>
          <c:spPr>
            <a:solidFill>
              <a:schemeClr val="accent4"/>
            </a:solidFill>
            <a:ln>
              <a:noFill/>
            </a:ln>
            <a:effectLst/>
          </c:spPr>
          <c:invertIfNegative val="0"/>
          <c:cat>
            <c:strRef>
              <c:f>'Pivot Tables'!$F$14:$F$24</c:f>
              <c:strCache>
                <c:ptCount val="10"/>
                <c:pt idx="0">
                  <c:v>Store-01</c:v>
                </c:pt>
                <c:pt idx="1">
                  <c:v>Store-02</c:v>
                </c:pt>
                <c:pt idx="2">
                  <c:v>Store-03</c:v>
                </c:pt>
                <c:pt idx="3">
                  <c:v>Store-05</c:v>
                </c:pt>
                <c:pt idx="4">
                  <c:v>Store-06</c:v>
                </c:pt>
                <c:pt idx="5">
                  <c:v>Store-12</c:v>
                </c:pt>
                <c:pt idx="6">
                  <c:v>Store-14</c:v>
                </c:pt>
                <c:pt idx="7">
                  <c:v>Store-17</c:v>
                </c:pt>
                <c:pt idx="8">
                  <c:v>Store-19</c:v>
                </c:pt>
                <c:pt idx="9">
                  <c:v>Store-20</c:v>
                </c:pt>
              </c:strCache>
            </c:strRef>
          </c:cat>
          <c:val>
            <c:numRef>
              <c:f>'Pivot Tables'!$G$14:$G$24</c:f>
              <c:numCache>
                <c:formatCode>"₹"\ #,##0</c:formatCode>
                <c:ptCount val="10"/>
                <c:pt idx="0">
                  <c:v>325053.24000000005</c:v>
                </c:pt>
                <c:pt idx="1">
                  <c:v>384413.49000000011</c:v>
                </c:pt>
                <c:pt idx="2">
                  <c:v>427955.59000000008</c:v>
                </c:pt>
                <c:pt idx="3">
                  <c:v>402437.45999999996</c:v>
                </c:pt>
                <c:pt idx="4">
                  <c:v>309740.68999999994</c:v>
                </c:pt>
                <c:pt idx="5">
                  <c:v>443379.29</c:v>
                </c:pt>
                <c:pt idx="6">
                  <c:v>423521.07000000024</c:v>
                </c:pt>
                <c:pt idx="7">
                  <c:v>343612.6</c:v>
                </c:pt>
                <c:pt idx="8">
                  <c:v>337754.49999999994</c:v>
                </c:pt>
                <c:pt idx="9">
                  <c:v>311845.90000000002</c:v>
                </c:pt>
              </c:numCache>
            </c:numRef>
          </c:val>
          <c:extLst>
            <c:ext xmlns:c16="http://schemas.microsoft.com/office/drawing/2014/chart" uri="{C3380CC4-5D6E-409C-BE32-E72D297353CC}">
              <c16:uniqueId val="{00000000-AC0B-4450-BABA-D5F8EE2A5A06}"/>
            </c:ext>
          </c:extLst>
        </c:ser>
        <c:dLbls>
          <c:showLegendKey val="0"/>
          <c:showVal val="0"/>
          <c:showCatName val="0"/>
          <c:showSerName val="0"/>
          <c:showPercent val="0"/>
          <c:showBubbleSize val="0"/>
        </c:dLbls>
        <c:gapWidth val="182"/>
        <c:axId val="732068800"/>
        <c:axId val="732067840"/>
      </c:barChart>
      <c:catAx>
        <c:axId val="732068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67840"/>
        <c:crosses val="autoZero"/>
        <c:auto val="1"/>
        <c:lblAlgn val="ctr"/>
        <c:lblOffset val="100"/>
        <c:noMultiLvlLbl val="0"/>
      </c:catAx>
      <c:valAx>
        <c:axId val="73206784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6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 Project retail-sales-data.xlsx]Pivot Tables!PivotTable6</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Category by Sales &amp;</a:t>
            </a:r>
            <a:r>
              <a:rPr lang="en-US" b="1"/>
              <a:t> Discount (%)</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4"/>
          </a:solidFill>
          <a:ln w="19050">
            <a:solidFill>
              <a:schemeClr val="lt1"/>
            </a:solidFill>
          </a:ln>
          <a:effectLst/>
        </c:spPr>
      </c:pivotFmt>
      <c:pivotFmt>
        <c:idx val="17"/>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3"/>
          </a:solidFill>
          <a:ln w="19050">
            <a:solidFill>
              <a:schemeClr val="lt1"/>
            </a:solidFill>
          </a:ln>
          <a:effectLst/>
        </c:spPr>
      </c:pivotFmt>
      <c:pivotFmt>
        <c:idx val="21"/>
        <c:spPr>
          <a:solidFill>
            <a:schemeClr val="accent4"/>
          </a:solidFill>
          <a:ln w="19050">
            <a:solidFill>
              <a:schemeClr val="lt1"/>
            </a:solidFill>
          </a:ln>
          <a:effectLst/>
        </c:spPr>
      </c:pivotFmt>
      <c:pivotFmt>
        <c:idx val="22"/>
        <c:marker>
          <c:symbol val="none"/>
        </c:marker>
        <c:dLbl>
          <c:idx val="0"/>
          <c:delete val="1"/>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3"/>
          </a:solidFill>
          <a:ln w="19050">
            <a:solidFill>
              <a:schemeClr val="lt1"/>
            </a:solidFill>
          </a:ln>
          <a:effectLst/>
        </c:spPr>
      </c:pivotFmt>
      <c:pivotFmt>
        <c:idx val="26"/>
        <c:spPr>
          <a:solidFill>
            <a:schemeClr val="accent4"/>
          </a:solidFill>
          <a:ln w="19050">
            <a:solidFill>
              <a:schemeClr val="lt1"/>
            </a:solidFill>
          </a:ln>
          <a:effectLst/>
        </c:spPr>
      </c:pivotFmt>
    </c:pivotFmts>
    <c:plotArea>
      <c:layout/>
      <c:pieChart>
        <c:varyColors val="1"/>
        <c:ser>
          <c:idx val="0"/>
          <c:order val="0"/>
          <c:tx>
            <c:strRef>
              <c:f>'Pivot Tables'!$I$10</c:f>
              <c:strCache>
                <c:ptCount val="1"/>
                <c:pt idx="0">
                  <c:v>Average of Discount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A7-4F18-A845-1C9B37798F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A7-4F18-A845-1C9B37798F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A7-4F18-A845-1C9B37798F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A7-4F18-A845-1C9B37798FB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Tables'!$H$11:$H$15</c:f>
              <c:strCache>
                <c:ptCount val="4"/>
                <c:pt idx="0">
                  <c:v>Accessories</c:v>
                </c:pt>
                <c:pt idx="1">
                  <c:v>Electronics</c:v>
                </c:pt>
                <c:pt idx="2">
                  <c:v>Furniture</c:v>
                </c:pt>
                <c:pt idx="3">
                  <c:v>Peripherals</c:v>
                </c:pt>
              </c:strCache>
            </c:strRef>
          </c:cat>
          <c:val>
            <c:numRef>
              <c:f>'Pivot Tables'!$I$11:$I$15</c:f>
              <c:numCache>
                <c:formatCode>0.00</c:formatCode>
                <c:ptCount val="4"/>
                <c:pt idx="0">
                  <c:v>6.651651651651652</c:v>
                </c:pt>
                <c:pt idx="1">
                  <c:v>6.5294117647058822</c:v>
                </c:pt>
                <c:pt idx="2">
                  <c:v>6.384615384615385</c:v>
                </c:pt>
                <c:pt idx="3">
                  <c:v>7.1573604060913709</c:v>
                </c:pt>
              </c:numCache>
            </c:numRef>
          </c:val>
          <c:extLst>
            <c:ext xmlns:c16="http://schemas.microsoft.com/office/drawing/2014/chart" uri="{C3380CC4-5D6E-409C-BE32-E72D297353CC}">
              <c16:uniqueId val="{00000008-C0A7-4F18-A845-1C9B37798FB6}"/>
            </c:ext>
          </c:extLst>
        </c:ser>
        <c:ser>
          <c:idx val="1"/>
          <c:order val="1"/>
          <c:tx>
            <c:strRef>
              <c:f>'Pivot Tables'!$J$10</c:f>
              <c:strCache>
                <c:ptCount val="1"/>
                <c:pt idx="0">
                  <c:v>Sum of Total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C0A7-4F18-A845-1C9B37798F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C0A7-4F18-A845-1C9B37798F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C0A7-4F18-A845-1C9B37798F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C0A7-4F18-A845-1C9B37798FB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Tables'!$H$11:$H$15</c:f>
              <c:strCache>
                <c:ptCount val="4"/>
                <c:pt idx="0">
                  <c:v>Accessories</c:v>
                </c:pt>
                <c:pt idx="1">
                  <c:v>Electronics</c:v>
                </c:pt>
                <c:pt idx="2">
                  <c:v>Furniture</c:v>
                </c:pt>
                <c:pt idx="3">
                  <c:v>Peripherals</c:v>
                </c:pt>
              </c:strCache>
            </c:strRef>
          </c:cat>
          <c:val>
            <c:numRef>
              <c:f>'Pivot Tables'!$J$11:$J$15</c:f>
              <c:numCache>
                <c:formatCode>0.00</c:formatCode>
                <c:ptCount val="4"/>
                <c:pt idx="0">
                  <c:v>372188.7099999999</c:v>
                </c:pt>
                <c:pt idx="1">
                  <c:v>4192529.43</c:v>
                </c:pt>
                <c:pt idx="2">
                  <c:v>1329983.9200000002</c:v>
                </c:pt>
                <c:pt idx="3">
                  <c:v>269634.26000000007</c:v>
                </c:pt>
              </c:numCache>
            </c:numRef>
          </c:val>
          <c:extLst>
            <c:ext xmlns:c16="http://schemas.microsoft.com/office/drawing/2014/chart" uri="{C3380CC4-5D6E-409C-BE32-E72D297353CC}">
              <c16:uniqueId val="{00000011-C0A7-4F18-A845-1C9B37798FB6}"/>
            </c:ext>
          </c:extLst>
        </c:ser>
        <c:ser>
          <c:idx val="2"/>
          <c:order val="2"/>
          <c:tx>
            <c:strRef>
              <c:f>'Pivot Tables'!$K$10</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15D1-4199-A13C-D841834598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15D1-4199-A13C-D841834598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15D1-4199-A13C-D841834598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15D1-4199-A13C-D84183459804}"/>
              </c:ext>
            </c:extLst>
          </c:dPt>
          <c:cat>
            <c:strRef>
              <c:f>'Pivot Tables'!$H$11:$H$15</c:f>
              <c:strCache>
                <c:ptCount val="4"/>
                <c:pt idx="0">
                  <c:v>Accessories</c:v>
                </c:pt>
                <c:pt idx="1">
                  <c:v>Electronics</c:v>
                </c:pt>
                <c:pt idx="2">
                  <c:v>Furniture</c:v>
                </c:pt>
                <c:pt idx="3">
                  <c:v>Peripherals</c:v>
                </c:pt>
              </c:strCache>
            </c:strRef>
          </c:cat>
          <c:val>
            <c:numRef>
              <c:f>'Pivot Tables'!$K$11:$K$15</c:f>
              <c:numCache>
                <c:formatCode>0.00</c:formatCode>
                <c:ptCount val="4"/>
                <c:pt idx="0">
                  <c:v>8514</c:v>
                </c:pt>
                <c:pt idx="1">
                  <c:v>9012</c:v>
                </c:pt>
                <c:pt idx="2">
                  <c:v>3011</c:v>
                </c:pt>
                <c:pt idx="3">
                  <c:v>5044</c:v>
                </c:pt>
              </c:numCache>
            </c:numRef>
          </c:val>
          <c:extLst>
            <c:ext xmlns:c16="http://schemas.microsoft.com/office/drawing/2014/chart" uri="{C3380CC4-5D6E-409C-BE32-E72D297353CC}">
              <c16:uniqueId val="{00000012-C0A7-4F18-A845-1C9B37798FB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 Project retail-sales-data.xlsx]Pivot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vs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 #,##0</c:formatCode>
                <c:ptCount val="4"/>
                <c:pt idx="0">
                  <c:v>1690028.9299999997</c:v>
                </c:pt>
                <c:pt idx="1">
                  <c:v>1737386.1900000002</c:v>
                </c:pt>
                <c:pt idx="2">
                  <c:v>1299189.919999999</c:v>
                </c:pt>
                <c:pt idx="3">
                  <c:v>1437731.2800000003</c:v>
                </c:pt>
              </c:numCache>
            </c:numRef>
          </c:val>
          <c:extLst>
            <c:ext xmlns:c16="http://schemas.microsoft.com/office/drawing/2014/chart" uri="{C3380CC4-5D6E-409C-BE32-E72D297353CC}">
              <c16:uniqueId val="{00000000-99A5-4105-A0C1-D36A9FB66A1A}"/>
            </c:ext>
          </c:extLst>
        </c:ser>
        <c:dLbls>
          <c:dLblPos val="outEnd"/>
          <c:showLegendKey val="0"/>
          <c:showVal val="1"/>
          <c:showCatName val="0"/>
          <c:showSerName val="0"/>
          <c:showPercent val="0"/>
          <c:showBubbleSize val="0"/>
        </c:dLbls>
        <c:gapWidth val="219"/>
        <c:overlap val="-27"/>
        <c:axId val="870266304"/>
        <c:axId val="870284544"/>
      </c:barChart>
      <c:catAx>
        <c:axId val="8702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284544"/>
        <c:crosses val="autoZero"/>
        <c:auto val="1"/>
        <c:lblAlgn val="ctr"/>
        <c:lblOffset val="100"/>
        <c:noMultiLvlLbl val="0"/>
      </c:catAx>
      <c:valAx>
        <c:axId val="870284544"/>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26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 Project retail-sales-data.xlsx]Pivot Tables!PivotTable3</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Average</a:t>
            </a:r>
            <a:r>
              <a:rPr lang="en-IN" b="1" baseline="0"/>
              <a:t> Sales per Month</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Tables'!$B$11:$B$12</c:f>
              <c:strCache>
                <c:ptCount val="1"/>
                <c:pt idx="0">
                  <c:v>2025</c:v>
                </c:pt>
              </c:strCache>
            </c:strRef>
          </c:tx>
          <c:spPr>
            <a:ln w="28575" cap="rnd">
              <a:solidFill>
                <a:schemeClr val="accent1"/>
              </a:solidFill>
              <a:round/>
            </a:ln>
            <a:effectLst/>
          </c:spPr>
          <c:marker>
            <c:symbol val="none"/>
          </c:marker>
          <c:cat>
            <c:strRef>
              <c:f>'Pivot Tables'!$A$13:$A$25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Tables'!$B$13:$B$25</c:f>
              <c:numCache>
                <c:formatCode>"₹"\ #,##0</c:formatCode>
                <c:ptCount val="12"/>
                <c:pt idx="0">
                  <c:v>6154.8240000000005</c:v>
                </c:pt>
                <c:pt idx="1">
                  <c:v>6877.0238888888889</c:v>
                </c:pt>
                <c:pt idx="2">
                  <c:v>7451.53</c:v>
                </c:pt>
                <c:pt idx="3">
                  <c:v>9378.9855319148955</c:v>
                </c:pt>
                <c:pt idx="4">
                  <c:v>6819.4513043478264</c:v>
                </c:pt>
                <c:pt idx="5">
                  <c:v>7429.8423913043507</c:v>
                </c:pt>
                <c:pt idx="6">
                  <c:v>6023.8157446808518</c:v>
                </c:pt>
                <c:pt idx="7">
                  <c:v>3787.4442499999991</c:v>
                </c:pt>
                <c:pt idx="8">
                  <c:v>6492.1595238095251</c:v>
                </c:pt>
                <c:pt idx="9">
                  <c:v>6161.3752941176472</c:v>
                </c:pt>
                <c:pt idx="10">
                  <c:v>3689.7707894736827</c:v>
                </c:pt>
                <c:pt idx="11">
                  <c:v>6087.3672916666683</c:v>
                </c:pt>
              </c:numCache>
            </c:numRef>
          </c:val>
          <c:smooth val="0"/>
          <c:extLst>
            <c:ext xmlns:c16="http://schemas.microsoft.com/office/drawing/2014/chart" uri="{C3380CC4-5D6E-409C-BE32-E72D297353CC}">
              <c16:uniqueId val="{00000000-1A7A-483C-979F-31C528E0F3E4}"/>
            </c:ext>
          </c:extLst>
        </c:ser>
        <c:ser>
          <c:idx val="1"/>
          <c:order val="1"/>
          <c:tx>
            <c:strRef>
              <c:f>'Pivot Tables'!$C$11:$C$12</c:f>
              <c:strCache>
                <c:ptCount val="1"/>
                <c:pt idx="0">
                  <c:v>2026</c:v>
                </c:pt>
              </c:strCache>
            </c:strRef>
          </c:tx>
          <c:spPr>
            <a:ln w="28575" cap="rnd">
              <a:solidFill>
                <a:schemeClr val="accent2"/>
              </a:solidFill>
              <a:round/>
            </a:ln>
            <a:effectLst/>
          </c:spPr>
          <c:marker>
            <c:symbol val="none"/>
          </c:marker>
          <c:cat>
            <c:strRef>
              <c:f>'Pivot Tables'!$A$13:$A$25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Tables'!$C$13:$C$25</c:f>
              <c:numCache>
                <c:formatCode>"₹"\ #,##0</c:formatCode>
                <c:ptCount val="12"/>
                <c:pt idx="0">
                  <c:v>5813.3202702702702</c:v>
                </c:pt>
                <c:pt idx="1">
                  <c:v>4681.2213513513516</c:v>
                </c:pt>
                <c:pt idx="2">
                  <c:v>4795.8448936170207</c:v>
                </c:pt>
                <c:pt idx="3">
                  <c:v>5899.288333333333</c:v>
                </c:pt>
                <c:pt idx="4">
                  <c:v>5657.9872972972989</c:v>
                </c:pt>
                <c:pt idx="5">
                  <c:v>4289.2</c:v>
                </c:pt>
                <c:pt idx="6">
                  <c:v>7547.59</c:v>
                </c:pt>
                <c:pt idx="7">
                  <c:v>5674.0076086956524</c:v>
                </c:pt>
                <c:pt idx="8">
                  <c:v>6808.0030769230771</c:v>
                </c:pt>
                <c:pt idx="9">
                  <c:v>13250.24375</c:v>
                </c:pt>
              </c:numCache>
            </c:numRef>
          </c:val>
          <c:smooth val="0"/>
          <c:extLst>
            <c:ext xmlns:c16="http://schemas.microsoft.com/office/drawing/2014/chart" uri="{C3380CC4-5D6E-409C-BE32-E72D297353CC}">
              <c16:uniqueId val="{00000004-1A7A-483C-979F-31C528E0F3E4}"/>
            </c:ext>
          </c:extLst>
        </c:ser>
        <c:dLbls>
          <c:showLegendKey val="0"/>
          <c:showVal val="0"/>
          <c:showCatName val="0"/>
          <c:showSerName val="0"/>
          <c:showPercent val="0"/>
          <c:showBubbleSize val="0"/>
        </c:dLbls>
        <c:smooth val="0"/>
        <c:axId val="570720896"/>
        <c:axId val="570721376"/>
      </c:lineChart>
      <c:catAx>
        <c:axId val="57072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21376"/>
        <c:crosses val="autoZero"/>
        <c:auto val="1"/>
        <c:lblAlgn val="ctr"/>
        <c:lblOffset val="100"/>
        <c:noMultiLvlLbl val="0"/>
      </c:catAx>
      <c:valAx>
        <c:axId val="570721376"/>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2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 Project retail-sales-data.xlsx]Pivot Tables!PivotTable4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Payment</a:t>
            </a:r>
            <a:r>
              <a:rPr lang="en-IN" b="1" baseline="0"/>
              <a:t> Method Distribution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5.0761421319796982E-2"/>
              <c:y val="-0.12288786482334869"/>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7.6142131979695438E-2"/>
              <c:y val="-9.728622631848438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8.7422447828539196E-2"/>
              <c:y val="1.536098310291858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113931190073322"/>
              <c:y val="7.93650793650793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479497803891264"/>
                  <c:h val="0.10350157843172829"/>
                </c:manualLayout>
              </c15:layout>
            </c:ext>
          </c:extLst>
        </c:dLbl>
      </c:pivotFmt>
      <c:pivotFmt>
        <c:idx val="7"/>
        <c:dLbl>
          <c:idx val="0"/>
          <c:layout>
            <c:manualLayout>
              <c:x val="-0.11562323745064865"/>
              <c:y val="0.11264720942140279"/>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6135"/>
                    <a:gd name="adj2" fmla="val -57111"/>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6.8922305764411024E-2"/>
              <c:y val="-9.72862263184843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dLbl>
          <c:idx val="0"/>
          <c:layout>
            <c:manualLayout>
              <c:x val="8.4586466165413418E-2"/>
              <c:y val="-3.58422939068100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3"/>
          </a:solidFill>
          <a:ln w="19050">
            <a:solidFill>
              <a:schemeClr val="lt1"/>
            </a:solidFill>
          </a:ln>
          <a:effectLst/>
        </c:spPr>
        <c:dLbl>
          <c:idx val="0"/>
          <c:layout>
            <c:manualLayout>
              <c:x val="0.2114661654135338"/>
              <c:y val="1.92830734867818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2299252067177"/>
                  <c:h val="0.19839092694058405"/>
                </c:manualLayout>
              </c15:layout>
            </c:ext>
          </c:extLst>
        </c:dLbl>
      </c:pivotFmt>
      <c:pivotFmt>
        <c:idx val="12"/>
        <c:spPr>
          <a:solidFill>
            <a:schemeClr val="accent4"/>
          </a:solidFill>
          <a:ln w="19050">
            <a:solidFill>
              <a:schemeClr val="lt1"/>
            </a:solidFill>
          </a:ln>
          <a:effectLst/>
        </c:spPr>
        <c:dLbl>
          <c:idx val="0"/>
          <c:layout>
            <c:manualLayout>
              <c:x val="-9.0852130325814531E-2"/>
              <c:y val="0.112647209421403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solidFill>
          <a:ln w="19050">
            <a:solidFill>
              <a:schemeClr val="lt1"/>
            </a:solidFill>
          </a:ln>
          <a:effectLst/>
        </c:spPr>
        <c:dLbl>
          <c:idx val="0"/>
          <c:layout>
            <c:manualLayout>
              <c:x val="-0.10651629072681706"/>
              <c:y val="-8.7045570916538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6.8922305764411024E-2"/>
              <c:y val="-9.72862263184843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8.4586466165413418E-2"/>
              <c:y val="-3.58422939068100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114661654135338"/>
              <c:y val="1.92830734867818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2299252067177"/>
                  <c:h val="0.19839092694058405"/>
                </c:manualLayout>
              </c15:layout>
            </c:ext>
          </c:extLst>
        </c:dLbl>
      </c:pivotFmt>
      <c:pivotFmt>
        <c:idx val="18"/>
        <c:spPr>
          <a:solidFill>
            <a:schemeClr val="accent1"/>
          </a:solidFill>
          <a:ln w="19050">
            <a:solidFill>
              <a:schemeClr val="lt1"/>
            </a:solidFill>
          </a:ln>
          <a:effectLst/>
        </c:spPr>
        <c:dLbl>
          <c:idx val="0"/>
          <c:layout>
            <c:manualLayout>
              <c:x val="-9.0852130325814531E-2"/>
              <c:y val="0.112647209421403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0651629072681706"/>
              <c:y val="-8.7045570916538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6.8922305764411024E-2"/>
              <c:y val="-9.72862263184843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8.4586466165413418E-2"/>
              <c:y val="-3.58422939068100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2114661654135338"/>
              <c:y val="1.92830734867818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2299252067177"/>
                  <c:h val="0.19839092694058405"/>
                </c:manualLayout>
              </c15:layout>
            </c:ext>
          </c:extLst>
        </c:dLbl>
      </c:pivotFmt>
      <c:pivotFmt>
        <c:idx val="24"/>
        <c:spPr>
          <a:solidFill>
            <a:schemeClr val="accent1"/>
          </a:solidFill>
          <a:ln w="19050">
            <a:solidFill>
              <a:schemeClr val="lt1"/>
            </a:solidFill>
          </a:ln>
          <a:effectLst/>
        </c:spPr>
        <c:dLbl>
          <c:idx val="0"/>
          <c:layout>
            <c:manualLayout>
              <c:x val="-9.0852130325814531E-2"/>
              <c:y val="0.112647209421403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0.10651629072681706"/>
              <c:y val="-8.7045570916538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6.8922305764411024E-2"/>
              <c:y val="-9.72862263184843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8.4586466165413418E-2"/>
              <c:y val="-3.58422939068100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0.2114661654135338"/>
              <c:y val="1.92830734867818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2299252067177"/>
                  <c:h val="0.19839092694058405"/>
                </c:manualLayout>
              </c15:layout>
            </c:ext>
          </c:extLst>
        </c:dLbl>
      </c:pivotFmt>
      <c:pivotFmt>
        <c:idx val="31"/>
        <c:spPr>
          <a:solidFill>
            <a:schemeClr val="accent1"/>
          </a:solidFill>
          <a:ln w="19050">
            <a:solidFill>
              <a:schemeClr val="lt1"/>
            </a:solidFill>
          </a:ln>
          <a:effectLst/>
        </c:spPr>
        <c:dLbl>
          <c:idx val="0"/>
          <c:layout>
            <c:manualLayout>
              <c:x val="-9.0852130325814531E-2"/>
              <c:y val="0.112647209421403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19050">
            <a:solidFill>
              <a:schemeClr val="lt1"/>
            </a:solidFill>
          </a:ln>
          <a:effectLst/>
        </c:spPr>
        <c:dLbl>
          <c:idx val="0"/>
          <c:layout>
            <c:manualLayout>
              <c:x val="-0.10651629072681706"/>
              <c:y val="-8.7045570916538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19050">
            <a:solidFill>
              <a:schemeClr val="lt1"/>
            </a:solidFill>
          </a:ln>
          <a:effectLst/>
        </c:spPr>
        <c:dLbl>
          <c:idx val="0"/>
          <c:layout>
            <c:manualLayout>
              <c:x val="6.8922305764411024E-2"/>
              <c:y val="-9.72862263184843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dLbl>
          <c:idx val="0"/>
          <c:layout>
            <c:manualLayout>
              <c:x val="8.4586466165413418E-2"/>
              <c:y val="-3.58422939068100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19050">
            <a:solidFill>
              <a:schemeClr val="lt1"/>
            </a:solidFill>
          </a:ln>
          <a:effectLst/>
        </c:spPr>
        <c:dLbl>
          <c:idx val="0"/>
          <c:layout>
            <c:manualLayout>
              <c:x val="0.2114661654135338"/>
              <c:y val="1.92830734867818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2299252067177"/>
                  <c:h val="0.19839092694058405"/>
                </c:manualLayout>
              </c15:layout>
            </c:ext>
          </c:extLst>
        </c:dLbl>
      </c:pivotFmt>
      <c:pivotFmt>
        <c:idx val="37"/>
        <c:spPr>
          <a:solidFill>
            <a:schemeClr val="accent1"/>
          </a:solidFill>
          <a:ln w="19050">
            <a:solidFill>
              <a:schemeClr val="lt1"/>
            </a:solidFill>
          </a:ln>
          <a:effectLst/>
        </c:spPr>
        <c:dLbl>
          <c:idx val="0"/>
          <c:layout>
            <c:manualLayout>
              <c:x val="-9.0852130325814531E-2"/>
              <c:y val="0.112647209421403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19050">
            <a:solidFill>
              <a:schemeClr val="lt1"/>
            </a:solidFill>
          </a:ln>
          <a:effectLst/>
        </c:spPr>
        <c:dLbl>
          <c:idx val="0"/>
          <c:layout>
            <c:manualLayout>
              <c:x val="-0.10651629072681706"/>
              <c:y val="-8.70455709165387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8C-44FE-80A5-4943238C13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8C-44FE-80A5-4943238C13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8C-44FE-80A5-4943238C13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8C-44FE-80A5-4943238C13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8C-44FE-80A5-4943238C1356}"/>
              </c:ext>
            </c:extLst>
          </c:dPt>
          <c:dLbls>
            <c:dLbl>
              <c:idx val="0"/>
              <c:layout>
                <c:manualLayout>
                  <c:x val="6.8922305764411024E-2"/>
                  <c:y val="-9.72862263184843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8C-44FE-80A5-4943238C1356}"/>
                </c:ext>
              </c:extLst>
            </c:dLbl>
            <c:dLbl>
              <c:idx val="1"/>
              <c:layout>
                <c:manualLayout>
                  <c:x val="8.4586466165413418E-2"/>
                  <c:y val="-3.58422939068100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8C-44FE-80A5-4943238C1356}"/>
                </c:ext>
              </c:extLst>
            </c:dLbl>
            <c:dLbl>
              <c:idx val="2"/>
              <c:layout>
                <c:manualLayout>
                  <c:x val="0.2114661654135338"/>
                  <c:y val="1.92830734867818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32299252067177"/>
                      <c:h val="0.19839092694058405"/>
                    </c:manualLayout>
                  </c15:layout>
                </c:ext>
                <c:ext xmlns:c16="http://schemas.microsoft.com/office/drawing/2014/chart" uri="{C3380CC4-5D6E-409C-BE32-E72D297353CC}">
                  <c16:uniqueId val="{00000005-1D8C-44FE-80A5-4943238C1356}"/>
                </c:ext>
              </c:extLst>
            </c:dLbl>
            <c:dLbl>
              <c:idx val="3"/>
              <c:layout>
                <c:manualLayout>
                  <c:x val="-9.0852130325814531E-2"/>
                  <c:y val="0.112647209421403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D8C-44FE-80A5-4943238C1356}"/>
                </c:ext>
              </c:extLst>
            </c:dLbl>
            <c:dLbl>
              <c:idx val="4"/>
              <c:layout>
                <c:manualLayout>
                  <c:x val="-0.10651629072681706"/>
                  <c:y val="-8.70455709165387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D8C-44FE-80A5-4943238C135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Tables'!$F$4:$F$9</c:f>
              <c:strCache>
                <c:ptCount val="5"/>
                <c:pt idx="0">
                  <c:v>Cash</c:v>
                </c:pt>
                <c:pt idx="1">
                  <c:v>Check</c:v>
                </c:pt>
                <c:pt idx="2">
                  <c:v>Credit Card</c:v>
                </c:pt>
                <c:pt idx="3">
                  <c:v>Debit Card</c:v>
                </c:pt>
                <c:pt idx="4">
                  <c:v>Online Payment</c:v>
                </c:pt>
              </c:strCache>
            </c:strRef>
          </c:cat>
          <c:val>
            <c:numRef>
              <c:f>'Pivot Tables'!$G$4:$G$9</c:f>
              <c:numCache>
                <c:formatCode>General</c:formatCode>
                <c:ptCount val="5"/>
                <c:pt idx="0">
                  <c:v>186</c:v>
                </c:pt>
                <c:pt idx="1">
                  <c:v>206</c:v>
                </c:pt>
                <c:pt idx="2">
                  <c:v>217</c:v>
                </c:pt>
                <c:pt idx="3">
                  <c:v>205</c:v>
                </c:pt>
                <c:pt idx="4">
                  <c:v>186</c:v>
                </c:pt>
              </c:numCache>
            </c:numRef>
          </c:val>
          <c:extLst>
            <c:ext xmlns:c16="http://schemas.microsoft.com/office/drawing/2014/chart" uri="{C3380CC4-5D6E-409C-BE32-E72D297353CC}">
              <c16:uniqueId val="{0000000A-1D8C-44FE-80A5-4943238C13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 Project retail-sales-data.xlsx]Pivot Tables!PivotTable6</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a:t>
            </a:r>
            <a:r>
              <a:rPr lang="en-US" b="1" baseline="0"/>
              <a:t> Category by Sales &amp;</a:t>
            </a:r>
            <a:r>
              <a:rPr lang="en-US" b="1"/>
              <a:t> Discount (%)</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chemeClr val="accent1"/>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3"/>
          </a:solidFill>
          <a:ln w="19050">
            <a:solidFill>
              <a:schemeClr val="lt1"/>
            </a:solidFill>
          </a:ln>
          <a:effectLst/>
        </c:spPr>
      </c:pivotFmt>
      <c:pivotFmt>
        <c:idx val="36"/>
        <c:spPr>
          <a:solidFill>
            <a:schemeClr val="accent4"/>
          </a:solidFill>
          <a:ln w="19050">
            <a:solidFill>
              <a:schemeClr val="lt1"/>
            </a:solidFill>
          </a:ln>
          <a:effectLst/>
        </c:spPr>
      </c:pivotFmt>
      <c:pivotFmt>
        <c:idx val="37"/>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accent1"/>
          </a:solidFill>
          <a:ln w="19050">
            <a:solidFill>
              <a:schemeClr val="lt1"/>
            </a:solidFill>
          </a:ln>
          <a:effectLst/>
        </c:spPr>
      </c:pivotFmt>
      <c:pivotFmt>
        <c:idx val="39"/>
        <c:spPr>
          <a:solidFill>
            <a:schemeClr val="accent2"/>
          </a:solidFill>
          <a:ln w="19050">
            <a:solidFill>
              <a:schemeClr val="lt1"/>
            </a:solidFill>
          </a:ln>
          <a:effectLst/>
        </c:spPr>
      </c:pivotFmt>
      <c:pivotFmt>
        <c:idx val="40"/>
        <c:spPr>
          <a:solidFill>
            <a:schemeClr val="accent3"/>
          </a:solidFill>
          <a:ln w="19050">
            <a:solidFill>
              <a:schemeClr val="lt1"/>
            </a:solidFill>
          </a:ln>
          <a:effectLst/>
        </c:spPr>
      </c:pivotFmt>
      <c:pivotFmt>
        <c:idx val="41"/>
        <c:spPr>
          <a:solidFill>
            <a:schemeClr val="accent4"/>
          </a:solidFill>
          <a:ln w="19050">
            <a:solidFill>
              <a:schemeClr val="lt1"/>
            </a:solidFill>
          </a:ln>
          <a:effectLst/>
        </c:spPr>
      </c:pivotFmt>
      <c:pivotFmt>
        <c:idx val="42"/>
        <c:marker>
          <c:symbol val="none"/>
        </c:marker>
        <c:dLbl>
          <c:idx val="0"/>
          <c:delete val="1"/>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2"/>
          </a:solidFill>
          <a:ln w="19050">
            <a:solidFill>
              <a:schemeClr val="lt1"/>
            </a:solidFill>
          </a:ln>
          <a:effectLst/>
        </c:spPr>
      </c:pivotFmt>
      <c:pivotFmt>
        <c:idx val="45"/>
        <c:spPr>
          <a:solidFill>
            <a:schemeClr val="accent3"/>
          </a:solidFill>
          <a:ln w="19050">
            <a:solidFill>
              <a:schemeClr val="lt1"/>
            </a:solidFill>
          </a:ln>
          <a:effectLst/>
        </c:spPr>
      </c:pivotFmt>
      <c:pivotFmt>
        <c:idx val="46"/>
        <c:spPr>
          <a:solidFill>
            <a:schemeClr val="accent4"/>
          </a:solidFill>
          <a:ln w="19050">
            <a:solidFill>
              <a:schemeClr val="lt1"/>
            </a:solidFill>
          </a:ln>
          <a:effectLst/>
        </c:spPr>
      </c:pivotFmt>
    </c:pivotFmts>
    <c:plotArea>
      <c:layout/>
      <c:pieChart>
        <c:varyColors val="1"/>
        <c:ser>
          <c:idx val="0"/>
          <c:order val="0"/>
          <c:tx>
            <c:strRef>
              <c:f>'Pivot Tables'!$I$10</c:f>
              <c:strCache>
                <c:ptCount val="1"/>
                <c:pt idx="0">
                  <c:v>Average of Discount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4C-4F5E-A724-2C55356E80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4C-4F5E-A724-2C55356E80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4C-4F5E-A724-2C55356E80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4C-4F5E-A724-2C55356E809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Tables'!$H$11:$H$15</c:f>
              <c:strCache>
                <c:ptCount val="4"/>
                <c:pt idx="0">
                  <c:v>Accessories</c:v>
                </c:pt>
                <c:pt idx="1">
                  <c:v>Electronics</c:v>
                </c:pt>
                <c:pt idx="2">
                  <c:v>Furniture</c:v>
                </c:pt>
                <c:pt idx="3">
                  <c:v>Peripherals</c:v>
                </c:pt>
              </c:strCache>
            </c:strRef>
          </c:cat>
          <c:val>
            <c:numRef>
              <c:f>'Pivot Tables'!$I$11:$I$15</c:f>
              <c:numCache>
                <c:formatCode>0.00</c:formatCode>
                <c:ptCount val="4"/>
                <c:pt idx="0">
                  <c:v>6.651651651651652</c:v>
                </c:pt>
                <c:pt idx="1">
                  <c:v>6.5294117647058822</c:v>
                </c:pt>
                <c:pt idx="2">
                  <c:v>6.384615384615385</c:v>
                </c:pt>
                <c:pt idx="3">
                  <c:v>7.1573604060913709</c:v>
                </c:pt>
              </c:numCache>
            </c:numRef>
          </c:val>
          <c:extLst>
            <c:ext xmlns:c16="http://schemas.microsoft.com/office/drawing/2014/chart" uri="{C3380CC4-5D6E-409C-BE32-E72D297353CC}">
              <c16:uniqueId val="{00000008-9B4C-4F5E-A724-2C55356E809B}"/>
            </c:ext>
          </c:extLst>
        </c:ser>
        <c:ser>
          <c:idx val="1"/>
          <c:order val="1"/>
          <c:tx>
            <c:strRef>
              <c:f>'Pivot Tables'!$J$10</c:f>
              <c:strCache>
                <c:ptCount val="1"/>
                <c:pt idx="0">
                  <c:v>Sum of Total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9B4C-4F5E-A724-2C55356E80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9B4C-4F5E-A724-2C55356E80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9B4C-4F5E-A724-2C55356E80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9B4C-4F5E-A724-2C55356E809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Tables'!$H$11:$H$15</c:f>
              <c:strCache>
                <c:ptCount val="4"/>
                <c:pt idx="0">
                  <c:v>Accessories</c:v>
                </c:pt>
                <c:pt idx="1">
                  <c:v>Electronics</c:v>
                </c:pt>
                <c:pt idx="2">
                  <c:v>Furniture</c:v>
                </c:pt>
                <c:pt idx="3">
                  <c:v>Peripherals</c:v>
                </c:pt>
              </c:strCache>
            </c:strRef>
          </c:cat>
          <c:val>
            <c:numRef>
              <c:f>'Pivot Tables'!$J$11:$J$15</c:f>
              <c:numCache>
                <c:formatCode>0.00</c:formatCode>
                <c:ptCount val="4"/>
                <c:pt idx="0">
                  <c:v>372188.7099999999</c:v>
                </c:pt>
                <c:pt idx="1">
                  <c:v>4192529.43</c:v>
                </c:pt>
                <c:pt idx="2">
                  <c:v>1329983.9200000002</c:v>
                </c:pt>
                <c:pt idx="3">
                  <c:v>269634.26000000007</c:v>
                </c:pt>
              </c:numCache>
            </c:numRef>
          </c:val>
          <c:extLst>
            <c:ext xmlns:c16="http://schemas.microsoft.com/office/drawing/2014/chart" uri="{C3380CC4-5D6E-409C-BE32-E72D297353CC}">
              <c16:uniqueId val="{00000011-9B4C-4F5E-A724-2C55356E809B}"/>
            </c:ext>
          </c:extLst>
        </c:ser>
        <c:ser>
          <c:idx val="2"/>
          <c:order val="2"/>
          <c:tx>
            <c:strRef>
              <c:f>'Pivot Tables'!$K$10</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541F-4A8E-BE53-4E20E313CD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541F-4A8E-BE53-4E20E313CD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541F-4A8E-BE53-4E20E313CD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541F-4A8E-BE53-4E20E313CD93}"/>
              </c:ext>
            </c:extLst>
          </c:dPt>
          <c:cat>
            <c:strRef>
              <c:f>'Pivot Tables'!$H$11:$H$15</c:f>
              <c:strCache>
                <c:ptCount val="4"/>
                <c:pt idx="0">
                  <c:v>Accessories</c:v>
                </c:pt>
                <c:pt idx="1">
                  <c:v>Electronics</c:v>
                </c:pt>
                <c:pt idx="2">
                  <c:v>Furniture</c:v>
                </c:pt>
                <c:pt idx="3">
                  <c:v>Peripherals</c:v>
                </c:pt>
              </c:strCache>
            </c:strRef>
          </c:cat>
          <c:val>
            <c:numRef>
              <c:f>'Pivot Tables'!$K$11:$K$15</c:f>
              <c:numCache>
                <c:formatCode>0.00</c:formatCode>
                <c:ptCount val="4"/>
                <c:pt idx="0">
                  <c:v>8514</c:v>
                </c:pt>
                <c:pt idx="1">
                  <c:v>9012</c:v>
                </c:pt>
                <c:pt idx="2">
                  <c:v>3011</c:v>
                </c:pt>
                <c:pt idx="3">
                  <c:v>5044</c:v>
                </c:pt>
              </c:numCache>
            </c:numRef>
          </c:val>
          <c:extLst>
            <c:ext xmlns:c16="http://schemas.microsoft.com/office/drawing/2014/chart" uri="{C3380CC4-5D6E-409C-BE32-E72D297353CC}">
              <c16:uniqueId val="{00000012-9B4C-4F5E-A724-2C55356E809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[Mani Project retail-sales-data.xlsx]Pivot Tables!PivotTable5</c:name>
    <c:fmtId val="3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Total</a:t>
            </a:r>
            <a:r>
              <a:rPr lang="en-US" b="1"/>
              <a:t> Sales by Store</a:t>
            </a:r>
          </a:p>
        </c:rich>
      </c:tx>
      <c:layout>
        <c:manualLayout>
          <c:xMode val="edge"/>
          <c:yMode val="edge"/>
          <c:x val="0.26992958711486364"/>
          <c:y val="0.13345298749421028"/>
        </c:manualLayout>
      </c:layout>
      <c:overlay val="0"/>
      <c:spPr>
        <a:noFill/>
        <a:ln>
          <a:noFill/>
        </a:ln>
        <a:effectLst/>
      </c:sp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spPr>
            <a:noFill/>
            <a:ln>
              <a:solidFill>
                <a:sysClr val="windowText" lastClr="000000">
                  <a:lumMod val="25000"/>
                  <a:lumOff val="75000"/>
                </a:sys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082687145095454"/>
                  <c:h val="8.0305677224430549E-2"/>
                </c:manualLayout>
              </c15:layout>
            </c:ext>
          </c:extLst>
        </c:dLbl>
      </c:pivotFmt>
      <c:pivotFmt>
        <c:idx val="4"/>
        <c:spPr>
          <a:solidFill>
            <a:schemeClr val="accent4"/>
          </a:solidFill>
          <a:ln>
            <a:noFill/>
          </a:ln>
          <a:effectLst/>
        </c:spPr>
        <c:marker>
          <c:symbol val="none"/>
        </c:marker>
        <c:dLbl>
          <c:idx val="0"/>
          <c:spPr>
            <a:no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spPr>
            <a:noFill/>
            <a:ln>
              <a:solidFill>
                <a:sysClr val="windowText" lastClr="000000">
                  <a:lumMod val="25000"/>
                  <a:lumOff val="75000"/>
                </a:sys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082687145095454"/>
                  <c:h val="8.0305677224430549E-2"/>
                </c:manualLayout>
              </c15:layout>
            </c:ext>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4.0160642570281124E-2"/>
              <c:y val="-4.2892156862745154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4"/>
          </a:solidFill>
          <a:ln>
            <a:noFill/>
          </a:ln>
          <a:effectLst/>
        </c:spPr>
        <c:dLbl>
          <c:idx val="0"/>
          <c:layout>
            <c:manualLayout>
              <c:x val="-0.10040160642570281"/>
              <c:y val="-9.191176470588241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7.6974564926372169E-2"/>
              <c:y val="4.9019607843137199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dLbl>
          <c:idx val="0"/>
          <c:layout>
            <c:manualLayout>
              <c:x val="0"/>
              <c:y val="-5.5147058823529466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023079193414077"/>
                  <c:h val="7.6869113787247187E-2"/>
                </c:manualLayout>
              </c15:layout>
            </c:ext>
          </c:extLst>
        </c:dLbl>
      </c:pivotFmt>
      <c:pivotFmt>
        <c:idx val="11"/>
        <c:spPr>
          <a:solidFill>
            <a:schemeClr val="accent4"/>
          </a:solidFill>
          <a:ln>
            <a:noFill/>
          </a:ln>
          <a:effectLst/>
        </c:spPr>
        <c:dLbl>
          <c:idx val="0"/>
          <c:layout>
            <c:manualLayout>
              <c:x val="-5.3547523427041561E-2"/>
              <c:y val="-7.9656862745098034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1.5939874985506329E-2"/>
              <c:y val="-0.12254901960784319"/>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023079193414077"/>
                  <c:h val="4.0104407904894245E-2"/>
                </c:manualLayout>
              </c15:layout>
            </c:ext>
          </c:extLst>
        </c:dLbl>
      </c:pivotFmt>
      <c:pivotFmt>
        <c:idx val="13"/>
        <c:spPr>
          <a:solidFill>
            <a:schemeClr val="accent4"/>
          </a:solidFill>
          <a:ln>
            <a:noFill/>
          </a:ln>
          <a:effectLst/>
        </c:spPr>
        <c:dLbl>
          <c:idx val="0"/>
          <c:layout>
            <c:manualLayout>
              <c:x val="3.346720214189971E-3"/>
              <c:y val="-9.1911764705882359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023079193414077"/>
                  <c:h val="6.4614211826462875E-2"/>
                </c:manualLayout>
              </c15:layout>
            </c:ext>
          </c:extLst>
        </c:dLbl>
      </c:pivotFmt>
      <c:pivotFmt>
        <c:idx val="14"/>
        <c:spPr>
          <a:solidFill>
            <a:schemeClr val="accent4"/>
          </a:solidFill>
          <a:ln>
            <a:noFill/>
          </a:ln>
          <a:effectLst/>
        </c:spPr>
        <c:dLbl>
          <c:idx val="0"/>
          <c:layout>
            <c:manualLayout>
              <c:x val="1.004016064257022E-2"/>
              <c:y val="-1.838235294117652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Tables'!$G$13</c:f>
              <c:strCache>
                <c:ptCount val="1"/>
                <c:pt idx="0">
                  <c:v>Total</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0-F40B-44F8-877C-BCB634E4F593}"/>
              </c:ext>
            </c:extLst>
          </c:dPt>
          <c:dPt>
            <c:idx val="1"/>
            <c:invertIfNegative val="0"/>
            <c:bubble3D val="0"/>
            <c:extLst>
              <c:ext xmlns:c16="http://schemas.microsoft.com/office/drawing/2014/chart" uri="{C3380CC4-5D6E-409C-BE32-E72D297353CC}">
                <c16:uniqueId val="{00000003-F40B-44F8-877C-BCB634E4F593}"/>
              </c:ext>
            </c:extLst>
          </c:dPt>
          <c:dPt>
            <c:idx val="2"/>
            <c:invertIfNegative val="0"/>
            <c:bubble3D val="0"/>
            <c:extLst>
              <c:ext xmlns:c16="http://schemas.microsoft.com/office/drawing/2014/chart" uri="{C3380CC4-5D6E-409C-BE32-E72D297353CC}">
                <c16:uniqueId val="{00000002-F40B-44F8-877C-BCB634E4F593}"/>
              </c:ext>
            </c:extLst>
          </c:dPt>
          <c:dPt>
            <c:idx val="3"/>
            <c:invertIfNegative val="0"/>
            <c:bubble3D val="0"/>
            <c:extLst>
              <c:ext xmlns:c16="http://schemas.microsoft.com/office/drawing/2014/chart" uri="{C3380CC4-5D6E-409C-BE32-E72D297353CC}">
                <c16:uniqueId val="{00000004-F40B-44F8-877C-BCB634E4F593}"/>
              </c:ext>
            </c:extLst>
          </c:dPt>
          <c:dPt>
            <c:idx val="4"/>
            <c:invertIfNegative val="0"/>
            <c:bubble3D val="0"/>
            <c:extLst>
              <c:ext xmlns:c16="http://schemas.microsoft.com/office/drawing/2014/chart" uri="{C3380CC4-5D6E-409C-BE32-E72D297353CC}">
                <c16:uniqueId val="{00000008-F40B-44F8-877C-BCB634E4F593}"/>
              </c:ext>
            </c:extLst>
          </c:dPt>
          <c:dPt>
            <c:idx val="6"/>
            <c:invertIfNegative val="0"/>
            <c:bubble3D val="0"/>
            <c:extLst>
              <c:ext xmlns:c16="http://schemas.microsoft.com/office/drawing/2014/chart" uri="{C3380CC4-5D6E-409C-BE32-E72D297353CC}">
                <c16:uniqueId val="{00000005-F40B-44F8-877C-BCB634E4F593}"/>
              </c:ext>
            </c:extLst>
          </c:dPt>
          <c:dPt>
            <c:idx val="7"/>
            <c:invertIfNegative val="0"/>
            <c:bubble3D val="0"/>
            <c:extLst>
              <c:ext xmlns:c16="http://schemas.microsoft.com/office/drawing/2014/chart" uri="{C3380CC4-5D6E-409C-BE32-E72D297353CC}">
                <c16:uniqueId val="{00000007-F40B-44F8-877C-BCB634E4F593}"/>
              </c:ext>
            </c:extLst>
          </c:dPt>
          <c:dPt>
            <c:idx val="9"/>
            <c:invertIfNegative val="0"/>
            <c:bubble3D val="0"/>
            <c:extLst>
              <c:ext xmlns:c16="http://schemas.microsoft.com/office/drawing/2014/chart" uri="{C3380CC4-5D6E-409C-BE32-E72D297353CC}">
                <c16:uniqueId val="{00000006-F40B-44F8-877C-BCB634E4F593}"/>
              </c:ext>
            </c:extLst>
          </c:dPt>
          <c:dLbls>
            <c:dLbl>
              <c:idx val="0"/>
              <c:layout>
                <c:manualLayout>
                  <c:x val="4.0160642570281124E-2"/>
                  <c:y val="-4.2892156862745154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F40B-44F8-877C-BCB634E4F593}"/>
                </c:ext>
              </c:extLst>
            </c:dLbl>
            <c:dLbl>
              <c:idx val="1"/>
              <c:layout>
                <c:manualLayout>
                  <c:x val="-7.6974564926372169E-2"/>
                  <c:y val="4.90196078431371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0B-44F8-877C-BCB634E4F593}"/>
                </c:ext>
              </c:extLst>
            </c:dLbl>
            <c:dLbl>
              <c:idx val="2"/>
              <c:layout>
                <c:manualLayout>
                  <c:x val="-0.10040160642570281"/>
                  <c:y val="-9.19117647058824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0B-44F8-877C-BCB634E4F593}"/>
                </c:ext>
              </c:extLst>
            </c:dLbl>
            <c:dLbl>
              <c:idx val="3"/>
              <c:layout>
                <c:manualLayout>
                  <c:x val="0"/>
                  <c:y val="-5.5147058823529466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023079193414077"/>
                      <c:h val="7.6869113787247187E-2"/>
                    </c:manualLayout>
                  </c15:layout>
                </c:ext>
                <c:ext xmlns:c16="http://schemas.microsoft.com/office/drawing/2014/chart" uri="{C3380CC4-5D6E-409C-BE32-E72D297353CC}">
                  <c16:uniqueId val="{00000004-F40B-44F8-877C-BCB634E4F593}"/>
                </c:ext>
              </c:extLst>
            </c:dLbl>
            <c:dLbl>
              <c:idx val="4"/>
              <c:layout>
                <c:manualLayout>
                  <c:x val="1.004016064257022E-2"/>
                  <c:y val="-1.83823529411765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40B-44F8-877C-BCB634E4F593}"/>
                </c:ext>
              </c:extLst>
            </c:dLbl>
            <c:dLbl>
              <c:idx val="6"/>
              <c:layout>
                <c:manualLayout>
                  <c:x val="-5.3547523427041561E-2"/>
                  <c:y val="-7.96568627450980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0B-44F8-877C-BCB634E4F593}"/>
                </c:ext>
              </c:extLst>
            </c:dLbl>
            <c:dLbl>
              <c:idx val="7"/>
              <c:layout>
                <c:manualLayout>
                  <c:x val="3.346720214189971E-3"/>
                  <c:y val="-9.1911764705882359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023079193414077"/>
                      <c:h val="6.4614211826462875E-2"/>
                    </c:manualLayout>
                  </c15:layout>
                </c:ext>
                <c:ext xmlns:c16="http://schemas.microsoft.com/office/drawing/2014/chart" uri="{C3380CC4-5D6E-409C-BE32-E72D297353CC}">
                  <c16:uniqueId val="{00000007-F40B-44F8-877C-BCB634E4F593}"/>
                </c:ext>
              </c:extLst>
            </c:dLbl>
            <c:dLbl>
              <c:idx val="9"/>
              <c:layout>
                <c:manualLayout>
                  <c:x val="1.5939874985506329E-2"/>
                  <c:y val="-0.12254901960784319"/>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023079193414077"/>
                      <c:h val="4.0104407904894245E-2"/>
                    </c:manualLayout>
                  </c15:layout>
                </c:ext>
                <c:ext xmlns:c16="http://schemas.microsoft.com/office/drawing/2014/chart" uri="{C3380CC4-5D6E-409C-BE32-E72D297353CC}">
                  <c16:uniqueId val="{00000006-F40B-44F8-877C-BCB634E4F593}"/>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Tables'!$F$14:$F$24</c:f>
              <c:strCache>
                <c:ptCount val="10"/>
                <c:pt idx="0">
                  <c:v>Store-01</c:v>
                </c:pt>
                <c:pt idx="1">
                  <c:v>Store-02</c:v>
                </c:pt>
                <c:pt idx="2">
                  <c:v>Store-03</c:v>
                </c:pt>
                <c:pt idx="3">
                  <c:v>Store-05</c:v>
                </c:pt>
                <c:pt idx="4">
                  <c:v>Store-06</c:v>
                </c:pt>
                <c:pt idx="5">
                  <c:v>Store-12</c:v>
                </c:pt>
                <c:pt idx="6">
                  <c:v>Store-14</c:v>
                </c:pt>
                <c:pt idx="7">
                  <c:v>Store-17</c:v>
                </c:pt>
                <c:pt idx="8">
                  <c:v>Store-19</c:v>
                </c:pt>
                <c:pt idx="9">
                  <c:v>Store-20</c:v>
                </c:pt>
              </c:strCache>
            </c:strRef>
          </c:cat>
          <c:val>
            <c:numRef>
              <c:f>'Pivot Tables'!$G$14:$G$24</c:f>
              <c:numCache>
                <c:formatCode>"₹"\ #,##0</c:formatCode>
                <c:ptCount val="10"/>
                <c:pt idx="0">
                  <c:v>325053.24000000005</c:v>
                </c:pt>
                <c:pt idx="1">
                  <c:v>384413.49000000011</c:v>
                </c:pt>
                <c:pt idx="2">
                  <c:v>427955.59000000008</c:v>
                </c:pt>
                <c:pt idx="3">
                  <c:v>402437.45999999996</c:v>
                </c:pt>
                <c:pt idx="4">
                  <c:v>309740.68999999994</c:v>
                </c:pt>
                <c:pt idx="5">
                  <c:v>443379.29</c:v>
                </c:pt>
                <c:pt idx="6">
                  <c:v>423521.07000000024</c:v>
                </c:pt>
                <c:pt idx="7">
                  <c:v>343612.6</c:v>
                </c:pt>
                <c:pt idx="8">
                  <c:v>337754.49999999994</c:v>
                </c:pt>
                <c:pt idx="9">
                  <c:v>311845.90000000002</c:v>
                </c:pt>
              </c:numCache>
            </c:numRef>
          </c:val>
          <c:extLst>
            <c:ext xmlns:c16="http://schemas.microsoft.com/office/drawing/2014/chart" uri="{C3380CC4-5D6E-409C-BE32-E72D297353CC}">
              <c16:uniqueId val="{00000001-F40B-44F8-877C-BCB634E4F593}"/>
            </c:ext>
          </c:extLst>
        </c:ser>
        <c:dLbls>
          <c:dLblPos val="outEnd"/>
          <c:showLegendKey val="0"/>
          <c:showVal val="1"/>
          <c:showCatName val="0"/>
          <c:showSerName val="0"/>
          <c:showPercent val="0"/>
          <c:showBubbleSize val="0"/>
        </c:dLbls>
        <c:gapWidth val="182"/>
        <c:axId val="732068800"/>
        <c:axId val="732067840"/>
      </c:barChart>
      <c:catAx>
        <c:axId val="732068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67840"/>
        <c:crosses val="autoZero"/>
        <c:auto val="1"/>
        <c:lblAlgn val="ctr"/>
        <c:lblOffset val="100"/>
        <c:noMultiLvlLbl val="0"/>
      </c:catAx>
      <c:valAx>
        <c:axId val="732067840"/>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6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213360</xdr:colOff>
      <xdr:row>1</xdr:row>
      <xdr:rowOff>0</xdr:rowOff>
    </xdr:from>
    <xdr:to>
      <xdr:col>5</xdr:col>
      <xdr:colOff>297180</xdr:colOff>
      <xdr:row>11</xdr:row>
      <xdr:rowOff>76200</xdr:rowOff>
    </xdr:to>
    <xdr:graphicFrame macro="">
      <xdr:nvGraphicFramePr>
        <xdr:cNvPr id="2" name="Chart 1">
          <a:extLst>
            <a:ext uri="{FF2B5EF4-FFF2-40B4-BE49-F238E27FC236}">
              <a16:creationId xmlns:a16="http://schemas.microsoft.com/office/drawing/2014/main" id="{C6993590-C5D5-429B-948C-D5EAA456F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373380</xdr:colOff>
      <xdr:row>1</xdr:row>
      <xdr:rowOff>0</xdr:rowOff>
    </xdr:from>
    <xdr:to>
      <xdr:col>11</xdr:col>
      <xdr:colOff>381000</xdr:colOff>
      <xdr:row>11</xdr:row>
      <xdr:rowOff>60960</xdr:rowOff>
    </xdr:to>
    <xdr:graphicFrame macro="">
      <xdr:nvGraphicFramePr>
        <xdr:cNvPr id="3" name="Chart 2">
          <a:extLst>
            <a:ext uri="{FF2B5EF4-FFF2-40B4-BE49-F238E27FC236}">
              <a16:creationId xmlns:a16="http://schemas.microsoft.com/office/drawing/2014/main" id="{F5271404-6E33-43A0-91A1-A8420FF33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12</xdr:row>
      <xdr:rowOff>30480</xdr:rowOff>
    </xdr:from>
    <xdr:to>
      <xdr:col>7</xdr:col>
      <xdr:colOff>396240</xdr:colOff>
      <xdr:row>24</xdr:row>
      <xdr:rowOff>106680</xdr:rowOff>
    </xdr:to>
    <xdr:graphicFrame macro="">
      <xdr:nvGraphicFramePr>
        <xdr:cNvPr id="4" name="Chart 3">
          <a:extLst>
            <a:ext uri="{FF2B5EF4-FFF2-40B4-BE49-F238E27FC236}">
              <a16:creationId xmlns:a16="http://schemas.microsoft.com/office/drawing/2014/main" id="{84C0AF22-7FDA-4C43-86B9-9474FCF82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304800</xdr:colOff>
      <xdr:row>12</xdr:row>
      <xdr:rowOff>83820</xdr:rowOff>
    </xdr:from>
    <xdr:to>
      <xdr:col>15</xdr:col>
      <xdr:colOff>289560</xdr:colOff>
      <xdr:row>24</xdr:row>
      <xdr:rowOff>76200</xdr:rowOff>
    </xdr:to>
    <xdr:graphicFrame macro="">
      <xdr:nvGraphicFramePr>
        <xdr:cNvPr id="5" name="Chart 4">
          <a:extLst>
            <a:ext uri="{FF2B5EF4-FFF2-40B4-BE49-F238E27FC236}">
              <a16:creationId xmlns:a16="http://schemas.microsoft.com/office/drawing/2014/main" id="{70E3C780-E36B-41DB-8006-FB66134F3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426720</xdr:colOff>
      <xdr:row>0</xdr:row>
      <xdr:rowOff>190500</xdr:rowOff>
    </xdr:from>
    <xdr:to>
      <xdr:col>17</xdr:col>
      <xdr:colOff>411480</xdr:colOff>
      <xdr:row>11</xdr:row>
      <xdr:rowOff>38100</xdr:rowOff>
    </xdr:to>
    <xdr:graphicFrame macro="">
      <xdr:nvGraphicFramePr>
        <xdr:cNvPr id="7" name="Chart 6">
          <a:extLst>
            <a:ext uri="{FF2B5EF4-FFF2-40B4-BE49-F238E27FC236}">
              <a16:creationId xmlns:a16="http://schemas.microsoft.com/office/drawing/2014/main" id="{583C43AF-55B9-46B2-9A09-F230BA589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335280</xdr:colOff>
      <xdr:row>2</xdr:row>
      <xdr:rowOff>45720</xdr:rowOff>
    </xdr:from>
    <xdr:to>
      <xdr:col>5</xdr:col>
      <xdr:colOff>434340</xdr:colOff>
      <xdr:row>12</xdr:row>
      <xdr:rowOff>182880</xdr:rowOff>
    </xdr:to>
    <xdr:graphicFrame macro="">
      <xdr:nvGraphicFramePr>
        <xdr:cNvPr id="2" name="Chart 1">
          <a:extLst>
            <a:ext uri="{FF2B5EF4-FFF2-40B4-BE49-F238E27FC236}">
              <a16:creationId xmlns:a16="http://schemas.microsoft.com/office/drawing/2014/main" id="{7466E696-E501-46EB-8BE8-289D05A2B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586740</xdr:colOff>
      <xdr:row>2</xdr:row>
      <xdr:rowOff>60960</xdr:rowOff>
    </xdr:from>
    <xdr:to>
      <xdr:col>11</xdr:col>
      <xdr:colOff>304800</xdr:colOff>
      <xdr:row>12</xdr:row>
      <xdr:rowOff>175260</xdr:rowOff>
    </xdr:to>
    <xdr:graphicFrame macro="">
      <xdr:nvGraphicFramePr>
        <xdr:cNvPr id="3" name="Chart 2">
          <a:extLst>
            <a:ext uri="{FF2B5EF4-FFF2-40B4-BE49-F238E27FC236}">
              <a16:creationId xmlns:a16="http://schemas.microsoft.com/office/drawing/2014/main" id="{E0C14CF0-E4E6-4DB8-A1E0-D68CA45A8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396240</xdr:colOff>
      <xdr:row>2</xdr:row>
      <xdr:rowOff>83820</xdr:rowOff>
    </xdr:from>
    <xdr:to>
      <xdr:col>16</xdr:col>
      <xdr:colOff>594360</xdr:colOff>
      <xdr:row>12</xdr:row>
      <xdr:rowOff>182880</xdr:rowOff>
    </xdr:to>
    <xdr:graphicFrame macro="">
      <xdr:nvGraphicFramePr>
        <xdr:cNvPr id="4" name="Chart 3">
          <a:extLst>
            <a:ext uri="{FF2B5EF4-FFF2-40B4-BE49-F238E27FC236}">
              <a16:creationId xmlns:a16="http://schemas.microsoft.com/office/drawing/2014/main" id="{0D8D7384-58C4-43B2-A89C-32C386FFE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205740</xdr:colOff>
      <xdr:row>13</xdr:row>
      <xdr:rowOff>76200</xdr:rowOff>
    </xdr:from>
    <xdr:to>
      <xdr:col>6</xdr:col>
      <xdr:colOff>266700</xdr:colOff>
      <xdr:row>24</xdr:row>
      <xdr:rowOff>7620</xdr:rowOff>
    </xdr:to>
    <xdr:graphicFrame macro="">
      <xdr:nvGraphicFramePr>
        <xdr:cNvPr id="6" name="Chart 5">
          <a:extLst>
            <a:ext uri="{FF2B5EF4-FFF2-40B4-BE49-F238E27FC236}">
              <a16:creationId xmlns:a16="http://schemas.microsoft.com/office/drawing/2014/main" id="{C8372224-7109-4728-9208-A689115CE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198120</xdr:colOff>
      <xdr:row>13</xdr:row>
      <xdr:rowOff>99060</xdr:rowOff>
    </xdr:from>
    <xdr:to>
      <xdr:col>16</xdr:col>
      <xdr:colOff>640080</xdr:colOff>
      <xdr:row>23</xdr:row>
      <xdr:rowOff>190500</xdr:rowOff>
    </xdr:to>
    <xdr:graphicFrame macro="">
      <xdr:nvGraphicFramePr>
        <xdr:cNvPr id="7" name="Chart 6">
          <a:extLst>
            <a:ext uri="{FF2B5EF4-FFF2-40B4-BE49-F238E27FC236}">
              <a16:creationId xmlns:a16="http://schemas.microsoft.com/office/drawing/2014/main" id="{FBDD522C-3B03-422C-9C2B-496599972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152400</xdr:colOff>
      <xdr:row>13</xdr:row>
      <xdr:rowOff>91441</xdr:rowOff>
    </xdr:from>
    <xdr:to>
      <xdr:col>11</xdr:col>
      <xdr:colOff>114300</xdr:colOff>
      <xdr:row>24</xdr:row>
      <xdr:rowOff>7621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B44EEF08-BDF7-8310-CABB-4A9056E20D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87440" y="2667001"/>
              <a:ext cx="130302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373380</xdr:colOff>
      <xdr:row>13</xdr:row>
      <xdr:rowOff>99061</xdr:rowOff>
    </xdr:from>
    <xdr:to>
      <xdr:col>8</xdr:col>
      <xdr:colOff>487680</xdr:colOff>
      <xdr:row>23</xdr:row>
      <xdr:rowOff>190500</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79D2E394-F7A6-B49F-B679-A0ED0B10375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396740" y="2674621"/>
              <a:ext cx="1455420" cy="2072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vanakumar" refreshedDate="46306.953348495372" createdVersion="8" refreshedVersion="8" minRefreshableVersion="3" recordCount="1000" xr:uid="{741877F6-925B-49CB-B24A-86B3962A8853}">
  <cacheSource type="worksheet">
    <worksheetSource ref="A1:M1001" sheet="Cleaned Dataset"/>
  </cacheSource>
  <cacheFields count="16">
    <cacheField name="Order ID" numFmtId="0">
      <sharedItems count="1000">
        <s v="ORD-000852"/>
        <s v="ORD-000069"/>
        <s v="ORD-000065"/>
        <s v="ORD-000805"/>
        <s v="ORD-000052"/>
        <s v="ORD-000694"/>
        <s v="ORD-000096"/>
        <s v="ORD-000719"/>
        <s v="ORD-000308"/>
        <s v="ORD-000639"/>
        <s v="ORD-000126"/>
        <s v="ORD-000828"/>
        <s v="ORD-000316"/>
        <s v="ORD-000005"/>
        <s v="ORD-000295"/>
        <s v="ORD-000498"/>
        <s v="ORD-000974"/>
        <s v="ORD-000021"/>
        <s v="ORD-000938"/>
        <s v="ORD-000975"/>
        <s v="ORD-000239"/>
        <s v="ORD-000940"/>
        <s v="ORD-000642"/>
        <s v="ORD-000334"/>
        <s v="ORD-000208"/>
        <s v="ORD-000961"/>
        <s v="ORD-000380"/>
        <s v="ORD-000175"/>
        <s v="ORD-000617"/>
        <s v="ORD-000223"/>
        <s v="ORD-000328"/>
        <s v="ORD-000697"/>
        <s v="ORD-000415"/>
        <s v="ORD-000585"/>
        <s v="ORD-000287"/>
        <s v="ORD-000241"/>
        <s v="ORD-000648"/>
        <s v="ORD-000702"/>
        <s v="ORD-000839"/>
        <s v="ORD-000070"/>
        <s v="ORD-000670"/>
        <s v="ORD-000264"/>
        <s v="ORD-000549"/>
        <s v="ORD-000495"/>
        <s v="ORD-000656"/>
        <s v="ORD-000688"/>
        <s v="ORD-000738"/>
        <s v="ORD-000909"/>
        <s v="ORD-000701"/>
        <s v="ORD-000796"/>
        <s v="ORD-000917"/>
        <s v="ORD-000048"/>
        <s v="ORD-000183"/>
        <s v="ORD-000238"/>
        <s v="ORD-000854"/>
        <s v="ORD-000101"/>
        <s v="ORD-000749"/>
        <s v="ORD-000216"/>
        <s v="ORD-000837"/>
        <s v="ORD-000379"/>
        <s v="ORD-000560"/>
        <s v="ORD-000985"/>
        <s v="ORD-000880"/>
        <s v="ORD-000314"/>
        <s v="ORD-000485"/>
        <s v="ORD-000103"/>
        <s v="ORD-000592"/>
        <s v="ORD-000284"/>
        <s v="ORD-000299"/>
        <s v="ORD-000407"/>
        <s v="ORD-000826"/>
        <s v="ORD-000373"/>
        <s v="ORD-000441"/>
        <s v="ORD-000442"/>
        <s v="ORD-000112"/>
        <s v="ORD-000150"/>
        <s v="ORD-000174"/>
        <s v="ORD-000432"/>
        <s v="ORD-000116"/>
        <s v="ORD-000359"/>
        <s v="ORD-000197"/>
        <s v="ORD-000976"/>
        <s v="ORD-000305"/>
        <s v="ORD-000227"/>
        <s v="ORD-000194"/>
        <s v="ORD-000554"/>
        <s v="ORD-000720"/>
        <s v="ORD-000616"/>
        <s v="ORD-000085"/>
        <s v="ORD-000877"/>
        <s v="ORD-000763"/>
        <s v="ORD-000138"/>
        <s v="ORD-000567"/>
        <s v="ORD-000486"/>
        <s v="ORD-000848"/>
        <s v="ORD-000076"/>
        <s v="ORD-000651"/>
        <s v="ORD-000923"/>
        <s v="ORD-000785"/>
        <s v="ORD-000853"/>
        <s v="ORD-000219"/>
        <s v="ORD-000921"/>
        <s v="ORD-000708"/>
        <s v="ORD-000811"/>
        <s v="ORD-000516"/>
        <s v="ORD-000234"/>
        <s v="ORD-000793"/>
        <s v="ORD-000345"/>
        <s v="ORD-000161"/>
        <s v="ORD-000106"/>
        <s v="ORD-000218"/>
        <s v="ORD-000236"/>
        <s v="ORD-000809"/>
        <s v="ORD-000643"/>
        <s v="ORD-000228"/>
        <s v="ORD-000017"/>
        <s v="ORD-000437"/>
        <s v="ORD-000509"/>
        <s v="ORD-000894"/>
        <s v="ORD-000770"/>
        <s v="ORD-000125"/>
        <s v="ORD-000836"/>
        <s v="ORD-000745"/>
        <s v="ORD-000786"/>
        <s v="ORD-000469"/>
        <s v="ORD-000845"/>
        <s v="ORD-000330"/>
        <s v="ORD-000878"/>
        <s v="ORD-000168"/>
        <s v="ORD-000661"/>
        <s v="ORD-000195"/>
        <s v="ORD-000829"/>
        <s v="ORD-000680"/>
        <s v="ORD-000100"/>
        <s v="ORD-000883"/>
        <s v="ORD-000905"/>
        <s v="ORD-000461"/>
        <s v="ORD-000224"/>
        <s v="ORD-000177"/>
        <s v="ORD-000475"/>
        <s v="ORD-000650"/>
        <s v="ORD-000703"/>
        <s v="ORD-000769"/>
        <s v="ORD-000901"/>
        <s v="ORD-000397"/>
        <s v="ORD-000271"/>
        <s v="ORD-000107"/>
        <s v="ORD-000578"/>
        <s v="ORD-000952"/>
        <s v="ORD-000200"/>
        <s v="ORD-000593"/>
        <s v="ORD-000569"/>
        <s v="ORD-000417"/>
        <s v="ORD-000169"/>
        <s v="ORD-000732"/>
        <s v="ORD-000669"/>
        <s v="ORD-000266"/>
        <s v="ORD-000090"/>
        <s v="ORD-000558"/>
        <s v="ORD-000841"/>
        <s v="ORD-000813"/>
        <s v="ORD-000735"/>
        <s v="ORD-000006"/>
        <s v="ORD-000962"/>
        <s v="ORD-000998"/>
        <s v="ORD-000058"/>
        <s v="ORD-000830"/>
        <s v="ORD-000221"/>
        <s v="ORD-000678"/>
        <s v="ORD-000079"/>
        <s v="ORD-000172"/>
        <s v="ORD-000337"/>
        <s v="ORD-000776"/>
        <s v="ORD-000802"/>
        <s v="ORD-000927"/>
        <s v="ORD-000025"/>
        <s v="ORD-000127"/>
        <s v="ORD-000086"/>
        <s v="ORD-000891"/>
        <s v="ORD-000376"/>
        <s v="ORD-000981"/>
        <s v="ORD-000724"/>
        <s v="ORD-000189"/>
        <s v="ORD-000969"/>
        <s v="ORD-000758"/>
        <s v="ORD-000632"/>
        <s v="ORD-000527"/>
        <s v="ORD-000965"/>
        <s v="ORD-000147"/>
        <s v="ORD-000781"/>
        <s v="ORD-000886"/>
        <s v="ORD-000370"/>
        <s v="ORD-000405"/>
        <s v="ORD-000344"/>
        <s v="ORD-000307"/>
        <s v="ORD-000077"/>
        <s v="ORD-000800"/>
        <s v="ORD-000015"/>
        <s v="ORD-000767"/>
        <s v="ORD-000203"/>
        <s v="ORD-000149"/>
        <s v="ORD-000468"/>
        <s v="ORD-000302"/>
        <s v="ORD-000526"/>
        <s v="ORD-000047"/>
        <s v="ORD-000121"/>
        <s v="ORD-000995"/>
        <s v="ORD-000904"/>
        <s v="ORD-000276"/>
        <s v="ORD-000794"/>
        <s v="ORD-000867"/>
        <s v="ORD-000684"/>
        <s v="ORD-000067"/>
        <s v="ORD-000587"/>
        <s v="ORD-000246"/>
        <s v="ORD-000386"/>
        <s v="ORD-000439"/>
        <s v="ORD-000620"/>
        <s v="ORD-000835"/>
        <s v="ORD-000443"/>
        <s v="ORD-000685"/>
        <s v="ORD-000903"/>
        <s v="ORD-000784"/>
        <s v="ORD-000419"/>
        <s v="ORD-000634"/>
        <s v="ORD-000520"/>
        <s v="ORD-000272"/>
        <s v="ORD-000524"/>
        <s v="ORD-000210"/>
        <s v="ORD-000999"/>
        <s v="ORD-000546"/>
        <s v="ORD-000613"/>
        <s v="ORD-000277"/>
        <s v="ORD-000496"/>
        <s v="ORD-000537"/>
        <s v="ORD-000459"/>
        <s v="ORD-000586"/>
        <s v="ORD-000768"/>
        <s v="ORD-000482"/>
        <s v="ORD-000755"/>
        <s v="ORD-000715"/>
        <s v="ORD-000945"/>
        <s v="ORD-000444"/>
        <s v="ORD-000324"/>
        <s v="ORD-000220"/>
        <s v="ORD-000414"/>
        <s v="ORD-000450"/>
        <s v="ORD-000857"/>
        <s v="ORD-000099"/>
        <s v="ORD-000873"/>
        <s v="ORD-000920"/>
        <s v="ORD-000660"/>
        <s v="ORD-000429"/>
        <s v="ORD-000132"/>
        <s v="ORD-000105"/>
        <s v="ORD-000716"/>
        <s v="ORD-000481"/>
        <s v="ORD-000396"/>
        <s v="ORD-000778"/>
        <s v="ORD-000662"/>
        <s v="ORD-000182"/>
        <s v="ORD-000640"/>
        <s v="ORD-000879"/>
        <s v="ORD-000042"/>
        <s v="ORD-000148"/>
        <s v="ORD-000928"/>
        <s v="ORD-000423"/>
        <s v="ORD-000638"/>
        <s v="ORD-000756"/>
        <s v="ORD-000629"/>
        <s v="ORD-000402"/>
        <s v="ORD-000808"/>
        <s v="ORD-000875"/>
        <s v="ORD-000046"/>
        <s v="ORD-000820"/>
        <s v="ORD-000984"/>
        <s v="ORD-000610"/>
        <s v="ORD-000672"/>
        <s v="ORD-000111"/>
        <s v="ORD-000561"/>
        <s v="ORD-000361"/>
        <s v="ORD-000823"/>
        <s v="ORD-000734"/>
        <s v="ORD-000996"/>
        <s v="ORD-000508"/>
        <s v="ORD-000759"/>
        <s v="ORD-000279"/>
        <s v="ORD-000056"/>
        <s v="ORD-000862"/>
        <s v="ORD-000964"/>
        <s v="ORD-000608"/>
        <s v="ORD-000789"/>
        <s v="ORD-000675"/>
        <s v="ORD-000122"/>
        <s v="ORD-000884"/>
        <s v="ORD-000312"/>
        <s v="ORD-000914"/>
        <s v="ORD-000289"/>
        <s v="ORD-000528"/>
        <s v="ORD-000285"/>
        <s v="ORD-000797"/>
        <s v="ORD-000304"/>
        <s v="ORD-000319"/>
        <s v="ORD-000686"/>
        <s v="ORD-000181"/>
        <s v="ORD-000551"/>
        <s v="ORD-000691"/>
        <s v="ORD-000199"/>
        <s v="ORD-000209"/>
        <s v="ORD-000939"/>
        <s v="ORD-000163"/>
        <s v="ORD-000043"/>
        <s v="ORD-000035"/>
        <s v="ORD-000514"/>
        <s v="ORD-000408"/>
        <s v="ORD-000134"/>
        <s v="ORD-000780"/>
        <s v="ORD-000074"/>
        <s v="ORD-000003"/>
        <s v="ORD-000618"/>
        <s v="ORD-000915"/>
        <s v="ORD-000413"/>
        <s v="ORD-000389"/>
        <s v="ORD-000584"/>
        <s v="ORD-000343"/>
        <s v="ORD-000215"/>
        <s v="ORD-000002"/>
        <s v="ORD-000229"/>
        <s v="ORD-000890"/>
        <s v="ORD-000843"/>
        <s v="ORD-000422"/>
        <s v="ORD-000539"/>
        <s v="ORD-000751"/>
        <s v="ORD-000913"/>
        <s v="ORD-000061"/>
        <s v="ORD-000621"/>
        <s v="ORD-000363"/>
        <s v="ORD-000092"/>
        <s v="ORD-000179"/>
        <s v="ORD-000668"/>
        <s v="ORD-000436"/>
        <s v="ORD-000158"/>
        <s v="ORD-000118"/>
        <s v="ORD-000476"/>
        <s v="ORD-000254"/>
        <s v="ORD-000892"/>
        <s v="ORD-000425"/>
        <s v="ORD-000733"/>
        <s v="ORD-000362"/>
        <s v="ORD-000736"/>
        <s v="ORD-000609"/>
        <s v="ORD-000040"/>
        <s v="ORD-000321"/>
        <s v="ORD-000882"/>
        <s v="ORD-000858"/>
        <s v="ORD-000960"/>
        <s v="ORD-000153"/>
        <s v="ORD-000449"/>
        <s v="ORD-000842"/>
        <s v="ORD-000926"/>
        <s v="ORD-000265"/>
        <s v="ORD-000244"/>
        <s v="ORD-000378"/>
        <s v="ORD-000484"/>
        <s v="ORD-000930"/>
        <s v="ORD-000692"/>
        <s v="ORD-000205"/>
        <s v="ORD-000286"/>
        <s v="ORD-000535"/>
        <s v="ORD-000765"/>
        <s v="ORD-000133"/>
        <s v="ORD-000114"/>
        <s v="ORD-000041"/>
        <s v="ORD-000814"/>
        <s v="ORD-000416"/>
        <s v="ORD-000753"/>
        <s v="ORD-000471"/>
        <s v="ORD-000193"/>
        <s v="ORD-000338"/>
        <s v="ORD-000377"/>
        <s v="ORD-000933"/>
        <s v="ORD-000297"/>
        <s v="ORD-000273"/>
        <s v="ORD-000140"/>
        <s v="ORD-000725"/>
        <s v="ORD-000418"/>
        <s v="ORD-000955"/>
        <s v="ORD-000367"/>
        <s v="ORD-000754"/>
        <s v="ORD-000847"/>
        <s v="ORD-000570"/>
        <s v="ORD-000664"/>
        <s v="ORD-000109"/>
        <s v="ORD-000659"/>
        <s v="ORD-000950"/>
        <s v="ORD-000550"/>
        <s v="ORD-000599"/>
        <s v="ORD-000144"/>
        <s v="ORD-000190"/>
        <s v="ORD-000505"/>
        <s v="ORD-000472"/>
        <s v="ORD-000426"/>
        <s v="ORD-000819"/>
        <s v="ORD-000603"/>
        <s v="ORD-000866"/>
        <s v="ORD-000540"/>
        <s v="ORD-000427"/>
        <s v="ORD-000489"/>
        <s v="ORD-000798"/>
        <s v="ORD-000329"/>
        <s v="ORD-000410"/>
        <s v="ORD-000102"/>
        <s v="ORD-000463"/>
        <s v="ORD-000255"/>
        <s v="ORD-000146"/>
        <s v="ORD-000262"/>
        <s v="ORD-000687"/>
        <s v="ORD-000538"/>
        <s v="ORD-000008"/>
        <s v="ORD-000931"/>
        <s v="ORD-000088"/>
        <s v="ORD-000889"/>
        <s v="ORD-000142"/>
        <s v="ORD-000383"/>
        <s v="ORD-000695"/>
        <s v="ORD-000258"/>
        <s v="ORD-000078"/>
        <s v="ORD-000705"/>
        <s v="ORD-000350"/>
        <s v="ORD-000333"/>
        <s v="ORD-000992"/>
        <s v="ORD-000948"/>
        <s v="ORD-000986"/>
        <s v="ORD-000080"/>
        <s v="ORD-000677"/>
        <s v="ORD-000605"/>
        <s v="ORD-000374"/>
        <s v="ORD-000237"/>
        <s v="ORD-000579"/>
        <s v="ORD-000016"/>
        <s v="ORD-000863"/>
        <s v="ORD-000871"/>
        <s v="ORD-000456"/>
        <s v="ORD-000339"/>
        <s v="ORD-000072"/>
        <s v="ORD-000902"/>
        <s v="ORD-000053"/>
        <s v="ORD-000844"/>
        <s v="ORD-000493"/>
        <s v="ORD-000822"/>
        <s v="ORD-000529"/>
        <s v="ORD-000774"/>
        <s v="ORD-000743"/>
        <s v="ORD-000815"/>
        <s v="ORD-000290"/>
        <s v="ORD-000191"/>
        <s v="ORD-000910"/>
        <s v="ORD-000288"/>
        <s v="ORD-000654"/>
        <s v="ORD-000027"/>
        <s v="ORD-000155"/>
        <s v="ORD-000037"/>
        <s v="ORD-000748"/>
        <s v="ORD-000791"/>
        <s v="ORD-000712"/>
        <s v="ORD-000007"/>
        <s v="ORD-000091"/>
        <s v="ORD-000278"/>
        <s v="ORD-000026"/>
        <s v="ORD-000530"/>
        <s v="ORD-000445"/>
        <s v="ORD-000709"/>
        <s v="ORD-000151"/>
        <s v="ORD-000014"/>
        <s v="ORD-000365"/>
        <s v="ORD-000474"/>
        <s v="ORD-000349"/>
        <s v="ORD-000699"/>
        <s v="ORD-000010"/>
        <s v="ORD-000315"/>
        <s v="ORD-000154"/>
        <s v="ORD-000064"/>
        <s v="ORD-000411"/>
        <s v="ORD-000512"/>
        <s v="ORD-000980"/>
        <s v="ORD-000204"/>
        <s v="ORD-000824"/>
        <s v="ORD-000478"/>
        <s v="ORD-000946"/>
        <s v="ORD-000502"/>
        <s v="ORD-000240"/>
        <s v="ORD-000164"/>
        <s v="ORD-000787"/>
        <s v="ORD-000874"/>
        <s v="ORD-000399"/>
        <s v="ORD-000991"/>
        <s v="ORD-000525"/>
        <s v="ORD-000020"/>
        <s v="ORD-000393"/>
        <s v="ORD-000566"/>
        <s v="ORD-000972"/>
        <s v="ORD-000860"/>
        <s v="ORD-000897"/>
        <s v="ORD-000490"/>
        <s v="ORD-000846"/>
        <s v="ORD-000859"/>
        <s v="ORD-000283"/>
        <s v="ORD-000202"/>
        <s v="ORD-000366"/>
        <s v="ORD-000532"/>
        <s v="ORD-000320"/>
        <s v="ORD-000294"/>
        <s v="ORD-000341"/>
        <s v="ORD-000543"/>
        <s v="ORD-000924"/>
        <s v="ORD-000821"/>
        <s v="ORD-000572"/>
        <s v="ORD-000357"/>
        <s v="ORD-000908"/>
        <s v="ORD-000565"/>
        <s v="ORD-000421"/>
        <s v="ORD-000637"/>
        <s v="ORD-000291"/>
        <s v="ORD-000594"/>
        <s v="ORD-000248"/>
        <s v="ORD-000353"/>
        <s v="ORD-000028"/>
        <s v="ORD-000625"/>
        <s v="ORD-000130"/>
        <s v="ORD-000633"/>
        <s v="ORD-000473"/>
        <s v="ORD-000533"/>
        <s v="ORD-000534"/>
        <s v="ORD-000368"/>
        <s v="ORD-000602"/>
        <s v="ORD-000704"/>
        <s v="ORD-000235"/>
        <s v="ORD-000657"/>
        <s v="ORD-000764"/>
        <s v="ORD-000467"/>
        <s v="ORD-000645"/>
        <s v="ORD-000973"/>
        <s v="ORD-000455"/>
        <s v="ORD-000500"/>
        <s v="ORD-000424"/>
        <s v="ORD-000071"/>
        <s v="ORD-000983"/>
        <s v="ORD-000117"/>
        <s v="ORD-000293"/>
        <s v="ORD-000173"/>
        <s v="ORD-000707"/>
        <s v="ORD-000057"/>
        <s v="ORD-000232"/>
        <s v="ORD-000318"/>
        <s v="ORD-000779"/>
        <s v="ORD-000646"/>
        <s v="ORD-000253"/>
        <s v="ORD-000907"/>
        <s v="ORD-000583"/>
        <s v="ORD-000619"/>
        <s v="ORD-000342"/>
        <s v="ORD-000448"/>
        <s v="ORD-000588"/>
        <s v="ORD-000919"/>
        <s v="ORD-000213"/>
        <s v="ORD-000993"/>
        <s v="ORD-000392"/>
        <s v="ORD-000971"/>
        <s v="ORD-000267"/>
        <s v="ORD-000951"/>
        <s v="ORD-000682"/>
        <s v="ORD-000454"/>
        <s v="ORD-000777"/>
        <s v="ORD-000030"/>
        <s v="ORD-000887"/>
        <s v="ORD-000689"/>
        <s v="ORD-000054"/>
        <s v="ORD-000576"/>
        <s v="ORD-000726"/>
        <s v="ORD-000060"/>
        <s v="ORD-000004"/>
        <s v="ORD-000967"/>
        <s v="ORD-000899"/>
        <s v="ORD-000391"/>
        <s v="ORD-000430"/>
        <s v="ORD-000681"/>
        <s v="ORD-000855"/>
        <s v="ORD-000849"/>
        <s v="ORD-000595"/>
        <s v="ORD-000487"/>
        <s v="ORD-000412"/>
        <s v="ORD-000771"/>
        <s v="ORD-000801"/>
        <s v="ORD-000159"/>
        <s v="ORD-000358"/>
        <s v="ORD-000710"/>
        <s v="ORD-000247"/>
        <s v="ORD-000398"/>
        <s v="ORD-000451"/>
        <s v="ORD-000250"/>
        <s v="ORD-000667"/>
        <s v="ORD-000298"/>
        <s v="ORD-000552"/>
        <s v="ORD-000622"/>
        <s v="ORD-000795"/>
        <s v="ORD-000590"/>
        <s v="ORD-000034"/>
        <s v="ORD-000331"/>
        <s v="ORD-000222"/>
        <s v="ORD-000404"/>
        <s v="ORD-000611"/>
        <s v="ORD-000108"/>
        <s v="ORD-000160"/>
        <s v="ORD-000523"/>
        <s v="ORD-000504"/>
        <s v="ORD-000309"/>
        <s v="ORD-000630"/>
        <s v="ORD-000958"/>
        <s v="ORD-000665"/>
        <s v="ORD-000548"/>
        <s v="ORD-000568"/>
        <s v="ORD-000018"/>
        <s v="ORD-000881"/>
        <s v="ORD-000954"/>
        <s v="ORD-000563"/>
        <s v="ORD-000401"/>
        <s v="ORD-000211"/>
        <s v="ORD-000033"/>
        <s v="ORD-000556"/>
        <s v="ORD-000081"/>
        <s v="ORD-000243"/>
        <s v="ORD-000045"/>
        <s v="ORD-000911"/>
        <s v="ORD-000470"/>
        <s v="ORD-000988"/>
        <s v="ORD-000340"/>
        <s v="ORD-000457"/>
        <s v="ORD-000555"/>
        <s v="ORD-000097"/>
        <s v="ORD-000737"/>
        <s v="ORD-000850"/>
        <s v="ORD-000110"/>
        <s v="ORD-000257"/>
        <s v="ORD-000388"/>
        <s v="ORD-000019"/>
        <s v="ORD-000084"/>
        <s v="ORD-000263"/>
        <s v="ORD-000141"/>
        <s v="ORD-000231"/>
        <s v="ORD-000990"/>
        <s v="ORD-000750"/>
        <s v="ORD-000607"/>
        <s v="ORD-000059"/>
        <s v="ORD-000274"/>
        <s v="ORD-000744"/>
        <s v="ORD-000818"/>
        <s v="ORD-000347"/>
        <s v="ORD-000957"/>
        <s v="ORD-000446"/>
        <s v="ORD-000517"/>
        <s v="ORD-000752"/>
        <s v="ORD-000888"/>
        <s v="ORD-000803"/>
        <s v="ORD-000906"/>
        <s v="ORD-000521"/>
        <s v="ORD-000575"/>
        <s v="ORD-000036"/>
        <s v="ORD-000212"/>
        <s v="ORD-000628"/>
        <s v="ORD-000947"/>
        <s v="ORD-000395"/>
        <s v="ORD-000226"/>
        <s v="ORD-000612"/>
        <s v="ORD-000885"/>
        <s v="ORD-000912"/>
        <s v="ORD-000772"/>
        <s v="ORD-000544"/>
        <s v="ORD-000385"/>
        <s v="ORD-000167"/>
        <s v="ORD-000799"/>
        <s v="ORD-000011"/>
        <s v="ORD-000644"/>
        <s v="ORD-000491"/>
        <s v="ORD-000604"/>
        <s v="ORD-000296"/>
        <s v="ORD-000761"/>
        <s v="ORD-000741"/>
        <s v="ORD-000501"/>
        <s v="ORD-000623"/>
        <s v="ORD-000673"/>
        <s v="ORD-000137"/>
        <s v="ORD-000531"/>
        <s v="ORD-000937"/>
        <s v="ORD-000581"/>
        <s v="ORD-000989"/>
        <s v="ORD-000256"/>
        <s v="ORD-000506"/>
        <s v="ORD-000068"/>
        <s v="ORD-000573"/>
        <s v="ORD-000348"/>
        <s v="ORD-000832"/>
        <s v="ORD-000746"/>
        <s v="ORD-000230"/>
        <s v="ORD-000261"/>
        <s v="ORD-000186"/>
        <s v="ORD-000614"/>
        <s v="ORD-000166"/>
        <s v="ORD-000507"/>
        <s v="ORD-000722"/>
        <s v="ORD-000942"/>
        <s v="ORD-000280"/>
        <s v="ORD-000214"/>
        <s v="ORD-000683"/>
        <s v="ORD-000541"/>
        <s v="ORD-000598"/>
        <s v="ORD-000178"/>
        <s v="ORD-000185"/>
        <s v="ORD-000139"/>
        <s v="ORD-000760"/>
        <s v="ORD-000029"/>
        <s v="ORD-000721"/>
        <s v="ORD-000518"/>
        <s v="ORD-000453"/>
        <s v="ORD-000740"/>
        <s v="ORD-000171"/>
        <s v="ORD-000325"/>
        <s v="ORD-000479"/>
        <s v="ORD-000838"/>
        <s v="ORD-000292"/>
        <s v="ORD-000932"/>
        <s v="ORD-000742"/>
        <s v="ORD-000120"/>
        <s v="ORD-000369"/>
        <s v="ORD-000856"/>
        <s v="ORD-000647"/>
        <s v="ORD-000464"/>
        <s v="ORD-000351"/>
        <s v="ORD-000790"/>
        <s v="ORD-000851"/>
        <s v="ORD-000143"/>
        <s v="ORD-000577"/>
        <s v="ORD-000310"/>
        <s v="ORD-000165"/>
        <s v="ORD-000674"/>
        <s v="ORD-000013"/>
        <s v="ORD-000970"/>
        <s v="ORD-000326"/>
        <s v="ORD-000477"/>
        <s v="ORD-000522"/>
        <s v="ORD-000434"/>
        <s v="ORD-000372"/>
        <s v="ORD-000700"/>
        <s v="ORD-000245"/>
        <s v="ORD-000876"/>
        <s v="ORD-000729"/>
        <s v="ORD-000536"/>
        <s v="ORD-000935"/>
        <s v="ORD-000717"/>
        <s v="ORD-000198"/>
        <s v="ORD-000075"/>
        <s v="ORD-000044"/>
        <s v="ORD-000580"/>
        <s v="ORD-000925"/>
        <s v="ORD-000978"/>
        <s v="ORD-000447"/>
        <s v="ORD-000934"/>
        <s v="ORD-000956"/>
        <s v="ORD-000775"/>
        <s v="ORD-000671"/>
        <s v="ORD-000409"/>
        <s v="ORD-000233"/>
        <s v="ORD-000128"/>
        <s v="ORD-000918"/>
        <s v="ORD-000275"/>
        <s v="ORD-000698"/>
        <s v="ORD-000225"/>
        <s v="ORD-000963"/>
        <s v="ORD-000242"/>
        <s v="ORD-000757"/>
        <s v="ORD-000714"/>
        <s v="ORD-000553"/>
        <s v="ORD-000458"/>
        <s v="ORD-000762"/>
        <s v="ORD-000217"/>
        <s v="ORD-000360"/>
        <s v="ORD-000039"/>
        <s v="ORD-000728"/>
        <s v="ORD-000066"/>
        <s v="ORD-000201"/>
        <s v="ORD-000270"/>
        <s v="ORD-000589"/>
        <s v="ORD-000094"/>
        <s v="ORD-000269"/>
        <s v="ORD-000547"/>
        <s v="ORD-000747"/>
        <s v="ORD-000806"/>
        <s v="ORD-000390"/>
        <s v="ORD-000311"/>
        <s v="ORD-000655"/>
        <s v="ORD-000666"/>
        <s v="ORD-000394"/>
        <s v="ORD-000792"/>
        <s v="ORD-000840"/>
        <s v="ORD-000387"/>
        <s v="ORD-000093"/>
        <s v="ORD-000574"/>
        <s v="ORD-000431"/>
        <s v="ORD-000723"/>
        <s v="ORD-000766"/>
        <s v="ORD-000038"/>
        <s v="ORD-001000"/>
        <s v="ORD-000282"/>
        <s v="ORD-000170"/>
        <s v="ORD-000009"/>
        <s v="ORD-000515"/>
        <s v="ORD-000663"/>
        <s v="ORD-000499"/>
        <s v="ORD-000994"/>
        <s v="ORD-000513"/>
        <s v="ORD-000601"/>
        <s v="ORD-000679"/>
        <s v="ORD-000631"/>
        <s v="ORD-000804"/>
        <s v="ORD-000727"/>
        <s v="ORD-000157"/>
        <s v="ORD-000135"/>
        <s v="ORD-000635"/>
        <s v="ORD-000355"/>
        <s v="ORD-000494"/>
        <s v="ORD-000352"/>
        <s v="ORD-000306"/>
        <s v="ORD-000082"/>
        <s v="ORD-000706"/>
        <s v="ORD-000557"/>
        <s v="ORD-000979"/>
        <s v="ORD-000731"/>
        <s v="ORD-000192"/>
        <s v="ORD-000301"/>
        <s v="ORD-000649"/>
        <s v="ORD-000055"/>
        <s v="ORD-000653"/>
        <s v="ORD-000739"/>
        <s v="ORD-000124"/>
        <s v="ORD-000176"/>
        <s v="ORD-000313"/>
        <s v="ORD-000676"/>
        <s v="ORD-000480"/>
        <s v="ORD-000606"/>
        <s v="ORD-000406"/>
        <s v="ORD-000968"/>
        <s v="ORD-000864"/>
        <s v="ORD-000012"/>
        <s v="ORD-000900"/>
        <s v="ORD-000690"/>
        <s v="ORD-000095"/>
        <s v="ORD-000949"/>
        <s v="ORD-000252"/>
        <s v="ORD-000591"/>
        <s v="ORD-000730"/>
        <s v="ORD-000115"/>
        <s v="ORD-000435"/>
        <s v="ORD-000597"/>
        <s v="ORD-000136"/>
        <s v="ORD-000492"/>
        <s v="ORD-000519"/>
        <s v="ORD-000944"/>
        <s v="ORD-000022"/>
        <s v="ORD-000977"/>
        <s v="ORD-000024"/>
        <s v="ORD-000559"/>
        <s v="ORD-000152"/>
        <s v="ORD-000346"/>
        <s v="ORD-000693"/>
        <s v="ORD-000460"/>
        <s v="ORD-000831"/>
        <s v="ORD-000336"/>
        <s v="ORD-000119"/>
        <s v="ORD-000062"/>
        <s v="ORD-000582"/>
        <s v="ORD-000936"/>
        <s v="ORD-000465"/>
        <s v="ORD-000375"/>
        <s v="ORD-000384"/>
        <s v="ORD-000636"/>
        <s v="ORD-000145"/>
        <s v="ORD-000433"/>
        <s v="ORD-000562"/>
        <s v="ORD-000063"/>
        <s v="ORD-000503"/>
        <s v="ORD-000869"/>
        <s v="ORD-000711"/>
        <s v="ORD-000371"/>
        <s v="ORD-000564"/>
        <s v="ORD-000483"/>
        <s v="ORD-000865"/>
        <s v="ORD-000438"/>
        <s v="ORD-000184"/>
        <s v="ORD-000196"/>
        <s v="ORD-000322"/>
        <s v="ORD-000281"/>
        <s v="ORD-000827"/>
        <s v="ORD-000922"/>
        <s v="ORD-000943"/>
        <s v="ORD-000987"/>
        <s v="ORD-000641"/>
        <s v="ORD-000959"/>
        <s v="ORD-000497"/>
        <s v="ORD-000131"/>
        <s v="ORD-000466"/>
        <s v="ORD-000624"/>
        <s v="ORD-000327"/>
        <s v="ORD-000249"/>
        <s v="ORD-000332"/>
        <s v="ORD-000382"/>
        <s v="ORD-000251"/>
        <s v="ORD-000083"/>
        <s v="ORD-000051"/>
        <s v="ORD-000323"/>
        <s v="ORD-000929"/>
        <s v="ORD-000658"/>
        <s v="ORD-000462"/>
        <s v="ORD-000810"/>
        <s v="ORD-000104"/>
        <s v="ORD-000420"/>
        <s v="ORD-000129"/>
        <s v="ORD-000073"/>
        <s v="ORD-000870"/>
        <s v="ORD-000652"/>
        <s v="ORD-000400"/>
        <s v="ORD-000696"/>
        <s v="ORD-000966"/>
        <s v="ORD-000268"/>
        <s v="ORD-000872"/>
        <s v="ORD-000997"/>
        <s v="ORD-000511"/>
        <s v="ORD-000941"/>
        <s v="ORD-000783"/>
        <s v="ORD-000896"/>
        <s v="ORD-000364"/>
        <s v="ORD-000834"/>
        <s v="ORD-000542"/>
        <s v="ORD-000354"/>
        <s v="ORD-000833"/>
        <s v="ORD-000545"/>
        <s v="ORD-000440"/>
        <s v="ORD-000627"/>
        <s v="ORD-000782"/>
        <s v="ORD-000206"/>
        <s v="ORD-000812"/>
        <s v="ORD-000089"/>
        <s v="ORD-000050"/>
        <s v="ORD-000260"/>
        <s v="ORD-000452"/>
        <s v="ORD-000403"/>
        <s v="ORD-000356"/>
        <s v="ORD-000031"/>
        <s v="ORD-000916"/>
        <s v="ORD-000861"/>
        <s v="ORD-000428"/>
        <s v="ORD-000825"/>
        <s v="ORD-000773"/>
        <s v="ORD-000032"/>
        <s v="ORD-000156"/>
        <s v="ORD-000982"/>
        <s v="ORD-000898"/>
        <s v="ORD-000615"/>
        <s v="ORD-000113"/>
        <s v="ORD-000868"/>
        <s v="ORD-000596"/>
        <s v="ORD-000303"/>
        <s v="ORD-000510"/>
        <s v="ORD-000600"/>
        <s v="ORD-000788"/>
        <s v="ORD-000381"/>
        <s v="ORD-000718"/>
        <s v="ORD-000259"/>
        <s v="ORD-000188"/>
        <s v="ORD-000807"/>
        <s v="ORD-000713"/>
        <s v="ORD-000162"/>
        <s v="ORD-000001"/>
        <s v="ORD-000317"/>
        <s v="ORD-000571"/>
        <s v="ORD-000123"/>
        <s v="ORD-000300"/>
        <s v="ORD-000098"/>
        <s v="ORD-000626"/>
        <s v="ORD-000335"/>
        <s v="ORD-000953"/>
        <s v="ORD-000087"/>
        <s v="ORD-000187"/>
        <s v="ORD-000023"/>
        <s v="ORD-000049"/>
        <s v="ORD-000893"/>
        <s v="ORD-000207"/>
        <s v="ORD-000180"/>
        <s v="ORD-000895"/>
        <s v="ORD-000488"/>
        <s v="ORD-000817"/>
        <s v="ORD-000816"/>
      </sharedItems>
    </cacheField>
    <cacheField name="Order Date" numFmtId="14">
      <sharedItems containsSemiMixedTypes="0" containsNonDate="0" containsDate="1" containsString="0" minDate="2024-10-08T00:00:00" maxDate="2026-10-09T00:00:00" count="534">
        <d v="2024-10-14T00:00:00"/>
        <d v="2025-04-21T00:00:00"/>
        <d v="2025-10-14T00:00:00"/>
        <d v="2025-01-27T00:00:00"/>
        <d v="2026-01-27T00:00:00"/>
        <d v="2025-07-10T00:00:00"/>
        <d v="2025-01-22T00:00:00"/>
        <d v="2026-05-29T00:00:00"/>
        <d v="2026-07-16T00:00:00"/>
        <d v="2026-08-09T00:00:00"/>
        <d v="2024-10-17T00:00:00"/>
        <d v="2025-07-26T00:00:00"/>
        <d v="2026-07-09T00:00:00"/>
        <d v="2026-03-01T00:00:00"/>
        <d v="2026-01-23T00:00:00"/>
        <d v="2025-07-05T00:00:00"/>
        <d v="2025-03-15T00:00:00"/>
        <d v="2025-12-21T00:00:00"/>
        <d v="2025-08-28T00:00:00"/>
        <d v="2026-10-05T00:00:00"/>
        <d v="2025-05-21T00:00:00"/>
        <d v="2026-08-28T00:00:00"/>
        <d v="2025-08-31T00:00:00"/>
        <d v="2025-12-17T00:00:00"/>
        <d v="2025-03-13T00:00:00"/>
        <d v="2026-02-09T00:00:00"/>
        <d v="2026-07-13T00:00:00"/>
        <d v="2024-10-22T00:00:00"/>
        <d v="2025-11-09T00:00:00"/>
        <d v="2025-09-24T00:00:00"/>
        <d v="2025-03-07T00:00:00"/>
        <d v="2024-10-11T00:00:00"/>
        <d v="2025-10-16T00:00:00"/>
        <d v="2024-12-10T00:00:00"/>
        <d v="2025-08-23T00:00:00"/>
        <d v="2026-02-20T00:00:00"/>
        <d v="2026-04-09T00:00:00"/>
        <d v="2025-08-24T00:00:00"/>
        <d v="2025-02-01T00:00:00"/>
        <d v="2025-08-10T00:00:00"/>
        <d v="2026-06-20T00:00:00"/>
        <d v="2025-06-17T00:00:00"/>
        <d v="2024-12-24T00:00:00"/>
        <d v="2026-09-15T00:00:00"/>
        <d v="2026-01-18T00:00:00"/>
        <d v="2026-06-23T00:00:00"/>
        <d v="2025-05-22T00:00:00"/>
        <d v="2025-12-25T00:00:00"/>
        <d v="2026-04-05T00:00:00"/>
        <d v="2026-06-03T00:00:00"/>
        <d v="2025-06-03T00:00:00"/>
        <d v="2025-04-05T00:00:00"/>
        <d v="2026-05-09T00:00:00"/>
        <d v="2026-03-15T00:00:00"/>
        <d v="2026-02-08T00:00:00"/>
        <d v="2026-02-02T00:00:00"/>
        <d v="2026-03-22T00:00:00"/>
        <d v="2024-11-30T00:00:00"/>
        <d v="2026-09-17T00:00:00"/>
        <d v="2025-10-15T00:00:00"/>
        <d v="2025-10-06T00:00:00"/>
        <d v="2026-04-02T00:00:00"/>
        <d v="2025-11-25T00:00:00"/>
        <d v="2025-09-30T00:00:00"/>
        <d v="2025-04-07T00:00:00"/>
        <d v="2025-10-19T00:00:00"/>
        <d v="2025-10-27T00:00:00"/>
        <d v="2025-10-08T00:00:00"/>
        <d v="2026-09-28T00:00:00"/>
        <d v="2025-03-21T00:00:00"/>
        <d v="2025-08-17T00:00:00"/>
        <d v="2025-02-17T00:00:00"/>
        <d v="2026-07-26T00:00:00"/>
        <d v="2025-05-11T00:00:00"/>
        <d v="2026-09-08T00:00:00"/>
        <d v="2026-01-11T00:00:00"/>
        <d v="2025-10-09T00:00:00"/>
        <d v="2026-02-22T00:00:00"/>
        <d v="2025-02-22T00:00:00"/>
        <d v="2025-03-16T00:00:00"/>
        <d v="2026-03-06T00:00:00"/>
        <d v="2025-04-12T00:00:00"/>
        <d v="2025-09-10T00:00:00"/>
        <d v="2025-04-24T00:00:00"/>
        <d v="2025-03-27T00:00:00"/>
        <d v="2024-12-30T00:00:00"/>
        <d v="2025-03-28T00:00:00"/>
        <d v="2025-07-04T00:00:00"/>
        <d v="2025-01-12T00:00:00"/>
        <d v="2024-12-29T00:00:00"/>
        <d v="2026-08-11T00:00:00"/>
        <d v="2026-05-24T00:00:00"/>
        <d v="2025-10-28T00:00:00"/>
        <d v="2025-09-02T00:00:00"/>
        <d v="2026-05-20T00:00:00"/>
        <d v="2025-05-16T00:00:00"/>
        <d v="2025-01-03T00:00:00"/>
        <d v="2025-11-17T00:00:00"/>
        <d v="2026-03-20T00:00:00"/>
        <d v="2026-07-28T00:00:00"/>
        <d v="2026-04-25T00:00:00"/>
        <d v="2025-12-22T00:00:00"/>
        <d v="2026-06-22T00:00:00"/>
        <d v="2024-10-25T00:00:00"/>
        <d v="2024-11-11T00:00:00"/>
        <d v="2026-09-05T00:00:00"/>
        <d v="2025-11-16T00:00:00"/>
        <d v="2026-06-29T00:00:00"/>
        <d v="2025-06-25T00:00:00"/>
        <d v="2025-07-06T00:00:00"/>
        <d v="2026-08-26T00:00:00"/>
        <d v="2024-11-18T00:00:00"/>
        <d v="2026-03-12T00:00:00"/>
        <d v="2025-10-31T00:00:00"/>
        <d v="2026-06-01T00:00:00"/>
        <d v="2024-10-30T00:00:00"/>
        <d v="2025-05-07T00:00:00"/>
        <d v="2026-08-20T00:00:00"/>
        <d v="2026-01-26T00:00:00"/>
        <d v="2025-07-14T00:00:00"/>
        <d v="2024-10-13T00:00:00"/>
        <d v="2026-04-20T00:00:00"/>
        <d v="2025-10-17T00:00:00"/>
        <d v="2026-06-09T00:00:00"/>
        <d v="2025-10-13T00:00:00"/>
        <d v="2026-08-25T00:00:00"/>
        <d v="2025-03-20T00:00:00"/>
        <d v="2026-08-21T00:00:00"/>
        <d v="2026-03-13T00:00:00"/>
        <d v="2025-09-03T00:00:00"/>
        <d v="2024-11-27T00:00:00"/>
        <d v="2025-08-27T00:00:00"/>
        <d v="2026-09-03T00:00:00"/>
        <d v="2026-08-02T00:00:00"/>
        <d v="2026-05-08T00:00:00"/>
        <d v="2025-05-19T00:00:00"/>
        <d v="2025-02-25T00:00:00"/>
        <d v="2025-11-28T00:00:00"/>
        <d v="2026-07-17T00:00:00"/>
        <d v="2025-08-22T00:00:00"/>
        <d v="2025-04-23T00:00:00"/>
        <d v="2026-08-04T00:00:00"/>
        <d v="2025-03-06T00:00:00"/>
        <d v="2025-05-20T00:00:00"/>
        <d v="2025-07-19T00:00:00"/>
        <d v="2024-10-24T00:00:00"/>
        <d v="2025-12-30T00:00:00"/>
        <d v="2026-07-04T00:00:00"/>
        <d v="2024-10-23T00:00:00"/>
        <d v="2026-03-02T00:00:00"/>
        <d v="2026-03-24T00:00:00"/>
        <d v="2025-11-14T00:00:00"/>
        <d v="2026-04-19T00:00:00"/>
        <d v="2026-09-06T00:00:00"/>
        <d v="2026-05-18T00:00:00"/>
        <d v="2025-06-08T00:00:00"/>
        <d v="2026-01-08T00:00:00"/>
        <d v="2026-09-10T00:00:00"/>
        <d v="2025-10-02T00:00:00"/>
        <d v="2026-07-30T00:00:00"/>
        <d v="2025-04-22T00:00:00"/>
        <d v="2026-06-18T00:00:00"/>
        <d v="2025-03-18T00:00:00"/>
        <d v="2025-02-13T00:00:00"/>
        <d v="2025-09-05T00:00:00"/>
        <d v="2025-06-01T00:00:00"/>
        <d v="2025-12-10T00:00:00"/>
        <d v="2025-08-03T00:00:00"/>
        <d v="2025-05-17T00:00:00"/>
        <d v="2025-02-11T00:00:00"/>
        <d v="2025-12-01T00:00:00"/>
        <d v="2025-10-20T00:00:00"/>
        <d v="2025-06-18T00:00:00"/>
        <d v="2026-06-17T00:00:00"/>
        <d v="2025-02-15T00:00:00"/>
        <d v="2025-07-23T00:00:00"/>
        <d v="2026-07-20T00:00:00"/>
        <d v="2025-07-17T00:00:00"/>
        <d v="2026-08-08T00:00:00"/>
        <d v="2025-12-24T00:00:00"/>
        <d v="2026-09-19T00:00:00"/>
        <d v="2025-10-18T00:00:00"/>
        <d v="2024-10-29T00:00:00"/>
        <d v="2025-10-22T00:00:00"/>
        <d v="2025-02-21T00:00:00"/>
        <d v="2026-02-21T00:00:00"/>
        <d v="2025-04-04T00:00:00"/>
        <d v="2025-06-13T00:00:00"/>
        <d v="2026-02-28T00:00:00"/>
        <d v="2025-08-02T00:00:00"/>
        <d v="2025-10-07T00:00:00"/>
        <d v="2026-05-11T00:00:00"/>
        <d v="2024-12-27T00:00:00"/>
        <d v="2025-06-07T00:00:00"/>
        <d v="2025-11-26T00:00:00"/>
        <d v="2026-03-28T00:00:00"/>
        <d v="2026-03-25T00:00:00"/>
        <d v="2025-08-07T00:00:00"/>
        <d v="2025-01-20T00:00:00"/>
        <d v="2026-01-01T00:00:00"/>
        <d v="2025-08-13T00:00:00"/>
        <d v="2026-04-17T00:00:00"/>
        <d v="2025-12-20T00:00:00"/>
        <d v="2026-08-14T00:00:00"/>
        <d v="2025-07-24T00:00:00"/>
        <d v="2024-11-13T00:00:00"/>
        <d v="2025-07-08T00:00:00"/>
        <d v="2025-08-25T00:00:00"/>
        <d v="2026-08-30T00:00:00"/>
        <d v="2026-03-27T00:00:00"/>
        <d v="2025-07-25T00:00:00"/>
        <d v="2024-10-31T00:00:00"/>
        <d v="2025-10-03T00:00:00"/>
        <d v="2025-09-18T00:00:00"/>
        <d v="2026-07-01T00:00:00"/>
        <d v="2025-11-13T00:00:00"/>
        <d v="2025-11-23T00:00:00"/>
        <d v="2025-07-31T00:00:00"/>
        <d v="2025-07-07T00:00:00"/>
        <d v="2026-06-10T00:00:00"/>
        <d v="2025-12-03T00:00:00"/>
        <d v="2024-12-09T00:00:00"/>
        <d v="2025-04-29T00:00:00"/>
        <d v="2025-11-08T00:00:00"/>
        <d v="2026-01-25T00:00:00"/>
        <d v="2026-02-23T00:00:00"/>
        <d v="2026-06-15T00:00:00"/>
        <d v="2026-04-03T00:00:00"/>
        <d v="2026-06-28T00:00:00"/>
        <d v="2026-05-13T00:00:00"/>
        <d v="2026-06-24T00:00:00"/>
        <d v="2024-11-17T00:00:00"/>
        <d v="2026-02-19T00:00:00"/>
        <d v="2025-12-09T00:00:00"/>
        <d v="2025-05-12T00:00:00"/>
        <d v="2025-01-14T00:00:00"/>
        <d v="2025-02-07T00:00:00"/>
        <d v="2026-01-28T00:00:00"/>
        <d v="2024-11-01T00:00:00"/>
        <d v="2025-04-01T00:00:00"/>
        <d v="2026-08-22T00:00:00"/>
        <d v="2026-04-23T00:00:00"/>
        <d v="2025-01-09T00:00:00"/>
        <d v="2025-09-04T00:00:00"/>
        <d v="2026-08-12T00:00:00"/>
        <d v="2026-06-13T00:00:00"/>
        <d v="2026-09-26T00:00:00"/>
        <d v="2024-12-16T00:00:00"/>
        <d v="2025-01-01T00:00:00"/>
        <d v="2025-09-12T00:00:00"/>
        <d v="2026-09-20T00:00:00"/>
        <d v="2025-09-23T00:00:00"/>
        <d v="2026-05-19T00:00:00"/>
        <d v="2026-04-04T00:00:00"/>
        <d v="2026-05-17T00:00:00"/>
        <d v="2025-08-19T00:00:00"/>
        <d v="2025-09-26T00:00:00"/>
        <d v="2024-12-04T00:00:00"/>
        <d v="2026-05-14T00:00:00"/>
        <d v="2025-01-11T00:00:00"/>
        <d v="2024-12-05T00:00:00"/>
        <d v="2026-02-13T00:00:00"/>
        <d v="2026-07-19T00:00:00"/>
        <d v="2026-06-04T00:00:00"/>
        <d v="2024-11-15T00:00:00"/>
        <d v="2026-03-04T00:00:00"/>
        <d v="2025-05-23T00:00:00"/>
        <d v="2026-04-24T00:00:00"/>
        <d v="2024-11-19T00:00:00"/>
        <d v="2025-10-10T00:00:00"/>
        <d v="2025-02-28T00:00:00"/>
        <d v="2026-01-04T00:00:00"/>
        <d v="2026-09-11T00:00:00"/>
        <d v="2025-05-31T00:00:00"/>
        <d v="2025-05-01T00:00:00"/>
        <d v="2025-06-02T00:00:00"/>
        <d v="2026-07-11T00:00:00"/>
        <d v="2024-11-16T00:00:00"/>
        <d v="2025-01-08T00:00:00"/>
        <d v="2026-05-23T00:00:00"/>
        <d v="2026-01-05T00:00:00"/>
        <d v="2026-09-12T00:00:00"/>
        <d v="2025-03-30T00:00:00"/>
        <d v="2026-08-10T00:00:00"/>
        <d v="2026-03-30T00:00:00"/>
        <d v="2025-07-16T00:00:00"/>
        <d v="2024-10-19T00:00:00"/>
        <d v="2024-11-20T00:00:00"/>
        <d v="2025-08-14T00:00:00"/>
        <d v="2025-01-13T00:00:00"/>
        <d v="2024-12-25T00:00:00"/>
        <d v="2025-05-27T00:00:00"/>
        <d v="2025-02-04T00:00:00"/>
        <d v="2024-11-06T00:00:00"/>
        <d v="2025-06-11T00:00:00"/>
        <d v="2025-12-06T00:00:00"/>
        <d v="2025-12-16T00:00:00"/>
        <d v="2026-07-23T00:00:00"/>
        <d v="2026-10-07T00:00:00"/>
        <d v="2025-01-06T00:00:00"/>
        <d v="2025-01-10T00:00:00"/>
        <d v="2025-04-18T00:00:00"/>
        <d v="2025-02-19T00:00:00"/>
        <d v="2026-08-27T00:00:00"/>
        <d v="2025-07-30T00:00:00"/>
        <d v="2024-11-04T00:00:00"/>
        <d v="2025-08-29T00:00:00"/>
        <d v="2025-03-03T00:00:00"/>
        <d v="2025-09-06T00:00:00"/>
        <d v="2026-02-25T00:00:00"/>
        <d v="2026-03-07T00:00:00"/>
        <d v="2026-01-21T00:00:00"/>
        <d v="2025-04-09T00:00:00"/>
        <d v="2026-04-22T00:00:00"/>
        <d v="2025-12-29T00:00:00"/>
        <d v="2026-08-15T00:00:00"/>
        <d v="2025-01-21T00:00:00"/>
        <d v="2025-03-11T00:00:00"/>
        <d v="2025-01-23T00:00:00"/>
        <d v="2024-11-03T00:00:00"/>
        <d v="2024-10-15T00:00:00"/>
        <d v="2025-04-02T00:00:00"/>
        <d v="2026-04-21T00:00:00"/>
        <d v="2024-12-02T00:00:00"/>
        <d v="2025-06-23T00:00:00"/>
        <d v="2025-02-27T00:00:00"/>
        <d v="2026-06-21T00:00:00"/>
        <d v="2025-06-27T00:00:00"/>
        <d v="2026-07-29T00:00:00"/>
        <d v="2026-10-03T00:00:00"/>
        <d v="2026-03-14T00:00:00"/>
        <d v="2025-03-12T00:00:00"/>
        <d v="2025-02-26T00:00:00"/>
        <d v="2025-06-06T00:00:00"/>
        <d v="2025-04-16T00:00:00"/>
        <d v="2026-05-27T00:00:00"/>
        <d v="2025-12-05T00:00:00"/>
        <d v="2026-09-09T00:00:00"/>
        <d v="2025-04-08T00:00:00"/>
        <d v="2026-07-05T00:00:00"/>
        <d v="2025-07-03T00:00:00"/>
        <d v="2024-10-21T00:00:00"/>
        <d v="2026-04-16T00:00:00"/>
        <d v="2026-09-18T00:00:00"/>
        <d v="2025-07-20T00:00:00"/>
        <d v="2025-01-04T00:00:00"/>
        <d v="2026-05-04T00:00:00"/>
        <d v="2024-10-28T00:00:00"/>
        <d v="2026-03-05T00:00:00"/>
        <d v="2025-11-02T00:00:00"/>
        <d v="2025-11-22T00:00:00"/>
        <d v="2026-07-18T00:00:00"/>
        <d v="2025-11-03T00:00:00"/>
        <d v="2025-04-30T00:00:00"/>
        <d v="2026-08-06T00:00:00"/>
        <d v="2025-05-18T00:00:00"/>
        <d v="2026-08-18T00:00:00"/>
        <d v="2025-04-25T00:00:00"/>
        <d v="2025-03-04T00:00:00"/>
        <d v="2024-12-18T00:00:00"/>
        <d v="2026-02-12T00:00:00"/>
        <d v="2025-11-20T00:00:00"/>
        <d v="2024-11-26T00:00:00"/>
        <d v="2025-04-14T00:00:00"/>
        <d v="2024-12-26T00:00:00"/>
        <d v="2025-03-24T00:00:00"/>
        <d v="2025-06-20T00:00:00"/>
        <d v="2024-11-23T00:00:00"/>
        <d v="2026-03-16T00:00:00"/>
        <d v="2025-09-17T00:00:00"/>
        <d v="2026-09-29T00:00:00"/>
        <d v="2025-01-05T00:00:00"/>
        <d v="2025-07-01T00:00:00"/>
        <d v="2026-02-27T00:00:00"/>
        <d v="2026-03-17T00:00:00"/>
        <d v="2025-07-28T00:00:00"/>
        <d v="2025-03-29T00:00:00"/>
        <d v="2025-10-05T00:00:00"/>
        <d v="2025-06-12T00:00:00"/>
        <d v="2024-12-07T00:00:00"/>
        <d v="2025-02-12T00:00:00"/>
        <d v="2026-09-27T00:00:00"/>
        <d v="2025-10-12T00:00:00"/>
        <d v="2025-01-02T00:00:00"/>
        <d v="2026-02-01T00:00:00"/>
        <d v="2025-12-18T00:00:00"/>
        <d v="2026-05-10T00:00:00"/>
        <d v="2024-12-06T00:00:00"/>
        <d v="2025-12-14T00:00:00"/>
        <d v="2024-10-18T00:00:00"/>
        <d v="2025-06-22T00:00:00"/>
        <d v="2025-02-10T00:00:00"/>
        <d v="2026-08-23T00:00:00"/>
        <d v="2025-06-24T00:00:00"/>
        <d v="2025-07-22T00:00:00"/>
        <d v="2025-11-04T00:00:00"/>
        <d v="2025-12-04T00:00:00"/>
        <d v="2025-04-20T00:00:00"/>
        <d v="2025-03-17T00:00:00"/>
        <d v="2026-08-29T00:00:00"/>
        <d v="2025-04-28T00:00:00"/>
        <d v="2025-07-27T00:00:00"/>
        <d v="2025-09-21T00:00:00"/>
        <d v="2026-02-26T00:00:00"/>
        <d v="2026-08-31T00:00:00"/>
        <d v="2025-11-27T00:00:00"/>
        <d v="2025-04-13T00:00:00"/>
        <d v="2025-07-21T00:00:00"/>
        <d v="2026-09-30T00:00:00"/>
        <d v="2026-09-04T00:00:00"/>
        <d v="2025-11-29T00:00:00"/>
        <d v="2026-08-03T00:00:00"/>
        <d v="2025-11-07T00:00:00"/>
        <d v="2026-04-18T00:00:00"/>
        <d v="2025-08-30T00:00:00"/>
        <d v="2025-06-28T00:00:00"/>
        <d v="2025-06-09T00:00:00"/>
        <d v="2025-05-10T00:00:00"/>
        <d v="2026-07-24T00:00:00"/>
        <d v="2025-12-08T00:00:00"/>
        <d v="2025-08-18T00:00:00"/>
        <d v="2025-05-03T00:00:00"/>
        <d v="2025-08-09T00:00:00"/>
        <d v="2025-09-07T00:00:00"/>
        <d v="2026-01-06T00:00:00"/>
        <d v="2025-12-07T00:00:00"/>
        <d v="2026-02-14T00:00:00"/>
        <d v="2025-06-04T00:00:00"/>
        <d v="2025-11-01T00:00:00"/>
        <d v="2025-06-16T00:00:00"/>
        <d v="2025-04-15T00:00:00"/>
        <d v="2026-02-15T00:00:00"/>
        <d v="2026-01-24T00:00:00"/>
        <d v="2024-11-07T00:00:00"/>
        <d v="2024-10-08T00:00:00"/>
        <d v="2025-10-11T00:00:00"/>
        <d v="2025-09-28T00:00:00"/>
        <d v="2025-09-13T00:00:00"/>
        <d v="2025-07-12T00:00:00"/>
        <d v="2025-06-21T00:00:00"/>
        <d v="2026-06-06T00:00:00"/>
        <d v="2025-01-28T00:00:00"/>
        <d v="2025-09-16T00:00:00"/>
        <d v="2025-05-02T00:00:00"/>
        <d v="2024-12-31T00:00:00"/>
        <d v="2024-10-27T00:00:00"/>
        <d v="2026-01-16T00:00:00"/>
        <d v="2025-12-26T00:00:00"/>
        <d v="2026-05-21T00:00:00"/>
        <d v="2026-07-14T00:00:00"/>
        <d v="2026-01-29T00:00:00"/>
        <d v="2026-01-14T00:00:00"/>
        <d v="2025-09-20T00:00:00"/>
        <d v="2025-04-06T00:00:00"/>
        <d v="2026-03-31T00:00:00"/>
        <d v="2025-06-14T00:00:00"/>
        <d v="2026-02-11T00:00:00"/>
        <d v="2026-07-31T00:00:00"/>
        <d v="2026-01-20T00:00:00"/>
        <d v="2026-04-29T00:00:00"/>
        <d v="2026-06-19T00:00:00"/>
        <d v="2025-03-01T00:00:00"/>
        <d v="2025-01-24T00:00:00"/>
        <d v="2026-05-31T00:00:00"/>
        <d v="2024-12-08T00:00:00"/>
        <d v="2025-11-06T00:00:00"/>
        <d v="2025-07-13T00:00:00"/>
        <d v="2025-03-10T00:00:00"/>
        <d v="2025-05-25T00:00:00"/>
        <d v="2026-01-07T00:00:00"/>
        <d v="2026-07-10T00:00:00"/>
        <d v="2026-05-05T00:00:00"/>
        <d v="2025-02-24T00:00:00"/>
        <d v="2026-04-12T00:00:00"/>
        <d v="2025-06-10T00:00:00"/>
        <d v="2025-03-26T00:00:00"/>
        <d v="2025-03-19T00:00:00"/>
        <d v="2026-09-14T00:00:00"/>
        <d v="2026-10-06T00:00:00"/>
        <d v="2026-10-08T00:00:00"/>
        <d v="2025-05-24T00:00:00"/>
        <d v="2026-04-27T00:00:00"/>
        <d v="2025-02-14T00:00:00"/>
        <d v="2024-12-14T00:00:00"/>
        <d v="2025-12-12T00:00:00"/>
        <d v="2026-06-11T00:00:00"/>
        <d v="2026-04-26T00:00:00"/>
        <d v="2026-09-16T00:00:00"/>
        <d v="2026-01-22T00:00:00"/>
        <d v="2026-07-21T00:00:00"/>
        <d v="2026-03-10T00:00:00"/>
        <d v="2026-04-11T00:00:00"/>
        <d v="2026-05-30T00:00:00"/>
        <d v="2026-02-03T00:00:00"/>
        <d v="2025-02-18T00:00:00"/>
        <d v="2024-10-09T00:00:00"/>
        <d v="2025-03-31T00:00:00"/>
        <d v="2025-11-30T00:00:00"/>
        <d v="2025-05-15T00:00:00"/>
        <d v="2026-02-16T00:00:00"/>
        <d v="2025-05-05T00:00:00"/>
        <d v="2026-05-01T00:00:00"/>
        <d v="2024-11-02T00:00:00"/>
        <d v="2024-12-17T00:00:00"/>
        <d v="2024-11-05T00:00:00"/>
        <d v="2025-05-26T00:00:00"/>
        <d v="2025-10-25T00:00:00"/>
        <d v="2025-06-30T00:00:00"/>
        <d v="2024-11-24T00:00:00"/>
        <d v="2026-04-08T00:00:00"/>
        <d v="2025-02-20T00:00:00"/>
        <d v="2025-08-05T00:00:00"/>
        <d v="2026-03-09T00:00:00"/>
        <d v="2026-08-17T00:00:00"/>
        <d v="2026-07-22T00:00:00"/>
        <d v="2026-05-22T00:00:00"/>
        <d v="2026-01-02T00:00:00"/>
        <d v="2026-06-26T00:00:00"/>
        <d v="2025-12-23T00:00:00"/>
        <d v="2025-03-05T00:00:00"/>
        <d v="2025-04-03T00:00:00"/>
        <d v="2024-12-23T00:00:00"/>
        <d v="2025-10-01T00:00:00"/>
        <d v="2024-12-03T00:00:00"/>
        <d v="2025-12-19T00:00:00"/>
        <d v="2024-11-21T00:00:00"/>
        <d v="2026-04-07T00:00:00"/>
        <d v="2025-01-25T00:00:00"/>
        <d v="2025-09-15T00:00:00"/>
        <d v="2025-12-31T00:00:00"/>
        <d v="2025-09-14T00:00:00"/>
        <d v="2025-02-23T00:00:00"/>
        <d v="2025-01-31T00:00:00"/>
        <d v="2025-05-30T00:00:00"/>
      </sharedItems>
      <fieldGroup par="15"/>
    </cacheField>
    <cacheField name="Customer Name" numFmtId="0">
      <sharedItems count="753">
        <s v="David Anderson"/>
        <s v="Barbara Lee"/>
        <s v="Jessica Miller"/>
        <s v="Michael Hernandez"/>
        <s v="Mark Miller"/>
        <s v="Paul Walker"/>
        <s v="Jennifer Rodriguez"/>
        <s v="Robert Lee"/>
        <s v="Richard Jackson"/>
        <s v="James Lewis"/>
        <s v="Joseph Jackson"/>
        <s v="Sandra Perez"/>
        <s v="Sandra Anderson"/>
        <s v="David Garcia"/>
        <s v="Patricia Nguyen"/>
        <s v="Andrew Rodriguez"/>
        <s v="Ashley Anderson"/>
        <s v="Dorothy Allen"/>
        <s v="Elizabeth Allen"/>
        <s v="Mary King"/>
        <s v="Joseph Taylor"/>
        <s v="Linda Jones"/>
        <s v="William Johnson"/>
        <s v="Ashley Johnson"/>
        <s v="John Johnson"/>
        <s v="Thomas Brown"/>
        <s v="Andrew King"/>
        <s v="Joshua Taylor"/>
        <s v="Anthony Lee"/>
        <s v="Robert Taylor"/>
        <s v="Emily Walker"/>
        <s v="Christopher Davis"/>
        <s v="Matthew Taylor"/>
        <s v="Charles Flores"/>
        <s v="Steven Brown"/>
        <s v="William Harris"/>
        <s v="Mary Lee"/>
        <s v="Lisa Walker"/>
        <s v="Barbara Wright"/>
        <s v="Joshua Robinson"/>
        <s v="Christopher Anderson"/>
        <s v="Mark Young"/>
        <s v="Steven Taylor"/>
        <s v="Joseph Torres"/>
        <s v="William Lee"/>
        <s v="Daniel Lopez"/>
        <s v="Margaret Williams"/>
        <s v="Mary Sanchez"/>
        <s v="Jennifer Gonzalez"/>
        <s v="Jessica Taylor"/>
        <s v="Elizabeth White"/>
        <s v="Margaret Allen"/>
        <s v="William Ramirez"/>
        <s v="Michael Garcia"/>
        <s v="Elizabeth Martinez"/>
        <s v="David Allen"/>
        <s v="Donald Lewis"/>
        <s v="Karen Smith"/>
        <s v="Richard Miller"/>
        <s v="Robert Young"/>
        <s v="Joseph Johnson"/>
        <s v="Nancy Lopez"/>
        <s v="Steven Martinez"/>
        <s v="Robert Thompson"/>
        <s v="Thomas Allen"/>
        <s v="Sarah Lee"/>
        <s v="Jennifer Harris"/>
        <s v="Margaret Robinson"/>
        <s v="Mary Brown"/>
        <s v="Sandra White"/>
        <s v="Richard Flores"/>
        <s v="John Lee"/>
        <s v="Kimberly Young"/>
        <s v="Elizabeth Clark"/>
        <s v="James Hill"/>
        <s v="Charles Brown"/>
        <s v="Mary Harris"/>
        <s v="John Clark"/>
        <s v="Anthony Perez"/>
        <s v="Donald Robinson"/>
        <s v="Barbara Moore"/>
        <s v="Karen Scott"/>
        <s v="Susan Johnson"/>
        <s v="Lisa Moore"/>
        <s v="Steven Harris"/>
        <s v="Sarah Anderson"/>
        <s v="Donald Gonzalez"/>
        <s v="Richard Rodriguez"/>
        <s v="Charles Lee"/>
        <s v="Ashley Hernandez"/>
        <s v="Sandra Young"/>
        <s v="Steven King"/>
        <s v="Mary Young"/>
        <s v="Nancy Jones"/>
        <s v="Elizabeth Scott"/>
        <s v="David Nguyen"/>
        <s v="Elizabeth Johnson"/>
        <s v="Richard Walker"/>
        <s v="Steven Torres"/>
        <s v="Andrew Hernandez"/>
        <s v="Richard Johnson"/>
        <s v="Patricia Jackson"/>
        <s v="Elizabeth Jackson"/>
        <s v="Paul Perez"/>
        <s v="Betty Martinez"/>
        <s v="Nancy King"/>
        <s v="Christopher Wilson"/>
        <s v="Joseph Perez"/>
        <s v="Susan Hernandez"/>
        <s v="Kimberly Williams"/>
        <s v="Betty Martin"/>
        <s v="Linda Martinez"/>
        <s v="John Thompson"/>
        <s v="John Wright"/>
        <s v="Joseph Brown"/>
        <s v="Matthew King"/>
        <s v="Elizabeth Thomas"/>
        <s v="Christopher Walker"/>
        <s v="Mark Harris"/>
        <s v="William Jones"/>
        <s v="Lisa Brown"/>
        <s v="Daniel Scott"/>
        <s v="Margaret Jackson"/>
        <s v="Ashley Flores"/>
        <s v="Charles Allen"/>
        <s v="David Sanchez"/>
        <s v="Lisa Scott"/>
        <s v="Linda White"/>
        <s v="Paul Sanchez"/>
        <s v="Steven Smith"/>
        <s v="Mary Torres"/>
        <s v="Betty Harris"/>
        <s v="Christopher Brown"/>
        <s v="Matthew Rodriguez"/>
        <s v="Joshua Young"/>
        <s v="Karen Wright"/>
        <s v="Donna Flores"/>
        <s v="Daniel Jackson"/>
        <s v="Michael Gonzalez"/>
        <s v="Donald Martin"/>
        <s v="Susan Torres"/>
        <s v="Patricia Martinez"/>
        <s v="Paul Johnson"/>
        <s v="Joshua Perez"/>
        <s v="David Torres"/>
        <s v="Ashley Martin"/>
        <s v="Barbara Clark"/>
        <s v="Donna Rodriguez"/>
        <s v="Robert Sanchez"/>
        <s v="Margaret Torres"/>
        <s v="Matthew Smith"/>
        <s v="Christopher Sanchez"/>
        <s v="Mark Gonzalez"/>
        <s v="Charles Lopez"/>
        <s v="Nancy Wright"/>
        <s v="Jennifer Anderson"/>
        <s v="Barbara Taylor"/>
        <s v="Steven Young"/>
        <s v="Betty Hernandez"/>
        <s v="Dorothy Thompson"/>
        <s v="Joseph Thompson"/>
        <s v="Paul Thompson"/>
        <s v="Karen Torres"/>
        <s v="Ashley Lopez"/>
        <s v="Andrew Brown"/>
        <s v="Jennifer Wright"/>
        <s v="John Ramirez"/>
        <s v="Anthony Johnson"/>
        <s v="Jennifer Sanchez"/>
        <s v="Donna Young"/>
        <s v="Mark Martinez"/>
        <s v="Donald Harris"/>
        <s v="Mark Scott"/>
        <s v="Andrew Garcia"/>
        <s v="Emily Moore"/>
        <s v="Daniel Johnson"/>
        <s v="Ashley Perez"/>
        <s v="Mark Wright"/>
        <s v="Paul Ramirez"/>
        <s v="Sandra Flores"/>
        <s v="Thomas Sanchez"/>
        <s v="Charles Torres"/>
        <s v="Margaret Sanchez"/>
        <s v="Matthew Hill"/>
        <s v="Patricia King"/>
        <s v="Donald Allen"/>
        <s v="Jessica Thomas"/>
        <s v="Christopher Lopez"/>
        <s v="Charles King"/>
        <s v="Robert Wilson"/>
        <s v="Sarah Hernandez"/>
        <s v="Daniel Lewis"/>
        <s v="Jennifer Wilson"/>
        <s v="Elizabeth Sanchez"/>
        <s v="Karen Walker"/>
        <s v="Emily King"/>
        <s v="Joseph White"/>
        <s v="Daniel Taylor"/>
        <s v="Dorothy Nguyen"/>
        <s v="Christopher Hernandez"/>
        <s v="Kimberly Anderson"/>
        <s v="Jessica Williams"/>
        <s v="Joshua Davis"/>
        <s v="Robert Martinez"/>
        <s v="Patricia Torres"/>
        <s v="Donald Thompson"/>
        <s v="Kimberly Sanchez"/>
        <s v="Donald Torres"/>
        <s v="Patricia Clark"/>
        <s v="Karen Brown"/>
        <s v="Charles Davis"/>
        <s v="Ashley Smith"/>
        <s v="Thomas Anderson"/>
        <s v="John Gonzalez"/>
        <s v="Margaret Perez"/>
        <s v="Daniel King"/>
        <s v="Paul Nguyen"/>
        <s v="Sarah Miller"/>
        <s v="Ashley Walker"/>
        <s v="Elizabeth Davis"/>
        <s v="Elizabeth Lewis"/>
        <s v="Kimberly Hill"/>
        <s v="Richard Clark"/>
        <s v="James Davis"/>
        <s v="Kimberly Scott"/>
        <s v="Sarah Johnson"/>
        <s v="Sarah Lopez"/>
        <s v="Jessica Rodriguez"/>
        <s v="William Anderson"/>
        <s v="Lisa Thomas"/>
        <s v="Daniel Thomas"/>
        <s v="Karen Jones"/>
        <s v="Emily Garcia"/>
        <s v="Karen Lee"/>
        <s v="David Young"/>
        <s v="Dorothy Wilson"/>
        <s v="Linda Thompson"/>
        <s v="Margaret Lopez"/>
        <s v="Karen Hernandez"/>
        <s v="William Thomas"/>
        <s v="Nancy Miller"/>
        <s v="Susan Williams"/>
        <s v="Matthew Torres"/>
        <s v="Kimberly Hernandez"/>
        <s v="Ashley Lewis"/>
        <s v="James Nguyen"/>
        <s v="Anthony Thomas"/>
        <s v="Donald Rodriguez"/>
        <s v="Charles Rodriguez"/>
        <s v="Joshua Nguyen"/>
        <s v="Sandra Lee"/>
        <s v="William Wilson"/>
        <s v="Matthew Lewis"/>
        <s v="Mary Smith"/>
        <s v="William Walker"/>
        <s v="Jennifer Davis"/>
        <s v="William Thompson"/>
        <s v="Linda Wright"/>
        <s v="Jessica Martinez"/>
        <s v="Patricia Thomas"/>
        <s v="Barbara Hill"/>
        <s v="Patricia Wright"/>
        <s v="Lisa Harris"/>
        <s v="Barbara Martinez"/>
        <s v="Steven Lewis"/>
        <s v="James Thompson"/>
        <s v="Dorothy Young"/>
        <s v="James Jones"/>
        <s v="John Perez"/>
        <s v="Joshua Martin"/>
        <s v="Susan Lopez"/>
        <s v="Nancy Thompson"/>
        <s v="Sandra Jones"/>
        <s v="Matthew Young"/>
        <s v="Barbara Jones"/>
        <s v="Linda Flores"/>
        <s v="Paul Gonzalez"/>
        <s v="Susan Scott"/>
        <s v="Patricia Ramirez"/>
        <s v="Paul Allen"/>
        <s v="Donald Williams"/>
        <s v="Joshua Wilson"/>
        <s v="Mary Miller"/>
        <s v="Karen Harris"/>
        <s v="Mark Rodriguez"/>
        <s v="Donna Harris"/>
        <s v="Betty Perez"/>
        <s v="Margaret Walker"/>
        <s v="Steven Anderson"/>
        <s v="Ashley Brown"/>
        <s v="Christopher King"/>
        <s v="James Anderson"/>
        <s v="Sandra Hill"/>
        <s v="Patricia Moore"/>
        <s v="Joseph Clark"/>
        <s v="Sarah Harris"/>
        <s v="Thomas Rodriguez"/>
        <s v="Donna Martin"/>
        <s v="Barbara Nguyen"/>
        <s v="Joshua Jackson"/>
        <s v="Donald Young"/>
        <s v="Charles Ramirez"/>
        <s v="Sarah King"/>
        <s v="Joseph Anderson"/>
        <s v="Betty Gonzalez"/>
        <s v="David Johnson"/>
        <s v="Charles Garcia"/>
        <s v="Robert Wright"/>
        <s v="Barbara Harris"/>
        <s v="Christopher Robinson"/>
        <s v="Nancy Garcia"/>
        <s v="Linda Taylor"/>
        <s v="Nancy Hill"/>
        <s v="John Hernandez"/>
        <s v="Sarah Rodriguez"/>
        <s v="Sandra Jackson"/>
        <s v="Barbara King"/>
        <s v="Andrew White"/>
        <s v="Lisa Garcia"/>
        <s v="Donald Flores"/>
        <s v="Paul Taylor"/>
        <s v="Joseph Nguyen"/>
        <s v="Mark Sanchez"/>
        <s v="Sarah Torres"/>
        <s v="Jennifer Flores"/>
        <s v="Jessica Gonzalez"/>
        <s v="David Gonzalez"/>
        <s v="Matthew Walker"/>
        <s v="Lisa White"/>
        <s v="Richard Allen"/>
        <s v="Mark Hernandez"/>
        <s v="Charles Miller"/>
        <s v="Lisa Johnson"/>
        <s v="Thomas Lewis"/>
        <s v="Ashley Allen"/>
        <s v="Richard Jones"/>
        <s v="Susan Perez"/>
        <s v="Linda Walker"/>
        <s v="Anthony Hernandez"/>
        <s v="Mary Gonzalez"/>
        <s v="Matthew Ramirez"/>
        <s v="David Jones"/>
        <s v="James Walker"/>
        <s v="Donald Perez"/>
        <s v="James Rodriguez"/>
        <s v="Donna White"/>
        <s v="Joshua Clark"/>
        <s v="Donna Thompson"/>
        <s v="Matthew Nguyen"/>
        <s v="Jessica Nguyen"/>
        <s v="Michael Williams"/>
        <s v="William Sanchez"/>
        <s v="Jessica Scott"/>
        <s v="Donna Jones"/>
        <s v="James Moore"/>
        <s v="Susan Hill"/>
        <s v="Ashley Nguyen"/>
        <s v="Patricia Taylor"/>
        <s v="Karen Rodriguez"/>
        <s v="Karen Garcia"/>
        <s v="Joshua Smith"/>
        <s v="Donna Thomas"/>
        <s v="Barbara Smith"/>
        <s v="Richard Thomas"/>
        <s v="David Perez"/>
        <s v="Mark Nguyen"/>
        <s v="John King"/>
        <s v="Richard Wright"/>
        <s v="Lisa Martinez"/>
        <s v="Christopher Allen"/>
        <s v="Lisa Jones"/>
        <s v="Matthew Martin"/>
        <s v="Lisa Martin"/>
        <s v="Kimberly Lopez"/>
        <s v="William Torres"/>
        <s v="Barbara Wilson"/>
        <s v="Betty Thomas"/>
        <s v="Emily Martinez"/>
        <s v="Paul Lopez"/>
        <s v="Donna Hill"/>
        <s v="Linda Martin"/>
        <s v="Charles Williams"/>
        <s v="Anthony Moore"/>
        <s v="Richard Davis"/>
        <s v="Sarah Wilson"/>
        <s v="Susan Smith"/>
        <s v="Andrew Gonzalez"/>
        <s v="Margaret Wilson"/>
        <s v="Robert Garcia"/>
        <s v="Joshua Garcia"/>
        <s v="Matthew Martinez"/>
        <s v="Donna Wright"/>
        <s v="Ashley Davis"/>
        <s v="Ashley Jackson"/>
        <s v="Charles Thompson"/>
        <s v="Christopher Wright"/>
        <s v="Anthony Walker"/>
        <s v="Ashley Miller"/>
        <s v="David Hill"/>
        <s v="Joshua Flores"/>
        <s v="Paul Lee"/>
        <s v="Matthew Gonzalez"/>
        <s v="Andrew Lewis"/>
        <s v="Donald Brown"/>
        <s v="Sandra Martin"/>
        <s v="Mary Flores"/>
        <s v="Christopher Thomas"/>
        <s v="Sarah Sanchez"/>
        <s v="Betty Clark"/>
        <s v="William Jackson"/>
        <s v="Sandra Johnson"/>
        <s v="Mark Wilson"/>
        <s v="Thomas Thompson"/>
        <s v="David Jackson"/>
        <s v="Susan Walker"/>
        <s v="Elizabeth Taylor"/>
        <s v="Paul Garcia"/>
        <s v="Thomas Jones"/>
        <s v="Barbara Ramirez"/>
        <s v="Steven Scott"/>
        <s v="Lisa Jackson"/>
        <s v="Kimberly Miller"/>
        <s v="David Brown"/>
        <s v="Sandra Allen"/>
        <s v="Dorothy Walker"/>
        <s v="Sandra Taylor"/>
        <s v="Joshua Brown"/>
        <s v="Barbara Torres"/>
        <s v="Richard Robinson"/>
        <s v="Susan Gonzalez"/>
        <s v="Donald Lee"/>
        <s v="Susan Ramirez"/>
        <s v="Karen Anderson"/>
        <s v="Dorothy Lopez"/>
        <s v="John Torres"/>
        <s v="Donna Smith"/>
        <s v="Donna Moore"/>
        <s v="Lisa Taylor"/>
        <s v="Daniel Robinson"/>
        <s v="Daniel Lee"/>
        <s v="Joshua Torres"/>
        <s v="John Davis"/>
        <s v="Matthew Thompson"/>
        <s v="Robert Lewis"/>
        <s v="Karen White"/>
        <s v="Karen Gonzalez"/>
        <s v="Donna Ramirez"/>
        <s v="John Flores"/>
        <s v="Richard Ramirez"/>
        <s v="Sandra Wilson"/>
        <s v="Sarah Young"/>
        <s v="Elizabeth Hill"/>
        <s v="Kimberly Jackson"/>
        <s v="Susan Robinson"/>
        <s v="Paul Moore"/>
        <s v="Charles White"/>
        <s v="Joshua Harris"/>
        <s v="Anthony Taylor"/>
        <s v="Elizabeth Nguyen"/>
        <s v="Steven Flores"/>
        <s v="Daniel Perez"/>
        <s v="Donna Gonzalez"/>
        <s v="William Lopez"/>
        <s v="Daniel Torres"/>
        <s v="Donald Scott"/>
        <s v="Steven Nguyen"/>
        <s v="Joshua Hernandez"/>
        <s v="Linda Rodriguez"/>
        <s v="Susan Jackson"/>
        <s v="Jennifer Allen"/>
        <s v="Michael Martin"/>
        <s v="Sandra Torres"/>
        <s v="Mary Ramirez"/>
        <s v="David Davis"/>
        <s v="Sandra Moore"/>
        <s v="Betty Lopez"/>
        <s v="Daniel Hernandez"/>
        <s v="Patricia Davis"/>
        <s v="Donna Martinez"/>
        <s v="Elizabeth Garcia"/>
        <s v="Jessica Flores"/>
        <s v="Elizabeth Williams"/>
        <s v="Paul King"/>
        <s v="Nancy Moore"/>
        <s v="Anthony Lopez"/>
        <s v="Sarah Jones"/>
        <s v="Margaret Clark"/>
        <s v="Donald Wright"/>
        <s v="Linda Johnson"/>
        <s v="Paul White"/>
        <s v="Sandra Smith"/>
        <s v="Mary Wright"/>
        <s v="David King"/>
        <s v="Donna Robinson"/>
        <s v="Daniel Wilson"/>
        <s v="Betty Nguyen"/>
        <s v="Daniel Garcia"/>
        <s v="Patricia Garcia"/>
        <s v="Robert Jones"/>
        <s v="Lisa Flores"/>
        <s v="Richard Anderson"/>
        <s v="Karen Flores"/>
        <s v="Sarah Scott"/>
        <s v="Paul Smith"/>
        <s v="Nancy Williams"/>
        <s v="William Young"/>
        <s v="Nancy Allen"/>
        <s v="Susan Harris"/>
        <s v="Emily Jones"/>
        <s v="Thomas Robinson"/>
        <s v="Christopher Clark"/>
        <s v="Charles Johnson"/>
        <s v="Steven Clark"/>
        <s v="Steven Johnson"/>
        <s v="Thomas White"/>
        <s v="Linda Scott"/>
        <s v="Ashley Harris"/>
        <s v="Joshua Wright"/>
        <s v="Andrew Johnson"/>
        <s v="Ashley Torres"/>
        <s v="John Garcia"/>
        <s v="John Jackson"/>
        <s v="Mary Perez"/>
        <s v="Elizabeth Harris"/>
        <s v="Dorothy Robinson"/>
        <s v="Nancy Flores"/>
        <s v="Betty Sanchez"/>
        <s v="Donald Hernandez"/>
        <s v="Margaret King"/>
        <s v="Michael Perez"/>
        <s v="John Sanchez"/>
        <s v="Andrew Wilson"/>
        <s v="Anthony Miller"/>
        <s v="James Perez"/>
        <s v="Kimberly Davis"/>
        <s v="Jennifer Lewis"/>
        <s v="Linda Lewis"/>
        <s v="Margaret Martinez"/>
        <s v="Joshua Scott"/>
        <s v="Daniel Nguyen"/>
        <s v="James Ramirez"/>
        <s v="Dorothy Hernandez"/>
        <s v="Susan Davis"/>
        <s v="Dorothy Lee"/>
        <s v="Margaret Davis"/>
        <s v="Susan Moore"/>
        <s v="David Thomas"/>
        <s v="Donna Torres"/>
        <s v="Jennifer Scott"/>
        <s v="Lisa Allen"/>
        <s v="Charles Wright"/>
        <s v="Ashley Thomas"/>
        <s v="Christopher Ramirez"/>
        <s v="Nancy Ramirez"/>
        <s v="Joshua Allen"/>
        <s v="William Martinez"/>
        <s v="Mark Lee"/>
        <s v="Linda Ramirez"/>
        <s v="Anthony Davis"/>
        <s v="William Rodriguez"/>
        <s v="Steven Lopez"/>
        <s v="Margaret White"/>
        <s v="Andrew Young"/>
        <s v="Sarah Moore"/>
        <s v="Richard Smith"/>
        <s v="John White"/>
        <s v="Mary Clark"/>
        <s v="Michael Allen"/>
        <s v="Dorothy Wright"/>
        <s v="Joshua Martinez"/>
        <s v="Jessica Brown"/>
        <s v="Charles Wilson"/>
        <s v="Richard Hill"/>
        <s v="Thomas Garcia"/>
        <s v="Karen Nguyen"/>
        <s v="Lisa Perez"/>
        <s v="Kimberly Brown"/>
        <s v="Mark Johnson"/>
        <s v="Barbara Lewis"/>
        <s v="Susan Brown"/>
        <s v="Elizabeth Torres"/>
        <s v="Patricia Jones"/>
        <s v="Andrew Miller"/>
        <s v="Mary Walker"/>
        <s v="Paul Brown"/>
        <s v="Patricia Perez"/>
        <s v="Mark Hill"/>
        <s v="Richard Scott"/>
        <s v="Jennifer Miller"/>
        <s v="Paul Rodriguez"/>
        <s v="Christopher Scott"/>
        <s v="Elizabeth King"/>
        <s v="Joseph Ramirez"/>
        <s v="Elizabeth Thompson"/>
        <s v="Betty Flores"/>
        <s v="James Hernandez"/>
        <s v="Mark Flores"/>
        <s v="Dorothy Torres"/>
        <s v="Thomas Jackson"/>
        <s v="Barbara Scott"/>
        <s v="Joshua Lee"/>
        <s v="William Allen"/>
        <s v="Donald Lopez"/>
        <s v="James Sanchez"/>
        <s v="Donna Jackson"/>
        <s v="Matthew Anderson"/>
        <s v="James Smith"/>
        <s v="Daniel White"/>
        <s v="Charles Nguyen"/>
        <s v="Betty Torres"/>
        <s v="David Walker"/>
        <s v="Andrew Jones"/>
        <s v="Robert King"/>
        <s v="Jennifer Perez"/>
        <s v="Joseph Lewis"/>
        <s v="Anthony Ramirez"/>
        <s v="Thomas Flores"/>
        <s v="Susan Thomas"/>
        <s v="Anthony Young"/>
        <s v="Karen Thomas"/>
        <s v="Ashley Taylor"/>
        <s v="David Williams"/>
        <s v="Dorothy Smith"/>
        <s v="Joseph Miller"/>
        <s v="Christopher Lewis"/>
        <s v="Robert Hill"/>
        <s v="Steven Wilson"/>
        <s v="John Brown"/>
        <s v="Margaret Nguyen"/>
        <s v="Kimberly Thomas"/>
        <s v="Daniel Sanchez"/>
        <s v="Kimberly Harris"/>
        <s v="Mary Garcia"/>
        <s v="Lisa Rodriguez"/>
        <s v="Jessica Allen"/>
        <s v="Donald Davis"/>
        <s v="David Martin"/>
        <s v="Sarah Martin"/>
        <s v="Nancy Hernandez"/>
        <s v="Thomas Martin"/>
        <s v="John Scott"/>
        <s v="Steven Jackson"/>
        <s v="Dorothy Scott"/>
        <s v="Nancy Rodriguez"/>
        <s v="Susan Nguyen"/>
        <s v="Thomas Johnson"/>
        <s v="Emily Davis"/>
        <s v="Sandra Gonzalez"/>
        <s v="John Smith"/>
        <s v="Joshua Johnson"/>
        <s v="David Miller"/>
        <s v="William Wright"/>
        <s v="Thomas Moore"/>
        <s v="John Nguyen"/>
        <s v="Karen Moore"/>
        <s v="Dorothy Thomas"/>
        <s v="Sandra Lopez"/>
        <s v="Steven Walker"/>
        <s v="Barbara Thompson"/>
        <s v="Donna Brown"/>
        <s v="Paul Wilson"/>
        <s v="Anthony Harris"/>
        <s v="Nancy Davis"/>
        <s v="Emily Thomas"/>
        <s v="Michael Torres"/>
        <s v="Joshua White"/>
        <s v="Robert White"/>
        <s v="Jennifer Williams"/>
        <s v="Joseph Scott"/>
        <s v="Jessica Lopez"/>
        <s v="Mary Williams"/>
        <s v="Karen Wilson"/>
        <s v="Linda Nguyen"/>
        <s v="Richard Lee"/>
        <s v="Thomas Lopez"/>
        <s v="Emily Jackson"/>
        <s v="Matthew Hernandez"/>
        <s v="Sandra Walker"/>
        <s v="Matthew Harris"/>
        <s v="Paul Torres"/>
        <s v="Patricia Brown"/>
        <s v="Daniel Jones"/>
        <s v="Ashley Rodriguez"/>
        <s v="Ashley White"/>
        <s v="Richard Garcia"/>
        <s v="Linda Perez"/>
        <s v="Michael Wilson"/>
        <s v="Emily Ramirez"/>
        <s v="David Harris"/>
        <s v="Andrew Lee"/>
        <s v="Robert Harris"/>
        <s v="Mark Jones"/>
        <s v="Charles Walker"/>
        <s v="John Young"/>
        <s v="William Scott"/>
        <s v="John Anderson"/>
        <s v="Joseph Harris"/>
        <s v="Christopher Rodriguez"/>
        <s v="John Allen"/>
        <s v="Jennifer Thomas"/>
        <s v="Mary Taylor"/>
        <s v="Donald King"/>
        <s v="Emily Wright"/>
        <s v="Charles Sanchez"/>
        <s v="Dorothy Brown"/>
        <s v="Patricia Lopez"/>
        <s v="Michael Sanchez"/>
        <s v="Michael White"/>
        <s v="Donald Martinez"/>
        <s v="Mark Thompson"/>
        <s v="Paul Thomas"/>
        <s v="Ashley Robinson"/>
        <s v="Kimberly Robinson"/>
        <s v="Jennifer Lee"/>
        <s v="Joseph Wright"/>
        <s v="Steven Moore"/>
        <s v="Michael Smith"/>
        <s v="Betty Jackson"/>
        <s v="Susan White"/>
        <s v="Joshua Lopez"/>
        <s v="Sarah White"/>
        <s v="Lisa Davis"/>
        <s v="Patricia Smith"/>
        <s v="Ashley King"/>
        <s v="Dorothy Jones"/>
        <s v="Sarah Garcia"/>
        <s v="Steven Allen"/>
        <s v="Daniel Rodriguez"/>
        <s v="Elizabeth Ramirez"/>
        <s v="Sarah Thomas"/>
        <s v="Jessica King"/>
        <s v="Kimberly Ramirez"/>
        <s v="Mary Rodriguez"/>
        <s v="James Johnson"/>
        <s v="Dorothy Rodriguez"/>
        <s v="Mark Brown"/>
        <s v="Anthony Torres"/>
        <s v="Ashley Wright"/>
        <s v="Patricia Allen"/>
        <s v="Patricia Harris"/>
        <s v="Susan Lewis"/>
        <s v="David Taylor"/>
        <s v="Patricia Johnson"/>
        <s v="Mark Allen"/>
        <s v="Jessica Young"/>
        <s v="Thomas Hill"/>
        <s v="Thomas Perez"/>
        <s v="Linda Williams"/>
        <s v="Barbara Hernandez"/>
        <s v="Jessica Thompson"/>
        <s v="Jessica Hill"/>
        <s v="Margaret Anderson"/>
        <s v="Betty Taylor"/>
      </sharedItems>
    </cacheField>
    <cacheField name="Region" numFmtId="0">
      <sharedItems count="4">
        <s v="West"/>
        <s v="South"/>
        <s v="East"/>
        <s v="North"/>
      </sharedItems>
    </cacheField>
    <cacheField name="Store" numFmtId="0">
      <sharedItems count="20">
        <s v="Store-20"/>
        <s v="Store-18"/>
        <s v="Store-08"/>
        <s v="Store-13"/>
        <s v="Store-02"/>
        <s v="Store-07"/>
        <s v="Store-04"/>
        <s v="Store-05"/>
        <s v="Store-12"/>
        <s v="Store-10"/>
        <s v="Store-01"/>
        <s v="Store-17"/>
        <s v="Store-11"/>
        <s v="Store-14"/>
        <s v="Store-19"/>
        <s v="Store-15"/>
        <s v="Store-03"/>
        <s v="Store-16"/>
        <s v="Store-09"/>
        <s v="Store-06"/>
      </sharedItems>
    </cacheField>
    <cacheField name="Product" numFmtId="0">
      <sharedItems count="14">
        <s v="Backpack"/>
        <s v="Cable Kit"/>
        <s v="Headphones"/>
        <s v="Surge Protector"/>
        <s v="USB Hub"/>
        <s v="Laptop"/>
        <s v="Printer"/>
        <s v="Smartphone"/>
        <s v="Tablet"/>
        <s v="Desk Chair"/>
        <s v="Standing Desk"/>
        <s v="Keyboard"/>
        <s v="Mouse"/>
        <s v="Webcam"/>
      </sharedItems>
    </cacheField>
    <cacheField name="Category" numFmtId="0">
      <sharedItems count="4">
        <s v="Accessories"/>
        <s v="Electronics"/>
        <s v="Furniture"/>
        <s v="Peripherals"/>
      </sharedItems>
    </cacheField>
    <cacheField name="Quantity" numFmtId="0">
      <sharedItems containsSemiMixedTypes="0" containsString="0" containsNumber="1" containsInteger="1" minValue="1" maxValue="50"/>
    </cacheField>
    <cacheField name="Unit Price" numFmtId="164">
      <sharedItems containsSemiMixedTypes="0" containsString="0" containsNumber="1" minValue="10.220000000000001" maxValue="1196.98"/>
    </cacheField>
    <cacheField name="Discount (%)" numFmtId="0">
      <sharedItems containsSemiMixedTypes="0" containsString="0" containsNumber="1" containsInteger="1" minValue="0" maxValue="20"/>
    </cacheField>
    <cacheField name="Total Amount" numFmtId="164">
      <sharedItems containsSemiMixedTypes="0" containsString="0" containsNumber="1" minValue="19.72" maxValue="53376.09" count="998">
        <n v="108.68"/>
        <n v="121.05"/>
        <n v="147.25"/>
        <n v="147.36000000000001"/>
        <n v="299.52999999999997"/>
        <n v="345.07"/>
        <n v="355.22"/>
        <n v="358.48"/>
        <n v="360.35"/>
        <n v="375.75"/>
        <n v="456"/>
        <n v="511"/>
        <n v="619.94000000000005"/>
        <n v="627"/>
        <n v="638.41999999999996"/>
        <n v="648.91999999999996"/>
        <n v="779.68"/>
        <n v="789.83"/>
        <n v="805.86"/>
        <n v="831.01"/>
        <n v="844.25"/>
        <n v="857.65"/>
        <n v="926.88"/>
        <n v="984.2"/>
        <n v="1051.2"/>
        <n v="1087.24"/>
        <n v="1091.4000000000001"/>
        <n v="1111.8900000000001"/>
        <n v="1139.8399999999999"/>
        <n v="1142.32"/>
        <n v="1233.3599999999999"/>
        <n v="1285.2"/>
        <n v="1307.9000000000001"/>
        <n v="1310.21"/>
        <n v="1314.6"/>
        <n v="1374.8"/>
        <n v="1376.11"/>
        <n v="1414.53"/>
        <n v="1427.28"/>
        <n v="1480.05"/>
        <n v="1480.92"/>
        <n v="1490.8"/>
        <n v="1541.52"/>
        <n v="1553"/>
        <n v="1600.8"/>
        <n v="1605.9"/>
        <n v="1685.55"/>
        <n v="1756.32"/>
        <n v="1876.37"/>
        <n v="1906.75"/>
        <n v="1976.61"/>
        <n v="2105.84"/>
        <n v="2121.08"/>
        <n v="2187.6999999999998"/>
        <n v="2205.6999999999998"/>
        <n v="2360.62"/>
        <n v="2412.5"/>
        <n v="2480.44"/>
        <n v="2495.14"/>
        <n v="2556.4"/>
        <n v="2827.82"/>
        <n v="2860.88"/>
        <n v="3277.96"/>
        <n v="3297.1"/>
        <n v="19.72"/>
        <n v="26.33"/>
        <n v="26.52"/>
        <n v="27.9"/>
        <n v="62.73"/>
        <n v="64.099999999999994"/>
        <n v="73.64"/>
        <n v="81.760000000000005"/>
        <n v="84.8"/>
        <n v="95.02"/>
        <n v="98.29"/>
        <n v="113.39"/>
        <n v="115.9"/>
        <n v="142.93"/>
        <n v="212.47"/>
        <n v="213.39"/>
        <n v="221.5"/>
        <n v="223.24"/>
        <n v="298.5"/>
        <n v="300.10000000000002"/>
        <n v="331.17"/>
        <n v="333.49"/>
        <n v="428.26"/>
        <n v="431.03"/>
        <n v="434.69"/>
        <n v="440.15"/>
        <n v="443.93"/>
        <n v="470.16"/>
        <n v="470.74"/>
        <n v="479.31"/>
        <n v="511.11"/>
        <n v="515.04"/>
        <n v="538.24"/>
        <n v="543.9"/>
        <n v="567.67999999999995"/>
        <n v="580.17999999999995"/>
        <n v="601.30999999999995"/>
        <n v="613.04999999999995"/>
        <n v="616.11"/>
        <n v="616.67999999999995"/>
        <n v="621.42999999999995"/>
        <n v="655.04"/>
        <n v="664.32"/>
        <n v="679.06"/>
        <n v="688.5"/>
        <n v="688.77"/>
        <n v="691.7"/>
        <n v="753.36"/>
        <n v="756.61"/>
        <n v="788.13"/>
        <n v="853.58"/>
        <n v="916.37"/>
        <n v="963.48"/>
        <n v="990.24"/>
        <n v="1004.08"/>
        <n v="1017.09"/>
        <n v="1044.05"/>
        <n v="1071.8399999999999"/>
        <n v="1110.8800000000001"/>
        <n v="1153.3499999999999"/>
        <n v="1222.94"/>
        <n v="71.5"/>
        <n v="88.87"/>
        <n v="111.55"/>
        <n v="116.99"/>
        <n v="124.79"/>
        <n v="142.66"/>
        <n v="153.77000000000001"/>
        <n v="156.28"/>
        <n v="195.2"/>
        <n v="299.98"/>
        <n v="462.57"/>
        <n v="488.52"/>
        <n v="781.96"/>
        <n v="858.25"/>
        <n v="905.3"/>
        <n v="906.36"/>
        <n v="911.52"/>
        <n v="1050.0899999999999"/>
        <n v="1080.21"/>
        <n v="1095.3399999999999"/>
        <n v="1098.25"/>
        <n v="1174.75"/>
        <n v="1267.98"/>
        <n v="1269.6199999999999"/>
        <n v="1484.56"/>
        <n v="1496.07"/>
        <n v="1544.66"/>
        <n v="1652.69"/>
        <n v="1671.01"/>
        <n v="1751.42"/>
        <n v="1777.32"/>
        <n v="1838.08"/>
        <n v="1840.32"/>
        <n v="2162.4299999999998"/>
        <n v="2204.19"/>
        <n v="2221.37"/>
        <n v="2223.84"/>
        <n v="2279.54"/>
        <n v="2502.96"/>
        <n v="2574.65"/>
        <n v="2630.08"/>
        <n v="2731.95"/>
        <n v="3152.52"/>
        <n v="3236.48"/>
        <n v="3304.23"/>
        <n v="3353.04"/>
        <n v="3393.28"/>
        <n v="3406.46"/>
        <n v="3779.1"/>
        <n v="4061.62"/>
        <n v="4067.29"/>
        <n v="4122.84"/>
        <n v="4190.9399999999996"/>
        <n v="4295.8599999999997"/>
        <n v="4552.88"/>
        <n v="4581.3599999999997"/>
        <n v="4806.3599999999997"/>
        <n v="5107.8100000000004"/>
        <n v="5341.13"/>
        <n v="5828.64"/>
        <n v="5850.24"/>
        <n v="5999.14"/>
        <n v="8186.46"/>
        <n v="9124.2900000000009"/>
        <n v="39.520000000000003"/>
        <n v="42.29"/>
        <n v="66.48"/>
        <n v="97.14"/>
        <n v="118.5"/>
        <n v="119.64"/>
        <n v="122.88"/>
        <n v="134.47"/>
        <n v="139.54"/>
        <n v="154.24"/>
        <n v="189.86"/>
        <n v="196.3"/>
        <n v="210.92"/>
        <n v="213.8"/>
        <n v="223.18"/>
        <n v="241.93"/>
        <n v="258.19"/>
        <n v="297.14999999999998"/>
        <n v="316"/>
        <n v="348.92"/>
        <n v="367.42"/>
        <n v="369.51"/>
        <n v="373.92"/>
        <n v="375.25"/>
        <n v="395.46"/>
        <n v="399.91"/>
        <n v="402.84"/>
        <n v="406.66"/>
        <n v="429.39"/>
        <n v="448.93"/>
        <n v="461.21"/>
        <n v="479.14"/>
        <n v="499.57"/>
        <n v="518.39"/>
        <n v="556.74"/>
        <n v="566.61"/>
        <n v="579.5"/>
        <n v="609.84"/>
        <n v="620.76"/>
        <n v="638"/>
        <n v="654.35"/>
        <n v="667.24"/>
        <n v="688.24"/>
        <n v="706.32"/>
        <n v="740.88"/>
        <n v="742.59"/>
        <n v="758.65"/>
        <n v="775.43"/>
        <n v="811.33"/>
        <n v="825.39"/>
        <n v="838.19"/>
        <n v="876.41"/>
        <n v="879.78"/>
        <n v="881.48"/>
        <n v="898.88"/>
        <n v="907.5"/>
        <n v="912.66"/>
        <n v="921.06"/>
        <n v="922.49"/>
        <n v="1018.24"/>
        <n v="1058.3900000000001"/>
        <n v="1102.92"/>
        <n v="1119.3599999999999"/>
        <n v="1174.74"/>
        <n v="1190.94"/>
        <n v="1194.3499999999999"/>
        <n v="1203.3"/>
        <n v="1212.4000000000001"/>
        <n v="1219.74"/>
        <n v="1247.8"/>
        <n v="1258.56"/>
        <n v="1262.7"/>
        <n v="1264.2"/>
        <n v="1275.6600000000001"/>
        <n v="1405.8"/>
        <n v="1416.55"/>
        <n v="1512.74"/>
        <n v="1544.06"/>
        <n v="1592.97"/>
        <n v="1729.2"/>
        <n v="1820.81"/>
        <n v="1844.18"/>
        <n v="2008.3"/>
        <n v="2008.32"/>
        <n v="26.83"/>
        <n v="36"/>
        <n v="38.97"/>
        <n v="60.14"/>
        <n v="97.26"/>
        <n v="97.92"/>
        <n v="122.92"/>
        <n v="127.26"/>
        <n v="166.7"/>
        <n v="168.3"/>
        <n v="244.23"/>
        <n v="244.34"/>
        <n v="261.81"/>
        <n v="283.68"/>
        <n v="300.41000000000003"/>
        <n v="316.22000000000003"/>
        <n v="349.49"/>
        <n v="354.34"/>
        <n v="408.24"/>
        <n v="474.39"/>
        <n v="474.62"/>
        <n v="476.71"/>
        <n v="506.52"/>
        <n v="512.70000000000005"/>
        <n v="530.88"/>
        <n v="531.91999999999996"/>
        <n v="556.94000000000005"/>
        <n v="563.52"/>
        <n v="603.14"/>
        <n v="604.52"/>
        <n v="607.96"/>
        <n v="671.94"/>
        <n v="680.5"/>
        <n v="681.36"/>
        <n v="696.88"/>
        <n v="719.66"/>
        <n v="752.45"/>
        <n v="766.94"/>
        <n v="769.57"/>
        <n v="794.59"/>
        <n v="824.7"/>
        <n v="837.52"/>
        <n v="863.3"/>
        <n v="906.75"/>
        <n v="912.83"/>
        <n v="935.55"/>
        <n v="993.89"/>
        <n v="998.36"/>
        <n v="1094.52"/>
        <n v="1150.1099999999999"/>
        <n v="1152.81"/>
        <n v="1194.0999999999999"/>
        <n v="1256.51"/>
        <n v="1267.43"/>
        <n v="1320.93"/>
        <n v="1348.76"/>
        <n v="1422.45"/>
        <n v="1437.75"/>
        <n v="222.96"/>
        <n v="395.1"/>
        <n v="485.01"/>
        <n v="656.77"/>
        <n v="673.71"/>
        <n v="1079.44"/>
        <n v="1790.4"/>
        <n v="2360.15"/>
        <n v="3388.08"/>
        <n v="3422.66"/>
        <n v="3545.31"/>
        <n v="4499.87"/>
        <n v="4635.3999999999996"/>
        <n v="4943.88"/>
        <n v="4976.0200000000004"/>
        <n v="5190.53"/>
        <n v="5198.67"/>
        <n v="5350.86"/>
        <n v="5482.22"/>
        <n v="5612.11"/>
        <n v="5693.71"/>
        <n v="5853.55"/>
        <n v="5924.69"/>
        <n v="6072.64"/>
        <n v="6099.14"/>
        <n v="6208.99"/>
        <n v="6470.63"/>
        <n v="6724.78"/>
        <n v="6765.64"/>
        <n v="6785.57"/>
        <n v="6859.02"/>
        <n v="7062.48"/>
        <n v="7602.26"/>
        <n v="7788.69"/>
        <n v="7986.87"/>
        <n v="8048.63"/>
        <n v="8398.32"/>
        <n v="8547.07"/>
        <n v="8638.39"/>
        <n v="8661.0300000000007"/>
        <n v="8864.1"/>
        <n v="8867.4599999999991"/>
        <n v="8908.64"/>
        <n v="9097.0499999999993"/>
        <n v="9172.7099999999991"/>
        <n v="10116"/>
        <n v="10240.52"/>
        <n v="10254.9"/>
        <n v="10271.68"/>
        <n v="10665.55"/>
        <n v="10795.34"/>
        <n v="10806.36"/>
        <n v="10976.2"/>
        <n v="11290.2"/>
        <n v="11465.01"/>
        <n v="11507.9"/>
        <n v="11596.58"/>
        <n v="11660.4"/>
        <n v="11846.79"/>
        <n v="12053.25"/>
        <n v="12173.79"/>
        <n v="12219.09"/>
        <n v="12566.76"/>
        <n v="12600.38"/>
        <n v="12839.4"/>
        <n v="13136.64"/>
        <n v="13337.25"/>
        <n v="13594.47"/>
        <n v="13730.28"/>
        <n v="13957.32"/>
        <n v="14007.12"/>
        <n v="14358.63"/>
        <n v="14555.18"/>
        <n v="14750.39"/>
        <n v="14838.04"/>
        <n v="15006.66"/>
        <n v="15167.6"/>
        <n v="15426.54"/>
        <n v="15539.58"/>
        <n v="15560"/>
        <n v="16102.88"/>
        <n v="16153.44"/>
        <n v="16163.66"/>
        <n v="16366.35"/>
        <n v="16377.98"/>
        <n v="16460.84"/>
        <n v="17174.78"/>
        <n v="17349.66"/>
        <n v="17427.75"/>
        <n v="17586.310000000001"/>
        <n v="17943.740000000002"/>
        <n v="18257.61"/>
        <n v="18267.89"/>
        <n v="18627.8"/>
        <n v="19559.68"/>
        <n v="21218.799999999999"/>
        <n v="21555.03"/>
        <n v="21721.01"/>
        <n v="22101.87"/>
        <n v="22156.47"/>
        <n v="22462.81"/>
        <n v="23323.96"/>
        <n v="23333.4"/>
        <n v="23455.040000000001"/>
        <n v="23994.58"/>
        <n v="25763.02"/>
        <n v="26502.39"/>
        <n v="27423.23"/>
        <n v="28005.74"/>
        <n v="29101.06"/>
        <n v="30595.38"/>
        <n v="31290.34"/>
        <n v="31565.43"/>
        <n v="31810.59"/>
        <n v="32148.63"/>
        <n v="32987.42"/>
        <n v="36674.370000000003"/>
        <n v="37860.54"/>
        <n v="39563.11"/>
        <n v="41397.39"/>
        <n v="43183.96"/>
        <n v="43760.86"/>
        <n v="44028.22"/>
        <n v="45170.5"/>
        <n v="45278.76"/>
        <n v="45294.37"/>
        <n v="46333.2"/>
        <n v="48014.46"/>
        <n v="53127.839999999997"/>
        <n v="53376.09"/>
        <n v="424.44"/>
        <n v="520.45000000000005"/>
        <n v="919.58"/>
        <n v="1301.68"/>
        <n v="1692.09"/>
        <n v="1795.94"/>
        <n v="1884.48"/>
        <n v="2189.1"/>
        <n v="2219.54"/>
        <n v="2327.36"/>
        <n v="2330.79"/>
        <n v="2406.66"/>
        <n v="2668.86"/>
        <n v="2741.31"/>
        <n v="2751.01"/>
        <n v="2995.18"/>
        <n v="3125.2"/>
        <n v="3220.7"/>
        <n v="3226.07"/>
        <n v="3439.05"/>
        <n v="3463.52"/>
        <n v="3615.21"/>
        <n v="3687.26"/>
        <n v="3749.62"/>
        <n v="3754.82"/>
        <n v="3794.74"/>
        <n v="3835.99"/>
        <n v="3976.96"/>
        <n v="4047.34"/>
        <n v="4256.46"/>
        <n v="4330.38"/>
        <n v="4554.8999999999996"/>
        <n v="4585.1499999999996"/>
        <n v="4711.17"/>
        <n v="4763.3999999999996"/>
        <n v="4793.71"/>
        <n v="4832.76"/>
        <n v="4889.25"/>
        <n v="5177.7"/>
        <n v="5216.01"/>
        <n v="5219.58"/>
        <n v="5246.6"/>
        <n v="5366.66"/>
        <n v="5524.56"/>
        <n v="5571.07"/>
        <n v="5850.92"/>
        <n v="6054.72"/>
        <n v="6105"/>
        <n v="6201"/>
        <n v="6429.68"/>
        <n v="7084.53"/>
        <n v="7113.6"/>
        <n v="7861.82"/>
        <n v="8272.98"/>
        <n v="8290.84"/>
        <n v="8437.66"/>
        <n v="8703.23"/>
        <n v="8789.89"/>
        <n v="9091.15"/>
        <n v="9235.76"/>
        <n v="9315.43"/>
        <n v="9395.84"/>
        <n v="9761.9599999999991"/>
        <n v="10190.23"/>
        <n v="11118.8"/>
        <n v="11211.44"/>
        <n v="11305.27"/>
        <n v="11393.16"/>
        <n v="11746.54"/>
        <n v="11830.54"/>
        <n v="12047.13"/>
        <n v="12137.15"/>
        <n v="12361.33"/>
        <n v="12377.61"/>
        <n v="12506.76"/>
        <n v="13359.32"/>
        <n v="14229.14"/>
        <n v="15211.48"/>
        <n v="15696.2"/>
        <n v="599.55999999999995"/>
        <n v="602.88"/>
        <n v="1374.24"/>
        <n v="1772.14"/>
        <n v="2161.81"/>
        <n v="2202.33"/>
        <n v="2885.94"/>
        <n v="3003.72"/>
        <n v="3091.28"/>
        <n v="3348.85"/>
        <n v="3448.88"/>
        <n v="3834.36"/>
        <n v="3887.64"/>
        <n v="4156.5600000000004"/>
        <n v="4272.24"/>
        <n v="4358.62"/>
        <n v="4661.95"/>
        <n v="4818.12"/>
        <n v="4952.7"/>
        <n v="5161.68"/>
        <n v="5488.56"/>
        <n v="6987.04"/>
        <n v="7737.56"/>
        <n v="8975.07"/>
        <n v="9096.7999999999993"/>
        <n v="9202.11"/>
        <n v="9269.3799999999992"/>
        <n v="10122.48"/>
        <n v="11089.52"/>
        <n v="11510.72"/>
        <n v="11947.58"/>
        <n v="12319.79"/>
        <n v="14764.56"/>
        <n v="15274.22"/>
        <n v="16552.2"/>
        <n v="16563.25"/>
        <n v="16727.900000000001"/>
        <n v="17117.099999999999"/>
        <n v="18012.87"/>
        <n v="18242.66"/>
        <n v="21011.200000000001"/>
        <n v="22014.79"/>
        <n v="22140.76"/>
        <n v="22402.37"/>
        <n v="23037.73"/>
        <n v="23070.560000000001"/>
        <n v="23176.53"/>
        <n v="23369.279999999999"/>
        <n v="23944.32"/>
        <n v="24017.279999999999"/>
        <n v="24148.35"/>
        <n v="24516.58"/>
        <n v="24637.55"/>
        <n v="24994.79"/>
        <n v="25064.2"/>
        <n v="25225.759999999998"/>
        <n v="26553.64"/>
        <n v="27657.07"/>
        <n v="27751.66"/>
        <n v="33751.08"/>
        <n v="367.24"/>
        <n v="394.23"/>
        <n v="1219.04"/>
        <n v="1423.39"/>
        <n v="2141.0500000000002"/>
        <n v="2185.6999999999998"/>
        <n v="2973.01"/>
        <n v="3442.7"/>
        <n v="4248.8900000000003"/>
        <n v="4281.34"/>
        <n v="4322.01"/>
        <n v="4349.54"/>
        <n v="4563.75"/>
        <n v="4684.03"/>
        <n v="5652.9"/>
        <n v="5843.64"/>
        <n v="6086.18"/>
        <n v="6490.35"/>
        <n v="6639.48"/>
        <n v="6646.43"/>
        <n v="6765.98"/>
        <n v="7014.4"/>
        <n v="7017.3"/>
        <n v="7315.78"/>
        <n v="7486.42"/>
        <n v="7901.4"/>
        <n v="8720.11"/>
        <n v="8752.2000000000007"/>
        <n v="8775.0400000000009"/>
        <n v="8880.4"/>
        <n v="8942.92"/>
        <n v="9434.68"/>
        <n v="9974.43"/>
        <n v="9998"/>
        <n v="10087.31"/>
        <n v="10752.48"/>
        <n v="10819.55"/>
        <n v="10874.3"/>
        <n v="10924.1"/>
        <n v="10952.78"/>
        <n v="11000.05"/>
        <n v="11632.25"/>
        <n v="11705.82"/>
        <n v="11875.41"/>
        <n v="11992.68"/>
        <n v="12004.83"/>
        <n v="12054.39"/>
        <n v="12624"/>
        <n v="13044.9"/>
        <n v="13331.24"/>
        <n v="13375.75"/>
        <n v="13435.2"/>
        <n v="14207.65"/>
        <n v="14523.68"/>
        <n v="14567.04"/>
        <n v="14754.26"/>
        <n v="16139.48"/>
        <n v="16241.75"/>
        <n v="16402.53"/>
        <n v="16508.45"/>
        <n v="16669.5"/>
        <n v="17196.009999999998"/>
        <n v="17372"/>
        <n v="17637.84"/>
        <n v="18466.419999999998"/>
        <n v="19955.23"/>
        <n v="21431.83"/>
        <n v="22807"/>
        <n v="23703.34"/>
        <n v="25973.35"/>
        <n v="27283.03"/>
        <n v="307.91000000000003"/>
        <n v="310.76"/>
        <n v="564.87"/>
        <n v="905.27"/>
        <n v="991.7"/>
        <n v="1089.94"/>
        <n v="1134.6199999999999"/>
        <n v="1179.8599999999999"/>
        <n v="1408.88"/>
        <n v="1420.46"/>
        <n v="1605.12"/>
        <n v="1627.76"/>
        <n v="1796.56"/>
        <n v="1845.14"/>
        <n v="1845.18"/>
        <n v="2044.24"/>
        <n v="2239.25"/>
        <n v="2248.0700000000002"/>
        <n v="2626.72"/>
        <n v="2838.94"/>
        <n v="3736.63"/>
        <n v="3812.25"/>
        <n v="4074.88"/>
        <n v="4364.0600000000004"/>
        <n v="4457.1000000000004"/>
        <n v="4640.38"/>
        <n v="5032.28"/>
        <n v="5092.6099999999997"/>
        <n v="5378.94"/>
        <n v="5660.44"/>
        <n v="5830.96"/>
        <n v="6019.63"/>
        <n v="6291.79"/>
        <n v="9025.41"/>
        <n v="9139.93"/>
        <n v="9318.9599999999991"/>
        <n v="10018.68"/>
        <n v="10191.719999999999"/>
        <n v="10220.540000000001"/>
        <n v="11088"/>
        <n v="11571.92"/>
        <n v="13438"/>
        <n v="14321.74"/>
        <n v="14428.8"/>
        <n v="14432.09"/>
        <n v="15137.03"/>
        <n v="15709.75"/>
        <n v="16205.42"/>
        <n v="557.82000000000005"/>
        <n v="677.63"/>
        <n v="935.28"/>
        <n v="978.26"/>
        <n v="1600.38"/>
        <n v="1666.14"/>
        <n v="1759.28"/>
        <n v="2036.59"/>
        <n v="2360.79"/>
        <n v="2395.0500000000002"/>
        <n v="2663.66"/>
        <n v="3146.16"/>
        <n v="3341.01"/>
        <n v="3802.19"/>
        <n v="4324.68"/>
        <n v="4327.87"/>
        <n v="4425.53"/>
        <n v="5354.64"/>
        <n v="5638.58"/>
        <n v="5820.61"/>
        <n v="5981.84"/>
        <n v="6031.11"/>
        <n v="7123.68"/>
        <n v="7652.82"/>
        <n v="8323.02"/>
        <n v="8926.2000000000007"/>
        <n v="9242.8799999999992"/>
        <n v="9365.3799999999992"/>
        <n v="9623.0400000000009"/>
        <n v="9883.6200000000008"/>
        <n v="9945.66"/>
        <n v="10546.15"/>
        <n v="10627.55"/>
        <n v="10655.4"/>
        <n v="10682.28"/>
        <n v="10921.11"/>
        <n v="11299.01"/>
        <n v="11640.76"/>
        <n v="11660.31"/>
        <n v="11810.52"/>
        <n v="11920.22"/>
        <n v="12248.24"/>
        <n v="12310.32"/>
        <n v="13076.9"/>
        <n v="13133.7"/>
        <n v="13285.22"/>
        <n v="13386"/>
        <n v="13601.58"/>
        <n v="13776.7"/>
        <n v="14097.6"/>
        <n v="14235.01"/>
        <n v="14288.76"/>
        <n v="14374.31"/>
        <n v="14441.63"/>
        <n v="14676.2"/>
        <n v="14710.4"/>
        <n v="14711.84"/>
        <n v="15318.16"/>
        <n v="16175.73"/>
        <n v="16549.259999999998"/>
        <n v="16858.68"/>
        <n v="17455.62"/>
        <n v="17760.27"/>
        <n v="18820.02"/>
        <n v="20084.16"/>
        <n v="20190.919999999998"/>
        <n v="20585.25"/>
        <n v="20656.21"/>
        <n v="20933.310000000001"/>
        <n v="21145"/>
        <n v="21911.42"/>
        <n v="23669.71"/>
        <n v="24968.34"/>
        <n v="25791.48"/>
        <n v="26140.05"/>
        <n v="27033.05"/>
        <n v="28000.400000000001"/>
        <n v="28025.79"/>
        <n v="28362.15"/>
        <n v="30146.400000000001"/>
        <n v="30910.18"/>
        <n v="31792.05"/>
        <n v="36.43"/>
        <n v="36.97"/>
        <n v="37.020000000000003"/>
        <n v="73.819999999999993"/>
        <n v="78.680000000000007"/>
        <n v="211.59"/>
        <n v="250.27"/>
        <n v="295.56"/>
        <n v="326.58999999999997"/>
        <n v="431.73"/>
        <n v="569.21"/>
        <n v="572.64"/>
        <n v="582.25"/>
        <n v="649.13"/>
        <n v="692.51"/>
        <n v="705.79"/>
        <n v="726.53"/>
        <n v="757.97"/>
        <n v="763.92"/>
        <n v="796.9"/>
        <n v="805.69"/>
        <n v="855.79"/>
        <n v="916.03"/>
        <n v="934.5"/>
        <n v="1018.63"/>
        <n v="1114.49"/>
        <n v="1127.0899999999999"/>
        <n v="1190.02"/>
        <n v="1253.1400000000001"/>
        <n v="1257.72"/>
        <n v="1261.06"/>
        <n v="1270.97"/>
        <n v="1279"/>
        <n v="1297.8599999999999"/>
        <n v="1337.31"/>
        <n v="1372.56"/>
        <n v="1377"/>
        <n v="1422.04"/>
        <n v="1453.93"/>
        <n v="1464.56"/>
        <n v="1469.34"/>
        <n v="1481.92"/>
        <n v="1487.92"/>
        <n v="1490.27"/>
        <n v="1540.33"/>
        <n v="1673.78"/>
        <n v="1691.98"/>
        <n v="1725.84"/>
        <n v="1786.46"/>
        <n v="1825.92"/>
        <n v="1936.88"/>
        <n v="2082.83"/>
        <n v="2130.5300000000002"/>
        <n v="2156.2600000000002"/>
        <n v="2193.4699999999998"/>
        <n v="2225.89"/>
        <n v="2302.65"/>
        <n v="2355.31"/>
        <n v="2379.6"/>
        <n v="2460.48"/>
        <n v="2463.83"/>
        <n v="2521.4"/>
        <n v="2700.72"/>
        <n v="3773.49"/>
        <n v="24.83"/>
        <n v="27.61"/>
        <n v="49.18"/>
        <n v="57.17"/>
        <n v="91.39"/>
        <n v="98.76"/>
        <n v="138.24"/>
        <n v="162.02000000000001"/>
        <n v="186.19"/>
        <n v="250.99"/>
        <n v="251.22"/>
        <n v="268.29000000000002"/>
        <n v="273.54000000000002"/>
        <n v="295.68"/>
        <n v="304.55"/>
        <n v="356.9"/>
        <n v="378.86"/>
        <n v="385.33"/>
        <n v="387.36"/>
        <n v="400.18"/>
        <n v="410.11"/>
        <n v="413.37"/>
        <n v="413.84"/>
        <n v="431.46"/>
        <n v="483.21"/>
        <n v="488.22"/>
        <n v="509.35"/>
        <n v="512.86"/>
        <n v="530.70000000000005"/>
        <n v="612.87"/>
        <n v="625.32000000000005"/>
        <n v="630.29999999999995"/>
        <n v="661.64"/>
        <n v="703.17"/>
        <n v="709.99"/>
        <n v="734"/>
        <n v="766.44"/>
        <n v="774"/>
        <n v="840.31"/>
        <n v="850.18"/>
        <n v="877.68"/>
        <n v="910"/>
        <n v="937.84"/>
        <n v="1004.45"/>
        <n v="1011.15"/>
        <n v="1020.83"/>
        <n v="1022.25"/>
        <n v="1030"/>
        <n v="1047.4000000000001"/>
        <n v="1070.94"/>
        <n v="1084.0999999999999"/>
        <n v="1127.81"/>
        <n v="1188.04"/>
        <n v="1196.54"/>
        <n v="1197.57"/>
        <n v="1348.54"/>
        <n v="1421.17"/>
        <n v="1452.36"/>
        <n v="1452.48"/>
        <n v="1640.16"/>
        <n v="1646.88"/>
        <n v="1852.49"/>
        <n v="59.66"/>
        <n v="131.59"/>
        <n v="153.41999999999999"/>
        <n v="241.73"/>
        <n v="341.92"/>
        <n v="343.76"/>
        <n v="354.48"/>
        <n v="374.51"/>
        <n v="574.98"/>
        <n v="695.26"/>
        <n v="712.88"/>
        <n v="728.8"/>
        <n v="802.8"/>
        <n v="814.4"/>
        <n v="830.2"/>
        <n v="918.39"/>
        <n v="942.17"/>
        <n v="961.17"/>
        <n v="968.53"/>
        <n v="1025.96"/>
        <n v="1105.54"/>
        <n v="1308.31"/>
        <n v="1320.29"/>
        <n v="1327.04"/>
        <n v="1354.02"/>
        <n v="1433.64"/>
        <n v="1494.24"/>
        <n v="1502.3"/>
        <n v="1533.75"/>
        <n v="1570.2"/>
        <n v="1595.71"/>
        <n v="1621.42"/>
        <n v="1651.38"/>
        <n v="1693.76"/>
        <n v="1723.46"/>
        <n v="1806.88"/>
        <n v="1841.82"/>
        <n v="1991.29"/>
        <n v="1999.2"/>
        <n v="2105.69"/>
        <n v="2129.4"/>
        <n v="2173.7399999999998"/>
        <n v="2209.6799999999998"/>
        <n v="2264.23"/>
        <n v="2290.63"/>
        <n v="2330.16"/>
        <n v="2386.23"/>
        <n v="2493.89"/>
        <n v="2593.27"/>
        <n v="2700.04"/>
        <n v="2839.89"/>
        <n v="2950.21"/>
        <n v="2986.85"/>
        <n v="2992.5"/>
        <n v="3027.96"/>
        <n v="3099.74"/>
        <n v="3112.2"/>
        <n v="3252.78"/>
        <n v="3261.92"/>
        <n v="3382.05"/>
        <n v="3455.95"/>
        <n v="3466.3"/>
        <n v="3588.5"/>
        <n v="3677.08"/>
        <n v="3748.72"/>
        <n v="4140"/>
        <n v="4423.3999999999996"/>
        <n v="4491.32"/>
        <n v="4566.8"/>
        <n v="4666.46"/>
        <n v="5483.5"/>
      </sharedItems>
    </cacheField>
    <cacheField name="Payment Method" numFmtId="0">
      <sharedItems count="5">
        <s v="Online Payment"/>
        <s v="Credit Card"/>
        <s v="Cash"/>
        <s v="Debit Card"/>
        <s v="Check"/>
      </sharedItems>
    </cacheField>
    <cacheField name="Stock Details" numFmtId="0">
      <sharedItems count="2">
        <s v="High Stock"/>
        <s v="Low Stock"/>
      </sharedItems>
    </cacheField>
    <cacheField name="Months (Order Date)" numFmtId="0" databaseField="0">
      <fieldGroup base="1">
        <rangePr groupBy="months" startDate="2024-10-08T00:00:00" endDate="2026-10-09T00:00:00"/>
        <groupItems count="14">
          <s v="&lt;08-10-2024"/>
          <s v="Jan"/>
          <s v="Feb"/>
          <s v="Mar"/>
          <s v="Apr"/>
          <s v="May"/>
          <s v="Jun"/>
          <s v="Jul"/>
          <s v="Aug"/>
          <s v="Sep"/>
          <s v="Oct"/>
          <s v="Nov"/>
          <s v="Dec"/>
          <s v="&gt;09-10-2026"/>
        </groupItems>
      </fieldGroup>
    </cacheField>
    <cacheField name="Quarters (Order Date)" numFmtId="0" databaseField="0">
      <fieldGroup base="1">
        <rangePr groupBy="quarters" startDate="2024-10-08T00:00:00" endDate="2026-10-09T00:00:00"/>
        <groupItems count="6">
          <s v="&lt;08-10-2024"/>
          <s v="Qtr1"/>
          <s v="Qtr2"/>
          <s v="Qtr3"/>
          <s v="Qtr4"/>
          <s v="&gt;09-10-2026"/>
        </groupItems>
      </fieldGroup>
    </cacheField>
    <cacheField name="Years (Order Date)" numFmtId="0" databaseField="0">
      <fieldGroup base="1">
        <rangePr groupBy="years" startDate="2024-10-08T00:00:00" endDate="2026-10-09T00:00:00"/>
        <groupItems count="5">
          <s v="&lt;08-10-2024"/>
          <s v="2024"/>
          <s v="2025"/>
          <s v="2026"/>
          <s v="&gt;09-10-2026"/>
        </groupItems>
      </fieldGroup>
    </cacheField>
  </cacheFields>
  <extLst>
    <ext xmlns:x14="http://schemas.microsoft.com/office/spreadsheetml/2009/9/main" uri="{725AE2AE-9491-48be-B2B4-4EB974FC3084}">
      <x14:pivotCacheDefinition pivotCacheId="454212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2"/>
    <n v="54.34"/>
    <n v="0"/>
    <x v="0"/>
    <x v="0"/>
    <x v="0"/>
  </r>
  <r>
    <x v="1"/>
    <x v="1"/>
    <x v="1"/>
    <x v="0"/>
    <x v="1"/>
    <x v="0"/>
    <x v="0"/>
    <n v="2"/>
    <n v="67.25"/>
    <n v="10"/>
    <x v="1"/>
    <x v="0"/>
    <x v="0"/>
  </r>
  <r>
    <x v="2"/>
    <x v="2"/>
    <x v="2"/>
    <x v="0"/>
    <x v="1"/>
    <x v="0"/>
    <x v="0"/>
    <n v="2"/>
    <n v="77.5"/>
    <n v="5"/>
    <x v="2"/>
    <x v="1"/>
    <x v="0"/>
  </r>
  <r>
    <x v="3"/>
    <x v="3"/>
    <x v="3"/>
    <x v="1"/>
    <x v="2"/>
    <x v="0"/>
    <x v="0"/>
    <n v="3"/>
    <n v="49.12"/>
    <n v="0"/>
    <x v="3"/>
    <x v="0"/>
    <x v="0"/>
  </r>
  <r>
    <x v="4"/>
    <x v="4"/>
    <x v="4"/>
    <x v="2"/>
    <x v="3"/>
    <x v="0"/>
    <x v="0"/>
    <n v="7"/>
    <n v="42.79"/>
    <n v="0"/>
    <x v="4"/>
    <x v="1"/>
    <x v="1"/>
  </r>
  <r>
    <x v="5"/>
    <x v="5"/>
    <x v="5"/>
    <x v="3"/>
    <x v="4"/>
    <x v="0"/>
    <x v="0"/>
    <n v="11"/>
    <n v="31.37"/>
    <n v="0"/>
    <x v="5"/>
    <x v="2"/>
    <x v="0"/>
  </r>
  <r>
    <x v="6"/>
    <x v="6"/>
    <x v="6"/>
    <x v="1"/>
    <x v="5"/>
    <x v="0"/>
    <x v="0"/>
    <n v="10"/>
    <n v="41.79"/>
    <n v="15"/>
    <x v="6"/>
    <x v="2"/>
    <x v="1"/>
  </r>
  <r>
    <x v="7"/>
    <x v="7"/>
    <x v="7"/>
    <x v="3"/>
    <x v="6"/>
    <x v="0"/>
    <x v="0"/>
    <n v="8"/>
    <n v="44.81"/>
    <n v="0"/>
    <x v="7"/>
    <x v="3"/>
    <x v="0"/>
  </r>
  <r>
    <x v="8"/>
    <x v="8"/>
    <x v="8"/>
    <x v="3"/>
    <x v="7"/>
    <x v="0"/>
    <x v="0"/>
    <n v="12"/>
    <n v="31.61"/>
    <n v="5"/>
    <x v="8"/>
    <x v="2"/>
    <x v="1"/>
  </r>
  <r>
    <x v="9"/>
    <x v="9"/>
    <x v="9"/>
    <x v="2"/>
    <x v="8"/>
    <x v="0"/>
    <x v="0"/>
    <n v="9"/>
    <n v="41.75"/>
    <n v="0"/>
    <x v="9"/>
    <x v="3"/>
    <x v="0"/>
  </r>
  <r>
    <x v="10"/>
    <x v="10"/>
    <x v="10"/>
    <x v="1"/>
    <x v="9"/>
    <x v="0"/>
    <x v="0"/>
    <n v="6"/>
    <n v="76"/>
    <n v="0"/>
    <x v="10"/>
    <x v="2"/>
    <x v="1"/>
  </r>
  <r>
    <x v="11"/>
    <x v="11"/>
    <x v="11"/>
    <x v="0"/>
    <x v="1"/>
    <x v="0"/>
    <x v="0"/>
    <n v="11"/>
    <n v="48.9"/>
    <n v="5"/>
    <x v="11"/>
    <x v="1"/>
    <x v="0"/>
  </r>
  <r>
    <x v="12"/>
    <x v="12"/>
    <x v="12"/>
    <x v="0"/>
    <x v="1"/>
    <x v="0"/>
    <x v="0"/>
    <n v="22"/>
    <n v="31.31"/>
    <n v="10"/>
    <x v="12"/>
    <x v="0"/>
    <x v="1"/>
  </r>
  <r>
    <x v="13"/>
    <x v="13"/>
    <x v="13"/>
    <x v="3"/>
    <x v="7"/>
    <x v="0"/>
    <x v="0"/>
    <n v="10"/>
    <n v="66"/>
    <n v="5"/>
    <x v="13"/>
    <x v="1"/>
    <x v="0"/>
  </r>
  <r>
    <x v="14"/>
    <x v="14"/>
    <x v="14"/>
    <x v="3"/>
    <x v="10"/>
    <x v="0"/>
    <x v="0"/>
    <n v="11"/>
    <n v="68.28"/>
    <n v="15"/>
    <x v="14"/>
    <x v="4"/>
    <x v="1"/>
  </r>
  <r>
    <x v="15"/>
    <x v="15"/>
    <x v="15"/>
    <x v="1"/>
    <x v="5"/>
    <x v="0"/>
    <x v="0"/>
    <n v="24"/>
    <n v="31.81"/>
    <n v="15"/>
    <x v="15"/>
    <x v="2"/>
    <x v="0"/>
  </r>
  <r>
    <x v="16"/>
    <x v="16"/>
    <x v="16"/>
    <x v="1"/>
    <x v="2"/>
    <x v="0"/>
    <x v="0"/>
    <n v="22"/>
    <n v="35.44"/>
    <n v="0"/>
    <x v="16"/>
    <x v="3"/>
    <x v="0"/>
  </r>
  <r>
    <x v="17"/>
    <x v="17"/>
    <x v="17"/>
    <x v="3"/>
    <x v="10"/>
    <x v="0"/>
    <x v="0"/>
    <n v="19"/>
    <n v="41.57"/>
    <n v="0"/>
    <x v="17"/>
    <x v="0"/>
    <x v="0"/>
  </r>
  <r>
    <x v="18"/>
    <x v="18"/>
    <x v="18"/>
    <x v="3"/>
    <x v="6"/>
    <x v="0"/>
    <x v="0"/>
    <n v="22"/>
    <n v="40.700000000000003"/>
    <n v="10"/>
    <x v="18"/>
    <x v="1"/>
    <x v="0"/>
  </r>
  <r>
    <x v="19"/>
    <x v="19"/>
    <x v="19"/>
    <x v="1"/>
    <x v="2"/>
    <x v="0"/>
    <x v="0"/>
    <n v="25"/>
    <n v="34.99"/>
    <n v="5"/>
    <x v="19"/>
    <x v="3"/>
    <x v="0"/>
  </r>
  <r>
    <x v="20"/>
    <x v="20"/>
    <x v="20"/>
    <x v="0"/>
    <x v="11"/>
    <x v="0"/>
    <x v="0"/>
    <n v="18"/>
    <n v="55.18"/>
    <n v="15"/>
    <x v="20"/>
    <x v="1"/>
    <x v="0"/>
  </r>
  <r>
    <x v="21"/>
    <x v="21"/>
    <x v="21"/>
    <x v="2"/>
    <x v="12"/>
    <x v="0"/>
    <x v="0"/>
    <n v="17"/>
    <n v="50.45"/>
    <n v="0"/>
    <x v="21"/>
    <x v="3"/>
    <x v="0"/>
  </r>
  <r>
    <x v="22"/>
    <x v="22"/>
    <x v="22"/>
    <x v="3"/>
    <x v="7"/>
    <x v="0"/>
    <x v="0"/>
    <n v="16"/>
    <n v="57.93"/>
    <n v="0"/>
    <x v="22"/>
    <x v="0"/>
    <x v="0"/>
  </r>
  <r>
    <x v="23"/>
    <x v="23"/>
    <x v="23"/>
    <x v="3"/>
    <x v="4"/>
    <x v="0"/>
    <x v="0"/>
    <n v="25"/>
    <n v="41.44"/>
    <n v="5"/>
    <x v="23"/>
    <x v="4"/>
    <x v="1"/>
  </r>
  <r>
    <x v="24"/>
    <x v="24"/>
    <x v="24"/>
    <x v="3"/>
    <x v="4"/>
    <x v="0"/>
    <x v="0"/>
    <n v="36"/>
    <n v="36.5"/>
    <n v="20"/>
    <x v="24"/>
    <x v="2"/>
    <x v="0"/>
  </r>
  <r>
    <x v="25"/>
    <x v="25"/>
    <x v="25"/>
    <x v="3"/>
    <x v="6"/>
    <x v="0"/>
    <x v="0"/>
    <n v="22"/>
    <n v="49.42"/>
    <n v="0"/>
    <x v="25"/>
    <x v="4"/>
    <x v="1"/>
  </r>
  <r>
    <x v="26"/>
    <x v="26"/>
    <x v="26"/>
    <x v="2"/>
    <x v="13"/>
    <x v="0"/>
    <x v="0"/>
    <n v="24"/>
    <n v="53.5"/>
    <n v="15"/>
    <x v="26"/>
    <x v="4"/>
    <x v="0"/>
  </r>
  <r>
    <x v="27"/>
    <x v="27"/>
    <x v="27"/>
    <x v="0"/>
    <x v="11"/>
    <x v="0"/>
    <x v="0"/>
    <n v="21"/>
    <n v="58.83"/>
    <n v="10"/>
    <x v="27"/>
    <x v="3"/>
    <x v="0"/>
  </r>
  <r>
    <x v="28"/>
    <x v="28"/>
    <x v="28"/>
    <x v="0"/>
    <x v="11"/>
    <x v="0"/>
    <x v="0"/>
    <n v="26"/>
    <n v="43.84"/>
    <n v="0"/>
    <x v="28"/>
    <x v="2"/>
    <x v="0"/>
  </r>
  <r>
    <x v="29"/>
    <x v="29"/>
    <x v="29"/>
    <x v="2"/>
    <x v="3"/>
    <x v="0"/>
    <x v="0"/>
    <n v="23"/>
    <n v="52.28"/>
    <n v="5"/>
    <x v="29"/>
    <x v="0"/>
    <x v="0"/>
  </r>
  <r>
    <x v="30"/>
    <x v="30"/>
    <x v="30"/>
    <x v="0"/>
    <x v="1"/>
    <x v="0"/>
    <x v="0"/>
    <n v="24"/>
    <n v="51.39"/>
    <n v="0"/>
    <x v="30"/>
    <x v="1"/>
    <x v="0"/>
  </r>
  <r>
    <x v="31"/>
    <x v="31"/>
    <x v="31"/>
    <x v="2"/>
    <x v="8"/>
    <x v="0"/>
    <x v="0"/>
    <n v="17"/>
    <n v="75.599999999999994"/>
    <n v="0"/>
    <x v="31"/>
    <x v="1"/>
    <x v="0"/>
  </r>
  <r>
    <x v="32"/>
    <x v="32"/>
    <x v="32"/>
    <x v="2"/>
    <x v="3"/>
    <x v="0"/>
    <x v="0"/>
    <n v="29"/>
    <n v="45.1"/>
    <n v="0"/>
    <x v="32"/>
    <x v="2"/>
    <x v="0"/>
  </r>
  <r>
    <x v="33"/>
    <x v="33"/>
    <x v="33"/>
    <x v="0"/>
    <x v="14"/>
    <x v="0"/>
    <x v="0"/>
    <n v="48"/>
    <n v="34.119999999999997"/>
    <n v="20"/>
    <x v="33"/>
    <x v="3"/>
    <x v="1"/>
  </r>
  <r>
    <x v="34"/>
    <x v="34"/>
    <x v="34"/>
    <x v="2"/>
    <x v="15"/>
    <x v="0"/>
    <x v="0"/>
    <n v="21"/>
    <n v="62.6"/>
    <n v="0"/>
    <x v="34"/>
    <x v="0"/>
    <x v="0"/>
  </r>
  <r>
    <x v="35"/>
    <x v="35"/>
    <x v="35"/>
    <x v="2"/>
    <x v="8"/>
    <x v="0"/>
    <x v="0"/>
    <n v="28"/>
    <n v="49.1"/>
    <n v="0"/>
    <x v="35"/>
    <x v="2"/>
    <x v="0"/>
  </r>
  <r>
    <x v="36"/>
    <x v="36"/>
    <x v="36"/>
    <x v="3"/>
    <x v="6"/>
    <x v="0"/>
    <x v="0"/>
    <n v="46"/>
    <n v="31.49"/>
    <n v="5"/>
    <x v="36"/>
    <x v="0"/>
    <x v="0"/>
  </r>
  <r>
    <x v="37"/>
    <x v="37"/>
    <x v="37"/>
    <x v="3"/>
    <x v="16"/>
    <x v="0"/>
    <x v="0"/>
    <n v="39"/>
    <n v="36.270000000000003"/>
    <n v="0"/>
    <x v="37"/>
    <x v="3"/>
    <x v="1"/>
  </r>
  <r>
    <x v="38"/>
    <x v="38"/>
    <x v="38"/>
    <x v="3"/>
    <x v="6"/>
    <x v="0"/>
    <x v="0"/>
    <n v="43"/>
    <n v="39.049999999999997"/>
    <n v="15"/>
    <x v="38"/>
    <x v="0"/>
    <x v="0"/>
  </r>
  <r>
    <x v="39"/>
    <x v="39"/>
    <x v="39"/>
    <x v="2"/>
    <x v="3"/>
    <x v="0"/>
    <x v="0"/>
    <n v="23"/>
    <n v="64.349999999999994"/>
    <n v="0"/>
    <x v="39"/>
    <x v="4"/>
    <x v="0"/>
  </r>
  <r>
    <x v="40"/>
    <x v="40"/>
    <x v="40"/>
    <x v="3"/>
    <x v="10"/>
    <x v="0"/>
    <x v="0"/>
    <n v="43"/>
    <n v="34.44"/>
    <n v="0"/>
    <x v="40"/>
    <x v="1"/>
    <x v="0"/>
  </r>
  <r>
    <x v="41"/>
    <x v="1"/>
    <x v="41"/>
    <x v="3"/>
    <x v="6"/>
    <x v="0"/>
    <x v="0"/>
    <n v="40"/>
    <n v="37.270000000000003"/>
    <n v="0"/>
    <x v="41"/>
    <x v="0"/>
    <x v="0"/>
  </r>
  <r>
    <x v="42"/>
    <x v="41"/>
    <x v="42"/>
    <x v="0"/>
    <x v="0"/>
    <x v="0"/>
    <x v="0"/>
    <n v="23"/>
    <n v="78.849999999999994"/>
    <n v="15"/>
    <x v="42"/>
    <x v="4"/>
    <x v="0"/>
  </r>
  <r>
    <x v="43"/>
    <x v="42"/>
    <x v="43"/>
    <x v="0"/>
    <x v="17"/>
    <x v="0"/>
    <x v="0"/>
    <n v="20"/>
    <n v="77.650000000000006"/>
    <n v="0"/>
    <x v="43"/>
    <x v="0"/>
    <x v="0"/>
  </r>
  <r>
    <x v="44"/>
    <x v="43"/>
    <x v="44"/>
    <x v="0"/>
    <x v="0"/>
    <x v="0"/>
    <x v="0"/>
    <n v="37"/>
    <n v="50.9"/>
    <n v="15"/>
    <x v="44"/>
    <x v="4"/>
    <x v="0"/>
  </r>
  <r>
    <x v="45"/>
    <x v="44"/>
    <x v="45"/>
    <x v="0"/>
    <x v="1"/>
    <x v="0"/>
    <x v="0"/>
    <n v="30"/>
    <n v="53.53"/>
    <n v="0"/>
    <x v="45"/>
    <x v="2"/>
    <x v="0"/>
  </r>
  <r>
    <x v="46"/>
    <x v="45"/>
    <x v="46"/>
    <x v="0"/>
    <x v="17"/>
    <x v="0"/>
    <x v="0"/>
    <n v="30"/>
    <n v="66.099999999999994"/>
    <n v="15"/>
    <x v="46"/>
    <x v="0"/>
    <x v="0"/>
  </r>
  <r>
    <x v="47"/>
    <x v="46"/>
    <x v="47"/>
    <x v="3"/>
    <x v="10"/>
    <x v="0"/>
    <x v="0"/>
    <n v="48"/>
    <n v="36.590000000000003"/>
    <n v="0"/>
    <x v="47"/>
    <x v="2"/>
    <x v="0"/>
  </r>
  <r>
    <x v="48"/>
    <x v="47"/>
    <x v="48"/>
    <x v="2"/>
    <x v="8"/>
    <x v="0"/>
    <x v="0"/>
    <n v="41"/>
    <n v="50.85"/>
    <n v="10"/>
    <x v="48"/>
    <x v="3"/>
    <x v="0"/>
  </r>
  <r>
    <x v="49"/>
    <x v="48"/>
    <x v="49"/>
    <x v="2"/>
    <x v="13"/>
    <x v="0"/>
    <x v="0"/>
    <n v="43"/>
    <n v="49.27"/>
    <n v="10"/>
    <x v="49"/>
    <x v="2"/>
    <x v="0"/>
  </r>
  <r>
    <x v="50"/>
    <x v="49"/>
    <x v="50"/>
    <x v="3"/>
    <x v="6"/>
    <x v="0"/>
    <x v="0"/>
    <n v="32"/>
    <n v="65.02"/>
    <n v="5"/>
    <x v="50"/>
    <x v="3"/>
    <x v="0"/>
  </r>
  <r>
    <x v="51"/>
    <x v="18"/>
    <x v="51"/>
    <x v="3"/>
    <x v="16"/>
    <x v="0"/>
    <x v="0"/>
    <n v="44"/>
    <n v="47.86"/>
    <n v="0"/>
    <x v="51"/>
    <x v="1"/>
    <x v="1"/>
  </r>
  <r>
    <x v="52"/>
    <x v="50"/>
    <x v="52"/>
    <x v="1"/>
    <x v="5"/>
    <x v="0"/>
    <x v="0"/>
    <n v="28"/>
    <n v="79.739999999999995"/>
    <n v="5"/>
    <x v="52"/>
    <x v="1"/>
    <x v="0"/>
  </r>
  <r>
    <x v="53"/>
    <x v="51"/>
    <x v="53"/>
    <x v="0"/>
    <x v="14"/>
    <x v="0"/>
    <x v="0"/>
    <n v="33"/>
    <n v="73.66"/>
    <n v="10"/>
    <x v="53"/>
    <x v="3"/>
    <x v="0"/>
  </r>
  <r>
    <x v="54"/>
    <x v="52"/>
    <x v="54"/>
    <x v="1"/>
    <x v="2"/>
    <x v="0"/>
    <x v="0"/>
    <n v="46"/>
    <n v="47.95"/>
    <n v="0"/>
    <x v="54"/>
    <x v="4"/>
    <x v="0"/>
  </r>
  <r>
    <x v="55"/>
    <x v="53"/>
    <x v="55"/>
    <x v="1"/>
    <x v="9"/>
    <x v="0"/>
    <x v="0"/>
    <n v="34"/>
    <n v="69.430000000000007"/>
    <n v="0"/>
    <x v="55"/>
    <x v="4"/>
    <x v="1"/>
  </r>
  <r>
    <x v="56"/>
    <x v="54"/>
    <x v="56"/>
    <x v="2"/>
    <x v="12"/>
    <x v="0"/>
    <x v="0"/>
    <n v="50"/>
    <n v="48.25"/>
    <n v="0"/>
    <x v="56"/>
    <x v="0"/>
    <x v="1"/>
  </r>
  <r>
    <x v="57"/>
    <x v="55"/>
    <x v="57"/>
    <x v="1"/>
    <x v="18"/>
    <x v="0"/>
    <x v="0"/>
    <n v="42"/>
    <n v="65.62"/>
    <n v="10"/>
    <x v="57"/>
    <x v="2"/>
    <x v="1"/>
  </r>
  <r>
    <x v="58"/>
    <x v="56"/>
    <x v="58"/>
    <x v="3"/>
    <x v="10"/>
    <x v="0"/>
    <x v="0"/>
    <n v="47"/>
    <n v="66.36"/>
    <n v="20"/>
    <x v="58"/>
    <x v="4"/>
    <x v="0"/>
  </r>
  <r>
    <x v="59"/>
    <x v="42"/>
    <x v="59"/>
    <x v="1"/>
    <x v="19"/>
    <x v="0"/>
    <x v="0"/>
    <n v="40"/>
    <n v="63.91"/>
    <n v="0"/>
    <x v="59"/>
    <x v="2"/>
    <x v="0"/>
  </r>
  <r>
    <x v="60"/>
    <x v="57"/>
    <x v="60"/>
    <x v="1"/>
    <x v="9"/>
    <x v="0"/>
    <x v="0"/>
    <n v="42"/>
    <n v="74.81"/>
    <n v="10"/>
    <x v="60"/>
    <x v="2"/>
    <x v="1"/>
  </r>
  <r>
    <x v="61"/>
    <x v="58"/>
    <x v="61"/>
    <x v="3"/>
    <x v="7"/>
    <x v="0"/>
    <x v="0"/>
    <n v="44"/>
    <n v="65.02"/>
    <n v="0"/>
    <x v="61"/>
    <x v="1"/>
    <x v="1"/>
  </r>
  <r>
    <x v="62"/>
    <x v="59"/>
    <x v="62"/>
    <x v="3"/>
    <x v="4"/>
    <x v="0"/>
    <x v="0"/>
    <n v="44"/>
    <n v="78.42"/>
    <n v="5"/>
    <x v="62"/>
    <x v="4"/>
    <x v="0"/>
  </r>
  <r>
    <x v="63"/>
    <x v="60"/>
    <x v="63"/>
    <x v="0"/>
    <x v="1"/>
    <x v="0"/>
    <x v="0"/>
    <n v="46"/>
    <n v="79.64"/>
    <n v="10"/>
    <x v="63"/>
    <x v="2"/>
    <x v="1"/>
  </r>
  <r>
    <x v="64"/>
    <x v="52"/>
    <x v="64"/>
    <x v="1"/>
    <x v="19"/>
    <x v="1"/>
    <x v="0"/>
    <n v="1"/>
    <n v="19.72"/>
    <n v="0"/>
    <x v="64"/>
    <x v="1"/>
    <x v="1"/>
  </r>
  <r>
    <x v="65"/>
    <x v="61"/>
    <x v="65"/>
    <x v="1"/>
    <x v="18"/>
    <x v="1"/>
    <x v="0"/>
    <n v="2"/>
    <n v="13.86"/>
    <n v="5"/>
    <x v="65"/>
    <x v="4"/>
    <x v="0"/>
  </r>
  <r>
    <x v="66"/>
    <x v="62"/>
    <x v="66"/>
    <x v="2"/>
    <x v="15"/>
    <x v="1"/>
    <x v="0"/>
    <n v="2"/>
    <n v="13.26"/>
    <n v="0"/>
    <x v="66"/>
    <x v="4"/>
    <x v="1"/>
  </r>
  <r>
    <x v="67"/>
    <x v="63"/>
    <x v="67"/>
    <x v="0"/>
    <x v="1"/>
    <x v="1"/>
    <x v="0"/>
    <n v="1"/>
    <n v="27.9"/>
    <n v="0"/>
    <x v="67"/>
    <x v="1"/>
    <x v="0"/>
  </r>
  <r>
    <x v="68"/>
    <x v="64"/>
    <x v="68"/>
    <x v="3"/>
    <x v="7"/>
    <x v="1"/>
    <x v="0"/>
    <n v="6"/>
    <n v="12.3"/>
    <n v="15"/>
    <x v="68"/>
    <x v="3"/>
    <x v="1"/>
  </r>
  <r>
    <x v="69"/>
    <x v="65"/>
    <x v="69"/>
    <x v="1"/>
    <x v="9"/>
    <x v="1"/>
    <x v="0"/>
    <n v="6"/>
    <n v="11.87"/>
    <n v="10"/>
    <x v="69"/>
    <x v="1"/>
    <x v="0"/>
  </r>
  <r>
    <x v="70"/>
    <x v="66"/>
    <x v="70"/>
    <x v="2"/>
    <x v="12"/>
    <x v="1"/>
    <x v="0"/>
    <n v="7"/>
    <n v="10.52"/>
    <n v="0"/>
    <x v="70"/>
    <x v="1"/>
    <x v="1"/>
  </r>
  <r>
    <x v="71"/>
    <x v="67"/>
    <x v="71"/>
    <x v="0"/>
    <x v="11"/>
    <x v="1"/>
    <x v="0"/>
    <n v="10"/>
    <n v="10.220000000000001"/>
    <n v="20"/>
    <x v="71"/>
    <x v="4"/>
    <x v="0"/>
  </r>
  <r>
    <x v="72"/>
    <x v="68"/>
    <x v="72"/>
    <x v="3"/>
    <x v="10"/>
    <x v="1"/>
    <x v="0"/>
    <n v="7"/>
    <n v="13.46"/>
    <n v="10"/>
    <x v="72"/>
    <x v="1"/>
    <x v="0"/>
  </r>
  <r>
    <x v="73"/>
    <x v="69"/>
    <x v="73"/>
    <x v="2"/>
    <x v="15"/>
    <x v="1"/>
    <x v="0"/>
    <n v="6"/>
    <n v="16.670000000000002"/>
    <n v="5"/>
    <x v="73"/>
    <x v="3"/>
    <x v="0"/>
  </r>
  <r>
    <x v="74"/>
    <x v="70"/>
    <x v="74"/>
    <x v="1"/>
    <x v="9"/>
    <x v="1"/>
    <x v="0"/>
    <n v="7"/>
    <n v="14.78"/>
    <n v="5"/>
    <x v="74"/>
    <x v="2"/>
    <x v="0"/>
  </r>
  <r>
    <x v="75"/>
    <x v="71"/>
    <x v="75"/>
    <x v="3"/>
    <x v="4"/>
    <x v="1"/>
    <x v="0"/>
    <n v="4"/>
    <n v="29.84"/>
    <n v="5"/>
    <x v="75"/>
    <x v="1"/>
    <x v="0"/>
  </r>
  <r>
    <x v="76"/>
    <x v="72"/>
    <x v="76"/>
    <x v="2"/>
    <x v="12"/>
    <x v="1"/>
    <x v="0"/>
    <n v="5"/>
    <n v="27.27"/>
    <n v="15"/>
    <x v="76"/>
    <x v="4"/>
    <x v="1"/>
  </r>
  <r>
    <x v="77"/>
    <x v="73"/>
    <x v="6"/>
    <x v="2"/>
    <x v="13"/>
    <x v="1"/>
    <x v="0"/>
    <n v="15"/>
    <n v="11.21"/>
    <n v="15"/>
    <x v="77"/>
    <x v="1"/>
    <x v="0"/>
  </r>
  <r>
    <x v="78"/>
    <x v="23"/>
    <x v="77"/>
    <x v="0"/>
    <x v="11"/>
    <x v="1"/>
    <x v="0"/>
    <n v="15"/>
    <n v="14.91"/>
    <n v="5"/>
    <x v="78"/>
    <x v="1"/>
    <x v="0"/>
  </r>
  <r>
    <x v="79"/>
    <x v="21"/>
    <x v="78"/>
    <x v="0"/>
    <x v="0"/>
    <x v="1"/>
    <x v="0"/>
    <n v="9"/>
    <n v="23.71"/>
    <n v="0"/>
    <x v="79"/>
    <x v="1"/>
    <x v="0"/>
  </r>
  <r>
    <x v="80"/>
    <x v="74"/>
    <x v="79"/>
    <x v="3"/>
    <x v="6"/>
    <x v="1"/>
    <x v="0"/>
    <n v="12"/>
    <n v="19.43"/>
    <n v="5"/>
    <x v="80"/>
    <x v="1"/>
    <x v="1"/>
  </r>
  <r>
    <x v="81"/>
    <x v="75"/>
    <x v="80"/>
    <x v="2"/>
    <x v="8"/>
    <x v="1"/>
    <x v="0"/>
    <n v="14"/>
    <n v="18.760000000000002"/>
    <n v="15"/>
    <x v="81"/>
    <x v="3"/>
    <x v="0"/>
  </r>
  <r>
    <x v="82"/>
    <x v="39"/>
    <x v="81"/>
    <x v="0"/>
    <x v="11"/>
    <x v="1"/>
    <x v="0"/>
    <n v="25"/>
    <n v="11.94"/>
    <n v="0"/>
    <x v="82"/>
    <x v="1"/>
    <x v="0"/>
  </r>
  <r>
    <x v="83"/>
    <x v="76"/>
    <x v="82"/>
    <x v="1"/>
    <x v="2"/>
    <x v="1"/>
    <x v="0"/>
    <n v="15"/>
    <n v="21.06"/>
    <n v="5"/>
    <x v="83"/>
    <x v="2"/>
    <x v="0"/>
  </r>
  <r>
    <x v="84"/>
    <x v="77"/>
    <x v="83"/>
    <x v="0"/>
    <x v="1"/>
    <x v="1"/>
    <x v="0"/>
    <n v="14"/>
    <n v="24.9"/>
    <n v="5"/>
    <x v="84"/>
    <x v="4"/>
    <x v="0"/>
  </r>
  <r>
    <x v="85"/>
    <x v="78"/>
    <x v="84"/>
    <x v="1"/>
    <x v="18"/>
    <x v="1"/>
    <x v="0"/>
    <n v="38"/>
    <n v="10.97"/>
    <n v="20"/>
    <x v="85"/>
    <x v="1"/>
    <x v="0"/>
  </r>
  <r>
    <x v="86"/>
    <x v="79"/>
    <x v="85"/>
    <x v="0"/>
    <x v="0"/>
    <x v="1"/>
    <x v="0"/>
    <n v="23"/>
    <n v="19.600000000000001"/>
    <n v="5"/>
    <x v="86"/>
    <x v="0"/>
    <x v="0"/>
  </r>
  <r>
    <x v="87"/>
    <x v="80"/>
    <x v="86"/>
    <x v="3"/>
    <x v="10"/>
    <x v="1"/>
    <x v="0"/>
    <n v="43"/>
    <n v="12.53"/>
    <n v="20"/>
    <x v="87"/>
    <x v="3"/>
    <x v="0"/>
  </r>
  <r>
    <x v="88"/>
    <x v="81"/>
    <x v="87"/>
    <x v="1"/>
    <x v="19"/>
    <x v="1"/>
    <x v="0"/>
    <n v="17"/>
    <n v="25.57"/>
    <n v="0"/>
    <x v="88"/>
    <x v="4"/>
    <x v="0"/>
  </r>
  <r>
    <x v="89"/>
    <x v="82"/>
    <x v="88"/>
    <x v="1"/>
    <x v="2"/>
    <x v="1"/>
    <x v="0"/>
    <n v="19"/>
    <n v="25.74"/>
    <n v="10"/>
    <x v="89"/>
    <x v="1"/>
    <x v="0"/>
  </r>
  <r>
    <x v="90"/>
    <x v="83"/>
    <x v="89"/>
    <x v="2"/>
    <x v="15"/>
    <x v="1"/>
    <x v="0"/>
    <n v="25"/>
    <n v="19.73"/>
    <n v="10"/>
    <x v="90"/>
    <x v="3"/>
    <x v="1"/>
  </r>
  <r>
    <x v="91"/>
    <x v="84"/>
    <x v="90"/>
    <x v="0"/>
    <x v="11"/>
    <x v="1"/>
    <x v="0"/>
    <n v="40"/>
    <n v="13.06"/>
    <n v="10"/>
    <x v="91"/>
    <x v="3"/>
    <x v="1"/>
  </r>
  <r>
    <x v="92"/>
    <x v="85"/>
    <x v="91"/>
    <x v="0"/>
    <x v="0"/>
    <x v="1"/>
    <x v="0"/>
    <n v="33"/>
    <n v="15.85"/>
    <n v="10"/>
    <x v="92"/>
    <x v="3"/>
    <x v="1"/>
  </r>
  <r>
    <x v="93"/>
    <x v="86"/>
    <x v="92"/>
    <x v="1"/>
    <x v="2"/>
    <x v="1"/>
    <x v="0"/>
    <n v="18"/>
    <n v="28.03"/>
    <n v="5"/>
    <x v="93"/>
    <x v="1"/>
    <x v="0"/>
  </r>
  <r>
    <x v="94"/>
    <x v="87"/>
    <x v="93"/>
    <x v="2"/>
    <x v="8"/>
    <x v="1"/>
    <x v="0"/>
    <n v="45"/>
    <n v="12.62"/>
    <n v="10"/>
    <x v="94"/>
    <x v="1"/>
    <x v="0"/>
  </r>
  <r>
    <x v="95"/>
    <x v="88"/>
    <x v="94"/>
    <x v="1"/>
    <x v="2"/>
    <x v="1"/>
    <x v="0"/>
    <n v="29"/>
    <n v="17.760000000000002"/>
    <n v="0"/>
    <x v="95"/>
    <x v="2"/>
    <x v="1"/>
  </r>
  <r>
    <x v="96"/>
    <x v="61"/>
    <x v="95"/>
    <x v="2"/>
    <x v="8"/>
    <x v="1"/>
    <x v="0"/>
    <n v="29"/>
    <n v="18.559999999999999"/>
    <n v="0"/>
    <x v="96"/>
    <x v="0"/>
    <x v="0"/>
  </r>
  <r>
    <x v="97"/>
    <x v="89"/>
    <x v="96"/>
    <x v="2"/>
    <x v="15"/>
    <x v="1"/>
    <x v="0"/>
    <n v="30"/>
    <n v="18.13"/>
    <n v="0"/>
    <x v="97"/>
    <x v="3"/>
    <x v="0"/>
  </r>
  <r>
    <x v="98"/>
    <x v="90"/>
    <x v="97"/>
    <x v="3"/>
    <x v="10"/>
    <x v="1"/>
    <x v="0"/>
    <n v="32"/>
    <n v="17.739999999999998"/>
    <n v="0"/>
    <x v="98"/>
    <x v="2"/>
    <x v="0"/>
  </r>
  <r>
    <x v="99"/>
    <x v="91"/>
    <x v="98"/>
    <x v="2"/>
    <x v="13"/>
    <x v="1"/>
    <x v="0"/>
    <n v="24"/>
    <n v="26.86"/>
    <n v="10"/>
    <x v="99"/>
    <x v="4"/>
    <x v="1"/>
  </r>
  <r>
    <x v="100"/>
    <x v="92"/>
    <x v="99"/>
    <x v="2"/>
    <x v="15"/>
    <x v="1"/>
    <x v="0"/>
    <n v="23"/>
    <n v="27.52"/>
    <n v="5"/>
    <x v="100"/>
    <x v="3"/>
    <x v="0"/>
  </r>
  <r>
    <x v="101"/>
    <x v="93"/>
    <x v="100"/>
    <x v="3"/>
    <x v="6"/>
    <x v="1"/>
    <x v="0"/>
    <n v="38"/>
    <n v="18.98"/>
    <n v="15"/>
    <x v="101"/>
    <x v="1"/>
    <x v="0"/>
  </r>
  <r>
    <x v="102"/>
    <x v="94"/>
    <x v="101"/>
    <x v="2"/>
    <x v="12"/>
    <x v="1"/>
    <x v="0"/>
    <n v="33"/>
    <n v="18.670000000000002"/>
    <n v="0"/>
    <x v="102"/>
    <x v="4"/>
    <x v="1"/>
  </r>
  <r>
    <x v="103"/>
    <x v="95"/>
    <x v="102"/>
    <x v="2"/>
    <x v="13"/>
    <x v="1"/>
    <x v="0"/>
    <n v="45"/>
    <n v="17.13"/>
    <n v="20"/>
    <x v="103"/>
    <x v="3"/>
    <x v="0"/>
  </r>
  <r>
    <x v="104"/>
    <x v="96"/>
    <x v="103"/>
    <x v="1"/>
    <x v="19"/>
    <x v="1"/>
    <x v="0"/>
    <n v="36"/>
    <n v="19.18"/>
    <n v="10"/>
    <x v="104"/>
    <x v="3"/>
    <x v="0"/>
  </r>
  <r>
    <x v="105"/>
    <x v="97"/>
    <x v="104"/>
    <x v="3"/>
    <x v="7"/>
    <x v="1"/>
    <x v="0"/>
    <n v="38"/>
    <n v="16.5"/>
    <n v="0"/>
    <x v="13"/>
    <x v="0"/>
    <x v="0"/>
  </r>
  <r>
    <x v="106"/>
    <x v="98"/>
    <x v="105"/>
    <x v="1"/>
    <x v="18"/>
    <x v="1"/>
    <x v="0"/>
    <n v="23"/>
    <n v="28.48"/>
    <n v="0"/>
    <x v="105"/>
    <x v="3"/>
    <x v="1"/>
  </r>
  <r>
    <x v="107"/>
    <x v="76"/>
    <x v="106"/>
    <x v="3"/>
    <x v="6"/>
    <x v="1"/>
    <x v="0"/>
    <n v="29"/>
    <n v="26.95"/>
    <n v="15"/>
    <x v="106"/>
    <x v="4"/>
    <x v="0"/>
  </r>
  <r>
    <x v="108"/>
    <x v="99"/>
    <x v="107"/>
    <x v="2"/>
    <x v="12"/>
    <x v="1"/>
    <x v="0"/>
    <n v="40"/>
    <n v="17.87"/>
    <n v="5"/>
    <x v="107"/>
    <x v="3"/>
    <x v="0"/>
  </r>
  <r>
    <x v="109"/>
    <x v="100"/>
    <x v="108"/>
    <x v="1"/>
    <x v="19"/>
    <x v="1"/>
    <x v="0"/>
    <n v="27"/>
    <n v="25.5"/>
    <n v="0"/>
    <x v="108"/>
    <x v="3"/>
    <x v="0"/>
  </r>
  <r>
    <x v="110"/>
    <x v="23"/>
    <x v="109"/>
    <x v="1"/>
    <x v="2"/>
    <x v="1"/>
    <x v="0"/>
    <n v="30"/>
    <n v="25.51"/>
    <n v="10"/>
    <x v="109"/>
    <x v="0"/>
    <x v="1"/>
  </r>
  <r>
    <x v="111"/>
    <x v="93"/>
    <x v="110"/>
    <x v="2"/>
    <x v="15"/>
    <x v="1"/>
    <x v="0"/>
    <n v="26"/>
    <n v="29.56"/>
    <n v="10"/>
    <x v="110"/>
    <x v="2"/>
    <x v="1"/>
  </r>
  <r>
    <x v="112"/>
    <x v="101"/>
    <x v="111"/>
    <x v="2"/>
    <x v="15"/>
    <x v="1"/>
    <x v="0"/>
    <n v="43"/>
    <n v="17.52"/>
    <n v="0"/>
    <x v="111"/>
    <x v="4"/>
    <x v="0"/>
  </r>
  <r>
    <x v="113"/>
    <x v="102"/>
    <x v="112"/>
    <x v="2"/>
    <x v="13"/>
    <x v="1"/>
    <x v="0"/>
    <n v="29"/>
    <n v="26.09"/>
    <n v="0"/>
    <x v="112"/>
    <x v="3"/>
    <x v="0"/>
  </r>
  <r>
    <x v="114"/>
    <x v="103"/>
    <x v="113"/>
    <x v="1"/>
    <x v="19"/>
    <x v="1"/>
    <x v="0"/>
    <n v="42"/>
    <n v="20.85"/>
    <n v="10"/>
    <x v="113"/>
    <x v="3"/>
    <x v="0"/>
  </r>
  <r>
    <x v="115"/>
    <x v="104"/>
    <x v="114"/>
    <x v="0"/>
    <x v="0"/>
    <x v="1"/>
    <x v="0"/>
    <n v="30"/>
    <n v="29.95"/>
    <n v="5"/>
    <x v="114"/>
    <x v="2"/>
    <x v="1"/>
  </r>
  <r>
    <x v="116"/>
    <x v="105"/>
    <x v="115"/>
    <x v="1"/>
    <x v="19"/>
    <x v="1"/>
    <x v="0"/>
    <n v="48"/>
    <n v="22.46"/>
    <n v="15"/>
    <x v="115"/>
    <x v="1"/>
    <x v="1"/>
  </r>
  <r>
    <x v="117"/>
    <x v="106"/>
    <x v="116"/>
    <x v="0"/>
    <x v="1"/>
    <x v="1"/>
    <x v="0"/>
    <n v="50"/>
    <n v="22.67"/>
    <n v="15"/>
    <x v="116"/>
    <x v="4"/>
    <x v="1"/>
  </r>
  <r>
    <x v="118"/>
    <x v="107"/>
    <x v="117"/>
    <x v="1"/>
    <x v="5"/>
    <x v="1"/>
    <x v="0"/>
    <n v="48"/>
    <n v="20.63"/>
    <n v="0"/>
    <x v="117"/>
    <x v="0"/>
    <x v="1"/>
  </r>
  <r>
    <x v="119"/>
    <x v="108"/>
    <x v="118"/>
    <x v="0"/>
    <x v="11"/>
    <x v="1"/>
    <x v="0"/>
    <n v="44"/>
    <n v="22.82"/>
    <n v="0"/>
    <x v="118"/>
    <x v="2"/>
    <x v="1"/>
  </r>
  <r>
    <x v="120"/>
    <x v="109"/>
    <x v="119"/>
    <x v="1"/>
    <x v="9"/>
    <x v="1"/>
    <x v="0"/>
    <n v="49"/>
    <n v="24.42"/>
    <n v="15"/>
    <x v="119"/>
    <x v="3"/>
    <x v="1"/>
  </r>
  <r>
    <x v="121"/>
    <x v="110"/>
    <x v="120"/>
    <x v="1"/>
    <x v="9"/>
    <x v="1"/>
    <x v="0"/>
    <n v="35"/>
    <n v="29.83"/>
    <n v="0"/>
    <x v="120"/>
    <x v="3"/>
    <x v="1"/>
  </r>
  <r>
    <x v="122"/>
    <x v="111"/>
    <x v="121"/>
    <x v="0"/>
    <x v="17"/>
    <x v="1"/>
    <x v="0"/>
    <n v="44"/>
    <n v="24.36"/>
    <n v="0"/>
    <x v="121"/>
    <x v="3"/>
    <x v="0"/>
  </r>
  <r>
    <x v="123"/>
    <x v="112"/>
    <x v="122"/>
    <x v="2"/>
    <x v="8"/>
    <x v="1"/>
    <x v="0"/>
    <n v="49"/>
    <n v="25.19"/>
    <n v="10"/>
    <x v="122"/>
    <x v="1"/>
    <x v="0"/>
  </r>
  <r>
    <x v="124"/>
    <x v="113"/>
    <x v="123"/>
    <x v="2"/>
    <x v="13"/>
    <x v="1"/>
    <x v="0"/>
    <n v="50"/>
    <n v="25.63"/>
    <n v="10"/>
    <x v="123"/>
    <x v="1"/>
    <x v="0"/>
  </r>
  <r>
    <x v="125"/>
    <x v="114"/>
    <x v="124"/>
    <x v="2"/>
    <x v="8"/>
    <x v="1"/>
    <x v="0"/>
    <n v="47"/>
    <n v="26.02"/>
    <n v="0"/>
    <x v="124"/>
    <x v="1"/>
    <x v="1"/>
  </r>
  <r>
    <x v="126"/>
    <x v="115"/>
    <x v="125"/>
    <x v="1"/>
    <x v="5"/>
    <x v="2"/>
    <x v="0"/>
    <n v="1"/>
    <n v="89.37"/>
    <n v="20"/>
    <x v="125"/>
    <x v="1"/>
    <x v="0"/>
  </r>
  <r>
    <x v="127"/>
    <x v="116"/>
    <x v="126"/>
    <x v="0"/>
    <x v="11"/>
    <x v="2"/>
    <x v="0"/>
    <n v="1"/>
    <n v="104.55"/>
    <n v="15"/>
    <x v="126"/>
    <x v="1"/>
    <x v="0"/>
  </r>
  <r>
    <x v="128"/>
    <x v="117"/>
    <x v="99"/>
    <x v="2"/>
    <x v="8"/>
    <x v="2"/>
    <x v="0"/>
    <n v="4"/>
    <n v="34.86"/>
    <n v="20"/>
    <x v="127"/>
    <x v="3"/>
    <x v="0"/>
  </r>
  <r>
    <x v="129"/>
    <x v="118"/>
    <x v="127"/>
    <x v="1"/>
    <x v="9"/>
    <x v="2"/>
    <x v="0"/>
    <n v="1"/>
    <n v="137.63999999999999"/>
    <n v="15"/>
    <x v="128"/>
    <x v="1"/>
    <x v="0"/>
  </r>
  <r>
    <x v="130"/>
    <x v="119"/>
    <x v="128"/>
    <x v="3"/>
    <x v="4"/>
    <x v="2"/>
    <x v="0"/>
    <n v="4"/>
    <n v="32.840000000000003"/>
    <n v="5"/>
    <x v="129"/>
    <x v="0"/>
    <x v="0"/>
  </r>
  <r>
    <x v="131"/>
    <x v="14"/>
    <x v="129"/>
    <x v="3"/>
    <x v="10"/>
    <x v="2"/>
    <x v="0"/>
    <n v="3"/>
    <n v="59.44"/>
    <n v="20"/>
    <x v="130"/>
    <x v="1"/>
    <x v="0"/>
  </r>
  <r>
    <x v="132"/>
    <x v="120"/>
    <x v="130"/>
    <x v="3"/>
    <x v="10"/>
    <x v="2"/>
    <x v="0"/>
    <n v="5"/>
    <n v="34.17"/>
    <n v="10"/>
    <x v="131"/>
    <x v="2"/>
    <x v="0"/>
  </r>
  <r>
    <x v="133"/>
    <x v="121"/>
    <x v="131"/>
    <x v="0"/>
    <x v="0"/>
    <x v="2"/>
    <x v="0"/>
    <n v="5"/>
    <n v="32.9"/>
    <n v="5"/>
    <x v="132"/>
    <x v="0"/>
    <x v="0"/>
  </r>
  <r>
    <x v="134"/>
    <x v="122"/>
    <x v="132"/>
    <x v="0"/>
    <x v="11"/>
    <x v="2"/>
    <x v="0"/>
    <n v="5"/>
    <n v="48.8"/>
    <n v="20"/>
    <x v="133"/>
    <x v="0"/>
    <x v="0"/>
  </r>
  <r>
    <x v="135"/>
    <x v="123"/>
    <x v="65"/>
    <x v="0"/>
    <x v="0"/>
    <x v="2"/>
    <x v="0"/>
    <n v="2"/>
    <n v="176.46"/>
    <n v="15"/>
    <x v="134"/>
    <x v="4"/>
    <x v="0"/>
  </r>
  <r>
    <x v="136"/>
    <x v="124"/>
    <x v="133"/>
    <x v="2"/>
    <x v="3"/>
    <x v="2"/>
    <x v="0"/>
    <n v="4"/>
    <n v="121.73"/>
    <n v="5"/>
    <x v="135"/>
    <x v="0"/>
    <x v="1"/>
  </r>
  <r>
    <x v="137"/>
    <x v="125"/>
    <x v="134"/>
    <x v="3"/>
    <x v="4"/>
    <x v="2"/>
    <x v="0"/>
    <n v="10"/>
    <n v="54.28"/>
    <n v="10"/>
    <x v="136"/>
    <x v="2"/>
    <x v="0"/>
  </r>
  <r>
    <x v="138"/>
    <x v="126"/>
    <x v="135"/>
    <x v="3"/>
    <x v="7"/>
    <x v="2"/>
    <x v="0"/>
    <n v="7"/>
    <n v="124.12"/>
    <n v="10"/>
    <x v="137"/>
    <x v="4"/>
    <x v="0"/>
  </r>
  <r>
    <x v="139"/>
    <x v="115"/>
    <x v="136"/>
    <x v="2"/>
    <x v="8"/>
    <x v="2"/>
    <x v="0"/>
    <n v="5"/>
    <n v="171.65"/>
    <n v="0"/>
    <x v="138"/>
    <x v="3"/>
    <x v="0"/>
  </r>
  <r>
    <x v="140"/>
    <x v="127"/>
    <x v="137"/>
    <x v="0"/>
    <x v="17"/>
    <x v="2"/>
    <x v="0"/>
    <n v="7"/>
    <n v="161.66"/>
    <n v="20"/>
    <x v="139"/>
    <x v="0"/>
    <x v="0"/>
  </r>
  <r>
    <x v="141"/>
    <x v="128"/>
    <x v="138"/>
    <x v="2"/>
    <x v="15"/>
    <x v="2"/>
    <x v="0"/>
    <n v="21"/>
    <n v="43.16"/>
    <n v="0"/>
    <x v="140"/>
    <x v="3"/>
    <x v="0"/>
  </r>
  <r>
    <x v="142"/>
    <x v="129"/>
    <x v="139"/>
    <x v="3"/>
    <x v="4"/>
    <x v="2"/>
    <x v="0"/>
    <n v="30"/>
    <n v="37.979999999999997"/>
    <n v="20"/>
    <x v="141"/>
    <x v="1"/>
    <x v="1"/>
  </r>
  <r>
    <x v="143"/>
    <x v="130"/>
    <x v="140"/>
    <x v="2"/>
    <x v="12"/>
    <x v="2"/>
    <x v="0"/>
    <n v="17"/>
    <n v="61.77"/>
    <n v="0"/>
    <x v="142"/>
    <x v="3"/>
    <x v="1"/>
  </r>
  <r>
    <x v="144"/>
    <x v="131"/>
    <x v="141"/>
    <x v="2"/>
    <x v="12"/>
    <x v="2"/>
    <x v="0"/>
    <n v="9"/>
    <n v="126.34"/>
    <n v="5"/>
    <x v="143"/>
    <x v="0"/>
    <x v="1"/>
  </r>
  <r>
    <x v="145"/>
    <x v="132"/>
    <x v="142"/>
    <x v="0"/>
    <x v="0"/>
    <x v="2"/>
    <x v="0"/>
    <n v="23"/>
    <n v="50.13"/>
    <n v="5"/>
    <x v="144"/>
    <x v="3"/>
    <x v="0"/>
  </r>
  <r>
    <x v="146"/>
    <x v="133"/>
    <x v="143"/>
    <x v="3"/>
    <x v="10"/>
    <x v="2"/>
    <x v="0"/>
    <n v="14"/>
    <n v="92.29"/>
    <n v="15"/>
    <x v="145"/>
    <x v="1"/>
    <x v="0"/>
  </r>
  <r>
    <x v="147"/>
    <x v="134"/>
    <x v="144"/>
    <x v="3"/>
    <x v="4"/>
    <x v="2"/>
    <x v="0"/>
    <n v="36"/>
    <n v="40.79"/>
    <n v="20"/>
    <x v="146"/>
    <x v="1"/>
    <x v="0"/>
  </r>
  <r>
    <x v="148"/>
    <x v="135"/>
    <x v="145"/>
    <x v="3"/>
    <x v="10"/>
    <x v="2"/>
    <x v="0"/>
    <n v="7"/>
    <n v="181.14"/>
    <n v="0"/>
    <x v="147"/>
    <x v="3"/>
    <x v="1"/>
  </r>
  <r>
    <x v="149"/>
    <x v="136"/>
    <x v="146"/>
    <x v="3"/>
    <x v="7"/>
    <x v="2"/>
    <x v="0"/>
    <n v="14"/>
    <n v="95.46"/>
    <n v="5"/>
    <x v="148"/>
    <x v="2"/>
    <x v="1"/>
  </r>
  <r>
    <x v="150"/>
    <x v="137"/>
    <x v="147"/>
    <x v="1"/>
    <x v="19"/>
    <x v="2"/>
    <x v="0"/>
    <n v="28"/>
    <n v="53.02"/>
    <n v="0"/>
    <x v="149"/>
    <x v="4"/>
    <x v="0"/>
  </r>
  <r>
    <x v="151"/>
    <x v="138"/>
    <x v="148"/>
    <x v="3"/>
    <x v="10"/>
    <x v="2"/>
    <x v="0"/>
    <n v="9"/>
    <n v="184.7"/>
    <n v="10"/>
    <x v="150"/>
    <x v="3"/>
    <x v="1"/>
  </r>
  <r>
    <x v="152"/>
    <x v="139"/>
    <x v="149"/>
    <x v="3"/>
    <x v="7"/>
    <x v="2"/>
    <x v="0"/>
    <n v="11"/>
    <n v="175.53"/>
    <n v="20"/>
    <x v="151"/>
    <x v="1"/>
    <x v="1"/>
  </r>
  <r>
    <x v="153"/>
    <x v="140"/>
    <x v="150"/>
    <x v="1"/>
    <x v="18"/>
    <x v="2"/>
    <x v="0"/>
    <n v="46"/>
    <n v="39.92"/>
    <n v="10"/>
    <x v="152"/>
    <x v="3"/>
    <x v="0"/>
  </r>
  <r>
    <x v="154"/>
    <x v="54"/>
    <x v="151"/>
    <x v="3"/>
    <x v="10"/>
    <x v="2"/>
    <x v="0"/>
    <n v="28"/>
    <n v="62.82"/>
    <n v="5"/>
    <x v="153"/>
    <x v="3"/>
    <x v="0"/>
  </r>
  <r>
    <x v="155"/>
    <x v="141"/>
    <x v="152"/>
    <x v="1"/>
    <x v="19"/>
    <x v="2"/>
    <x v="0"/>
    <n v="11"/>
    <n v="159.22"/>
    <n v="0"/>
    <x v="154"/>
    <x v="3"/>
    <x v="0"/>
  </r>
  <r>
    <x v="156"/>
    <x v="142"/>
    <x v="153"/>
    <x v="3"/>
    <x v="6"/>
    <x v="2"/>
    <x v="0"/>
    <n v="36"/>
    <n v="49.37"/>
    <n v="0"/>
    <x v="155"/>
    <x v="1"/>
    <x v="1"/>
  </r>
  <r>
    <x v="157"/>
    <x v="143"/>
    <x v="154"/>
    <x v="1"/>
    <x v="2"/>
    <x v="2"/>
    <x v="0"/>
    <n v="18"/>
    <n v="107.49"/>
    <n v="5"/>
    <x v="156"/>
    <x v="4"/>
    <x v="1"/>
  </r>
  <r>
    <x v="158"/>
    <x v="144"/>
    <x v="99"/>
    <x v="2"/>
    <x v="12"/>
    <x v="2"/>
    <x v="0"/>
    <n v="45"/>
    <n v="45.44"/>
    <n v="10"/>
    <x v="157"/>
    <x v="3"/>
    <x v="0"/>
  </r>
  <r>
    <x v="159"/>
    <x v="145"/>
    <x v="155"/>
    <x v="0"/>
    <x v="17"/>
    <x v="2"/>
    <x v="0"/>
    <n v="37"/>
    <n v="61.52"/>
    <n v="5"/>
    <x v="158"/>
    <x v="1"/>
    <x v="1"/>
  </r>
  <r>
    <x v="160"/>
    <x v="146"/>
    <x v="156"/>
    <x v="0"/>
    <x v="14"/>
    <x v="2"/>
    <x v="0"/>
    <n v="19"/>
    <n v="116.01"/>
    <n v="0"/>
    <x v="159"/>
    <x v="4"/>
    <x v="0"/>
  </r>
  <r>
    <x v="161"/>
    <x v="147"/>
    <x v="157"/>
    <x v="0"/>
    <x v="0"/>
    <x v="2"/>
    <x v="0"/>
    <n v="49"/>
    <n v="47.72"/>
    <n v="5"/>
    <x v="160"/>
    <x v="4"/>
    <x v="0"/>
  </r>
  <r>
    <x v="162"/>
    <x v="148"/>
    <x v="158"/>
    <x v="0"/>
    <x v="17"/>
    <x v="2"/>
    <x v="0"/>
    <n v="16"/>
    <n v="138.99"/>
    <n v="0"/>
    <x v="161"/>
    <x v="4"/>
    <x v="0"/>
  </r>
  <r>
    <x v="163"/>
    <x v="149"/>
    <x v="159"/>
    <x v="1"/>
    <x v="19"/>
    <x v="2"/>
    <x v="0"/>
    <n v="12"/>
    <n v="199.96"/>
    <n v="5"/>
    <x v="162"/>
    <x v="4"/>
    <x v="1"/>
  </r>
  <r>
    <x v="164"/>
    <x v="150"/>
    <x v="160"/>
    <x v="2"/>
    <x v="8"/>
    <x v="2"/>
    <x v="0"/>
    <n v="31"/>
    <n v="84.99"/>
    <n v="5"/>
    <x v="163"/>
    <x v="2"/>
    <x v="1"/>
  </r>
  <r>
    <x v="165"/>
    <x v="151"/>
    <x v="161"/>
    <x v="1"/>
    <x v="2"/>
    <x v="2"/>
    <x v="0"/>
    <n v="13"/>
    <n v="198.05"/>
    <n v="0"/>
    <x v="164"/>
    <x v="0"/>
    <x v="0"/>
  </r>
  <r>
    <x v="166"/>
    <x v="97"/>
    <x v="162"/>
    <x v="0"/>
    <x v="1"/>
    <x v="2"/>
    <x v="0"/>
    <n v="14"/>
    <n v="197.75"/>
    <n v="5"/>
    <x v="165"/>
    <x v="3"/>
    <x v="1"/>
  </r>
  <r>
    <x v="167"/>
    <x v="129"/>
    <x v="163"/>
    <x v="3"/>
    <x v="7"/>
    <x v="2"/>
    <x v="0"/>
    <n v="50"/>
    <n v="60.71"/>
    <n v="10"/>
    <x v="166"/>
    <x v="4"/>
    <x v="1"/>
  </r>
  <r>
    <x v="168"/>
    <x v="144"/>
    <x v="129"/>
    <x v="2"/>
    <x v="15"/>
    <x v="2"/>
    <x v="0"/>
    <n v="36"/>
    <n v="97.3"/>
    <n v="10"/>
    <x v="167"/>
    <x v="3"/>
    <x v="0"/>
  </r>
  <r>
    <x v="169"/>
    <x v="152"/>
    <x v="164"/>
    <x v="0"/>
    <x v="11"/>
    <x v="2"/>
    <x v="0"/>
    <n v="26"/>
    <n v="124.48"/>
    <n v="0"/>
    <x v="168"/>
    <x v="4"/>
    <x v="0"/>
  </r>
  <r>
    <x v="170"/>
    <x v="153"/>
    <x v="165"/>
    <x v="2"/>
    <x v="8"/>
    <x v="2"/>
    <x v="0"/>
    <n v="19"/>
    <n v="193.23"/>
    <n v="10"/>
    <x v="169"/>
    <x v="0"/>
    <x v="1"/>
  </r>
  <r>
    <x v="171"/>
    <x v="98"/>
    <x v="166"/>
    <x v="0"/>
    <x v="17"/>
    <x v="2"/>
    <x v="0"/>
    <n v="36"/>
    <n v="93.14"/>
    <n v="0"/>
    <x v="170"/>
    <x v="3"/>
    <x v="0"/>
  </r>
  <r>
    <x v="172"/>
    <x v="33"/>
    <x v="167"/>
    <x v="2"/>
    <x v="12"/>
    <x v="2"/>
    <x v="0"/>
    <n v="40"/>
    <n v="106.04"/>
    <n v="20"/>
    <x v="171"/>
    <x v="0"/>
    <x v="1"/>
  </r>
  <r>
    <x v="173"/>
    <x v="154"/>
    <x v="168"/>
    <x v="2"/>
    <x v="15"/>
    <x v="2"/>
    <x v="0"/>
    <n v="32"/>
    <n v="118.28"/>
    <n v="10"/>
    <x v="172"/>
    <x v="4"/>
    <x v="1"/>
  </r>
  <r>
    <x v="174"/>
    <x v="155"/>
    <x v="169"/>
    <x v="0"/>
    <x v="11"/>
    <x v="2"/>
    <x v="0"/>
    <n v="45"/>
    <n v="98.8"/>
    <n v="15"/>
    <x v="173"/>
    <x v="0"/>
    <x v="0"/>
  </r>
  <r>
    <x v="175"/>
    <x v="156"/>
    <x v="170"/>
    <x v="0"/>
    <x v="11"/>
    <x v="2"/>
    <x v="0"/>
    <n v="26"/>
    <n v="195.27"/>
    <n v="20"/>
    <x v="174"/>
    <x v="2"/>
    <x v="0"/>
  </r>
  <r>
    <x v="176"/>
    <x v="157"/>
    <x v="171"/>
    <x v="1"/>
    <x v="9"/>
    <x v="2"/>
    <x v="0"/>
    <n v="24"/>
    <n v="178.39"/>
    <n v="5"/>
    <x v="175"/>
    <x v="1"/>
    <x v="1"/>
  </r>
  <r>
    <x v="177"/>
    <x v="158"/>
    <x v="172"/>
    <x v="1"/>
    <x v="9"/>
    <x v="2"/>
    <x v="0"/>
    <n v="34"/>
    <n v="121.26"/>
    <n v="0"/>
    <x v="176"/>
    <x v="1"/>
    <x v="0"/>
  </r>
  <r>
    <x v="178"/>
    <x v="159"/>
    <x v="173"/>
    <x v="1"/>
    <x v="5"/>
    <x v="2"/>
    <x v="0"/>
    <n v="39"/>
    <n v="107.46"/>
    <n v="0"/>
    <x v="177"/>
    <x v="2"/>
    <x v="1"/>
  </r>
  <r>
    <x v="179"/>
    <x v="160"/>
    <x v="174"/>
    <x v="3"/>
    <x v="4"/>
    <x v="2"/>
    <x v="0"/>
    <n v="45"/>
    <n v="112.31"/>
    <n v="15"/>
    <x v="178"/>
    <x v="2"/>
    <x v="0"/>
  </r>
  <r>
    <x v="180"/>
    <x v="131"/>
    <x v="175"/>
    <x v="2"/>
    <x v="15"/>
    <x v="2"/>
    <x v="0"/>
    <n v="45"/>
    <n v="106.5"/>
    <n v="5"/>
    <x v="179"/>
    <x v="4"/>
    <x v="0"/>
  </r>
  <r>
    <x v="181"/>
    <x v="161"/>
    <x v="176"/>
    <x v="1"/>
    <x v="5"/>
    <x v="2"/>
    <x v="0"/>
    <n v="28"/>
    <n v="163.62"/>
    <n v="0"/>
    <x v="180"/>
    <x v="4"/>
    <x v="0"/>
  </r>
  <r>
    <x v="182"/>
    <x v="32"/>
    <x v="177"/>
    <x v="2"/>
    <x v="3"/>
    <x v="2"/>
    <x v="0"/>
    <n v="26"/>
    <n v="184.86"/>
    <n v="0"/>
    <x v="181"/>
    <x v="4"/>
    <x v="0"/>
  </r>
  <r>
    <x v="183"/>
    <x v="69"/>
    <x v="178"/>
    <x v="3"/>
    <x v="4"/>
    <x v="2"/>
    <x v="0"/>
    <n v="33"/>
    <n v="171.98"/>
    <n v="10"/>
    <x v="182"/>
    <x v="4"/>
    <x v="0"/>
  </r>
  <r>
    <x v="184"/>
    <x v="124"/>
    <x v="84"/>
    <x v="2"/>
    <x v="12"/>
    <x v="2"/>
    <x v="0"/>
    <n v="48"/>
    <n v="130.91"/>
    <n v="15"/>
    <x v="183"/>
    <x v="4"/>
    <x v="0"/>
  </r>
  <r>
    <x v="185"/>
    <x v="162"/>
    <x v="179"/>
    <x v="1"/>
    <x v="9"/>
    <x v="2"/>
    <x v="0"/>
    <n v="46"/>
    <n v="149.07"/>
    <n v="15"/>
    <x v="184"/>
    <x v="4"/>
    <x v="1"/>
  </r>
  <r>
    <x v="186"/>
    <x v="163"/>
    <x v="180"/>
    <x v="2"/>
    <x v="13"/>
    <x v="2"/>
    <x v="0"/>
    <n v="48"/>
    <n v="121.88"/>
    <n v="0"/>
    <x v="185"/>
    <x v="0"/>
    <x v="0"/>
  </r>
  <r>
    <x v="187"/>
    <x v="58"/>
    <x v="181"/>
    <x v="1"/>
    <x v="9"/>
    <x v="2"/>
    <x v="0"/>
    <n v="33"/>
    <n v="191.36"/>
    <n v="5"/>
    <x v="186"/>
    <x v="4"/>
    <x v="0"/>
  </r>
  <r>
    <x v="188"/>
    <x v="164"/>
    <x v="182"/>
    <x v="1"/>
    <x v="19"/>
    <x v="2"/>
    <x v="0"/>
    <n v="47"/>
    <n v="174.18"/>
    <n v="0"/>
    <x v="187"/>
    <x v="1"/>
    <x v="0"/>
  </r>
  <r>
    <x v="189"/>
    <x v="66"/>
    <x v="183"/>
    <x v="2"/>
    <x v="13"/>
    <x v="2"/>
    <x v="0"/>
    <n v="49"/>
    <n v="186.21"/>
    <n v="0"/>
    <x v="188"/>
    <x v="0"/>
    <x v="0"/>
  </r>
  <r>
    <x v="190"/>
    <x v="165"/>
    <x v="184"/>
    <x v="1"/>
    <x v="5"/>
    <x v="3"/>
    <x v="0"/>
    <n v="2"/>
    <n v="24.7"/>
    <n v="20"/>
    <x v="189"/>
    <x v="2"/>
    <x v="0"/>
  </r>
  <r>
    <x v="191"/>
    <x v="166"/>
    <x v="185"/>
    <x v="1"/>
    <x v="2"/>
    <x v="3"/>
    <x v="0"/>
    <n v="1"/>
    <n v="42.29"/>
    <n v="0"/>
    <x v="190"/>
    <x v="4"/>
    <x v="0"/>
  </r>
  <r>
    <x v="192"/>
    <x v="167"/>
    <x v="186"/>
    <x v="1"/>
    <x v="18"/>
    <x v="3"/>
    <x v="0"/>
    <n v="2"/>
    <n v="41.55"/>
    <n v="20"/>
    <x v="191"/>
    <x v="3"/>
    <x v="0"/>
  </r>
  <r>
    <x v="193"/>
    <x v="168"/>
    <x v="139"/>
    <x v="0"/>
    <x v="11"/>
    <x v="3"/>
    <x v="0"/>
    <n v="4"/>
    <n v="28.57"/>
    <n v="15"/>
    <x v="192"/>
    <x v="0"/>
    <x v="1"/>
  </r>
  <r>
    <x v="194"/>
    <x v="169"/>
    <x v="187"/>
    <x v="0"/>
    <x v="1"/>
    <x v="3"/>
    <x v="0"/>
    <n v="3"/>
    <n v="41.58"/>
    <n v="5"/>
    <x v="193"/>
    <x v="4"/>
    <x v="1"/>
  </r>
  <r>
    <x v="195"/>
    <x v="170"/>
    <x v="188"/>
    <x v="0"/>
    <x v="11"/>
    <x v="3"/>
    <x v="0"/>
    <n v="3"/>
    <n v="44.31"/>
    <n v="10"/>
    <x v="194"/>
    <x v="2"/>
    <x v="0"/>
  </r>
  <r>
    <x v="196"/>
    <x v="171"/>
    <x v="189"/>
    <x v="3"/>
    <x v="7"/>
    <x v="3"/>
    <x v="0"/>
    <n v="4"/>
    <n v="30.72"/>
    <n v="0"/>
    <x v="195"/>
    <x v="4"/>
    <x v="1"/>
  </r>
  <r>
    <x v="197"/>
    <x v="172"/>
    <x v="190"/>
    <x v="2"/>
    <x v="3"/>
    <x v="3"/>
    <x v="0"/>
    <n v="10"/>
    <n v="15.82"/>
    <n v="15"/>
    <x v="196"/>
    <x v="2"/>
    <x v="0"/>
  </r>
  <r>
    <x v="198"/>
    <x v="173"/>
    <x v="191"/>
    <x v="0"/>
    <x v="11"/>
    <x v="3"/>
    <x v="0"/>
    <n v="9"/>
    <n v="16.32"/>
    <n v="5"/>
    <x v="197"/>
    <x v="4"/>
    <x v="0"/>
  </r>
  <r>
    <x v="199"/>
    <x v="119"/>
    <x v="192"/>
    <x v="3"/>
    <x v="7"/>
    <x v="3"/>
    <x v="0"/>
    <n v="4"/>
    <n v="38.56"/>
    <n v="0"/>
    <x v="198"/>
    <x v="4"/>
    <x v="1"/>
  </r>
  <r>
    <x v="200"/>
    <x v="79"/>
    <x v="193"/>
    <x v="3"/>
    <x v="7"/>
    <x v="3"/>
    <x v="0"/>
    <n v="7"/>
    <n v="28.55"/>
    <n v="5"/>
    <x v="199"/>
    <x v="0"/>
    <x v="0"/>
  </r>
  <r>
    <x v="201"/>
    <x v="132"/>
    <x v="194"/>
    <x v="0"/>
    <x v="17"/>
    <x v="3"/>
    <x v="0"/>
    <n v="13"/>
    <n v="15.1"/>
    <n v="0"/>
    <x v="200"/>
    <x v="2"/>
    <x v="0"/>
  </r>
  <r>
    <x v="202"/>
    <x v="174"/>
    <x v="195"/>
    <x v="1"/>
    <x v="18"/>
    <x v="3"/>
    <x v="0"/>
    <n v="12"/>
    <n v="19.53"/>
    <n v="10"/>
    <x v="201"/>
    <x v="3"/>
    <x v="1"/>
  </r>
  <r>
    <x v="203"/>
    <x v="175"/>
    <x v="111"/>
    <x v="3"/>
    <x v="7"/>
    <x v="3"/>
    <x v="0"/>
    <n v="5"/>
    <n v="42.76"/>
    <n v="0"/>
    <x v="202"/>
    <x v="0"/>
    <x v="1"/>
  </r>
  <r>
    <x v="204"/>
    <x v="176"/>
    <x v="196"/>
    <x v="0"/>
    <x v="14"/>
    <x v="3"/>
    <x v="0"/>
    <n v="16"/>
    <n v="16.41"/>
    <n v="15"/>
    <x v="203"/>
    <x v="3"/>
    <x v="0"/>
  </r>
  <r>
    <x v="205"/>
    <x v="177"/>
    <x v="197"/>
    <x v="0"/>
    <x v="1"/>
    <x v="3"/>
    <x v="0"/>
    <n v="13"/>
    <n v="18.61"/>
    <n v="0"/>
    <x v="204"/>
    <x v="1"/>
    <x v="0"/>
  </r>
  <r>
    <x v="206"/>
    <x v="178"/>
    <x v="4"/>
    <x v="2"/>
    <x v="12"/>
    <x v="3"/>
    <x v="0"/>
    <n v="8"/>
    <n v="35.86"/>
    <n v="10"/>
    <x v="205"/>
    <x v="1"/>
    <x v="0"/>
  </r>
  <r>
    <x v="207"/>
    <x v="179"/>
    <x v="198"/>
    <x v="2"/>
    <x v="12"/>
    <x v="3"/>
    <x v="0"/>
    <n v="15"/>
    <n v="19.809999999999999"/>
    <n v="0"/>
    <x v="206"/>
    <x v="2"/>
    <x v="0"/>
  </r>
  <r>
    <x v="208"/>
    <x v="180"/>
    <x v="199"/>
    <x v="2"/>
    <x v="12"/>
    <x v="3"/>
    <x v="0"/>
    <n v="20"/>
    <n v="15.8"/>
    <n v="0"/>
    <x v="207"/>
    <x v="3"/>
    <x v="0"/>
  </r>
  <r>
    <x v="209"/>
    <x v="59"/>
    <x v="200"/>
    <x v="2"/>
    <x v="3"/>
    <x v="3"/>
    <x v="0"/>
    <n v="22"/>
    <n v="15.86"/>
    <n v="0"/>
    <x v="208"/>
    <x v="0"/>
    <x v="1"/>
  </r>
  <r>
    <x v="210"/>
    <x v="181"/>
    <x v="201"/>
    <x v="2"/>
    <x v="8"/>
    <x v="3"/>
    <x v="0"/>
    <n v="27"/>
    <n v="17.010000000000002"/>
    <n v="20"/>
    <x v="209"/>
    <x v="2"/>
    <x v="0"/>
  </r>
  <r>
    <x v="211"/>
    <x v="20"/>
    <x v="202"/>
    <x v="1"/>
    <x v="18"/>
    <x v="3"/>
    <x v="0"/>
    <n v="13"/>
    <n v="29.92"/>
    <n v="5"/>
    <x v="210"/>
    <x v="0"/>
    <x v="0"/>
  </r>
  <r>
    <x v="212"/>
    <x v="155"/>
    <x v="203"/>
    <x v="2"/>
    <x v="3"/>
    <x v="3"/>
    <x v="0"/>
    <n v="10"/>
    <n v="39.36"/>
    <n v="5"/>
    <x v="211"/>
    <x v="3"/>
    <x v="0"/>
  </r>
  <r>
    <x v="213"/>
    <x v="182"/>
    <x v="204"/>
    <x v="3"/>
    <x v="16"/>
    <x v="3"/>
    <x v="0"/>
    <n v="25"/>
    <n v="15.01"/>
    <n v="0"/>
    <x v="212"/>
    <x v="3"/>
    <x v="0"/>
  </r>
  <r>
    <x v="214"/>
    <x v="183"/>
    <x v="205"/>
    <x v="1"/>
    <x v="19"/>
    <x v="3"/>
    <x v="0"/>
    <n v="9"/>
    <n v="43.94"/>
    <n v="0"/>
    <x v="213"/>
    <x v="0"/>
    <x v="0"/>
  </r>
  <r>
    <x v="215"/>
    <x v="184"/>
    <x v="0"/>
    <x v="1"/>
    <x v="19"/>
    <x v="3"/>
    <x v="0"/>
    <n v="26"/>
    <n v="17.09"/>
    <n v="10"/>
    <x v="214"/>
    <x v="2"/>
    <x v="0"/>
  </r>
  <r>
    <x v="216"/>
    <x v="185"/>
    <x v="206"/>
    <x v="3"/>
    <x v="10"/>
    <x v="3"/>
    <x v="0"/>
    <n v="20"/>
    <n v="22.38"/>
    <n v="10"/>
    <x v="215"/>
    <x v="4"/>
    <x v="0"/>
  </r>
  <r>
    <x v="217"/>
    <x v="186"/>
    <x v="207"/>
    <x v="1"/>
    <x v="5"/>
    <x v="3"/>
    <x v="0"/>
    <n v="17"/>
    <n v="25.18"/>
    <n v="5"/>
    <x v="216"/>
    <x v="0"/>
    <x v="0"/>
  </r>
  <r>
    <x v="218"/>
    <x v="187"/>
    <x v="208"/>
    <x v="1"/>
    <x v="5"/>
    <x v="3"/>
    <x v="0"/>
    <n v="26"/>
    <n v="18.350000000000001"/>
    <n v="10"/>
    <x v="217"/>
    <x v="3"/>
    <x v="0"/>
  </r>
  <r>
    <x v="219"/>
    <x v="188"/>
    <x v="209"/>
    <x v="2"/>
    <x v="12"/>
    <x v="3"/>
    <x v="0"/>
    <n v="21"/>
    <n v="25.15"/>
    <n v="15"/>
    <x v="218"/>
    <x v="1"/>
    <x v="0"/>
  </r>
  <r>
    <x v="220"/>
    <x v="189"/>
    <x v="210"/>
    <x v="2"/>
    <x v="13"/>
    <x v="3"/>
    <x v="0"/>
    <n v="20"/>
    <n v="27.13"/>
    <n v="15"/>
    <x v="219"/>
    <x v="3"/>
    <x v="0"/>
  </r>
  <r>
    <x v="221"/>
    <x v="73"/>
    <x v="211"/>
    <x v="1"/>
    <x v="2"/>
    <x v="3"/>
    <x v="0"/>
    <n v="19"/>
    <n v="28.02"/>
    <n v="10"/>
    <x v="220"/>
    <x v="0"/>
    <x v="1"/>
  </r>
  <r>
    <x v="222"/>
    <x v="190"/>
    <x v="212"/>
    <x v="1"/>
    <x v="9"/>
    <x v="3"/>
    <x v="0"/>
    <n v="39"/>
    <n v="15.07"/>
    <n v="15"/>
    <x v="221"/>
    <x v="2"/>
    <x v="0"/>
  </r>
  <r>
    <x v="223"/>
    <x v="191"/>
    <x v="213"/>
    <x v="2"/>
    <x v="8"/>
    <x v="3"/>
    <x v="0"/>
    <n v="27"/>
    <n v="20.21"/>
    <n v="5"/>
    <x v="222"/>
    <x v="3"/>
    <x v="1"/>
  </r>
  <r>
    <x v="224"/>
    <x v="192"/>
    <x v="214"/>
    <x v="1"/>
    <x v="9"/>
    <x v="3"/>
    <x v="0"/>
    <n v="27"/>
    <n v="20.62"/>
    <n v="0"/>
    <x v="223"/>
    <x v="4"/>
    <x v="0"/>
  </r>
  <r>
    <x v="225"/>
    <x v="193"/>
    <x v="215"/>
    <x v="3"/>
    <x v="6"/>
    <x v="3"/>
    <x v="0"/>
    <n v="15"/>
    <n v="44.44"/>
    <n v="15"/>
    <x v="224"/>
    <x v="2"/>
    <x v="0"/>
  </r>
  <r>
    <x v="226"/>
    <x v="165"/>
    <x v="216"/>
    <x v="1"/>
    <x v="2"/>
    <x v="3"/>
    <x v="0"/>
    <n v="25"/>
    <n v="23.18"/>
    <n v="0"/>
    <x v="225"/>
    <x v="4"/>
    <x v="1"/>
  </r>
  <r>
    <x v="227"/>
    <x v="44"/>
    <x v="146"/>
    <x v="0"/>
    <x v="17"/>
    <x v="3"/>
    <x v="0"/>
    <n v="28"/>
    <n v="24.2"/>
    <n v="10"/>
    <x v="226"/>
    <x v="1"/>
    <x v="0"/>
  </r>
  <r>
    <x v="228"/>
    <x v="194"/>
    <x v="217"/>
    <x v="3"/>
    <x v="16"/>
    <x v="3"/>
    <x v="0"/>
    <n v="14"/>
    <n v="44.34"/>
    <n v="0"/>
    <x v="227"/>
    <x v="2"/>
    <x v="0"/>
  </r>
  <r>
    <x v="229"/>
    <x v="195"/>
    <x v="218"/>
    <x v="2"/>
    <x v="12"/>
    <x v="3"/>
    <x v="0"/>
    <n v="39"/>
    <n v="17.22"/>
    <n v="5"/>
    <x v="228"/>
    <x v="4"/>
    <x v="0"/>
  </r>
  <r>
    <x v="230"/>
    <x v="196"/>
    <x v="219"/>
    <x v="1"/>
    <x v="19"/>
    <x v="3"/>
    <x v="0"/>
    <n v="23"/>
    <n v="28.45"/>
    <n v="0"/>
    <x v="229"/>
    <x v="1"/>
    <x v="0"/>
  </r>
  <r>
    <x v="231"/>
    <x v="25"/>
    <x v="220"/>
    <x v="1"/>
    <x v="5"/>
    <x v="3"/>
    <x v="0"/>
    <n v="28"/>
    <n v="23.83"/>
    <n v="0"/>
    <x v="230"/>
    <x v="4"/>
    <x v="1"/>
  </r>
  <r>
    <x v="232"/>
    <x v="44"/>
    <x v="221"/>
    <x v="1"/>
    <x v="5"/>
    <x v="3"/>
    <x v="0"/>
    <n v="43"/>
    <n v="18.829999999999998"/>
    <n v="15"/>
    <x v="231"/>
    <x v="1"/>
    <x v="0"/>
  </r>
  <r>
    <x v="233"/>
    <x v="197"/>
    <x v="222"/>
    <x v="0"/>
    <x v="14"/>
    <x v="3"/>
    <x v="0"/>
    <n v="24"/>
    <n v="29.43"/>
    <n v="0"/>
    <x v="232"/>
    <x v="2"/>
    <x v="0"/>
  </r>
  <r>
    <x v="234"/>
    <x v="120"/>
    <x v="223"/>
    <x v="3"/>
    <x v="6"/>
    <x v="3"/>
    <x v="0"/>
    <n v="24"/>
    <n v="30.87"/>
    <n v="0"/>
    <x v="233"/>
    <x v="1"/>
    <x v="0"/>
  </r>
  <r>
    <x v="235"/>
    <x v="198"/>
    <x v="224"/>
    <x v="3"/>
    <x v="4"/>
    <x v="3"/>
    <x v="0"/>
    <n v="37"/>
    <n v="22.3"/>
    <n v="10"/>
    <x v="234"/>
    <x v="0"/>
    <x v="0"/>
  </r>
  <r>
    <x v="236"/>
    <x v="199"/>
    <x v="225"/>
    <x v="1"/>
    <x v="9"/>
    <x v="3"/>
    <x v="0"/>
    <n v="21"/>
    <n v="40.14"/>
    <n v="10"/>
    <x v="235"/>
    <x v="4"/>
    <x v="0"/>
  </r>
  <r>
    <x v="237"/>
    <x v="200"/>
    <x v="226"/>
    <x v="2"/>
    <x v="13"/>
    <x v="3"/>
    <x v="0"/>
    <n v="24"/>
    <n v="34.01"/>
    <n v="5"/>
    <x v="236"/>
    <x v="2"/>
    <x v="0"/>
  </r>
  <r>
    <x v="238"/>
    <x v="201"/>
    <x v="227"/>
    <x v="0"/>
    <x v="14"/>
    <x v="3"/>
    <x v="0"/>
    <n v="46"/>
    <n v="20.75"/>
    <n v="15"/>
    <x v="237"/>
    <x v="4"/>
    <x v="0"/>
  </r>
  <r>
    <x v="239"/>
    <x v="202"/>
    <x v="228"/>
    <x v="1"/>
    <x v="19"/>
    <x v="3"/>
    <x v="0"/>
    <n v="27"/>
    <n v="30.57"/>
    <n v="0"/>
    <x v="238"/>
    <x v="2"/>
    <x v="1"/>
  </r>
  <r>
    <x v="240"/>
    <x v="203"/>
    <x v="229"/>
    <x v="0"/>
    <x v="17"/>
    <x v="3"/>
    <x v="0"/>
    <n v="39"/>
    <n v="23.88"/>
    <n v="10"/>
    <x v="239"/>
    <x v="3"/>
    <x v="0"/>
  </r>
  <r>
    <x v="241"/>
    <x v="83"/>
    <x v="230"/>
    <x v="1"/>
    <x v="18"/>
    <x v="3"/>
    <x v="0"/>
    <n v="39"/>
    <n v="28.09"/>
    <n v="20"/>
    <x v="240"/>
    <x v="0"/>
    <x v="0"/>
  </r>
  <r>
    <x v="242"/>
    <x v="204"/>
    <x v="231"/>
    <x v="0"/>
    <x v="14"/>
    <x v="3"/>
    <x v="0"/>
    <n v="43"/>
    <n v="20.46"/>
    <n v="0"/>
    <x v="241"/>
    <x v="4"/>
    <x v="0"/>
  </r>
  <r>
    <x v="243"/>
    <x v="205"/>
    <x v="232"/>
    <x v="3"/>
    <x v="4"/>
    <x v="3"/>
    <x v="0"/>
    <n v="29"/>
    <n v="35.76"/>
    <n v="15"/>
    <x v="242"/>
    <x v="0"/>
    <x v="0"/>
  </r>
  <r>
    <x v="244"/>
    <x v="112"/>
    <x v="233"/>
    <x v="1"/>
    <x v="2"/>
    <x v="3"/>
    <x v="0"/>
    <n v="25"/>
    <n v="39.950000000000003"/>
    <n v="10"/>
    <x v="243"/>
    <x v="4"/>
    <x v="0"/>
  </r>
  <r>
    <x v="245"/>
    <x v="150"/>
    <x v="234"/>
    <x v="1"/>
    <x v="9"/>
    <x v="3"/>
    <x v="0"/>
    <n v="29"/>
    <n v="34.770000000000003"/>
    <n v="10"/>
    <x v="244"/>
    <x v="3"/>
    <x v="1"/>
  </r>
  <r>
    <x v="246"/>
    <x v="187"/>
    <x v="235"/>
    <x v="3"/>
    <x v="4"/>
    <x v="3"/>
    <x v="0"/>
    <n v="41"/>
    <n v="22.26"/>
    <n v="0"/>
    <x v="245"/>
    <x v="3"/>
    <x v="0"/>
  </r>
  <r>
    <x v="247"/>
    <x v="206"/>
    <x v="236"/>
    <x v="3"/>
    <x v="6"/>
    <x v="3"/>
    <x v="0"/>
    <n v="21"/>
    <n v="43.86"/>
    <n v="0"/>
    <x v="246"/>
    <x v="1"/>
    <x v="0"/>
  </r>
  <r>
    <x v="248"/>
    <x v="207"/>
    <x v="237"/>
    <x v="2"/>
    <x v="3"/>
    <x v="3"/>
    <x v="0"/>
    <n v="38"/>
    <n v="28.56"/>
    <n v="15"/>
    <x v="247"/>
    <x v="3"/>
    <x v="0"/>
  </r>
  <r>
    <x v="249"/>
    <x v="208"/>
    <x v="37"/>
    <x v="2"/>
    <x v="3"/>
    <x v="3"/>
    <x v="0"/>
    <n v="32"/>
    <n v="31.82"/>
    <n v="0"/>
    <x v="248"/>
    <x v="2"/>
    <x v="0"/>
  </r>
  <r>
    <x v="250"/>
    <x v="90"/>
    <x v="238"/>
    <x v="3"/>
    <x v="16"/>
    <x v="3"/>
    <x v="0"/>
    <n v="28"/>
    <n v="44.47"/>
    <n v="15"/>
    <x v="249"/>
    <x v="4"/>
    <x v="0"/>
  </r>
  <r>
    <x v="251"/>
    <x v="209"/>
    <x v="239"/>
    <x v="0"/>
    <x v="11"/>
    <x v="3"/>
    <x v="0"/>
    <n v="26"/>
    <n v="42.42"/>
    <n v="0"/>
    <x v="250"/>
    <x v="4"/>
    <x v="0"/>
  </r>
  <r>
    <x v="252"/>
    <x v="210"/>
    <x v="240"/>
    <x v="2"/>
    <x v="12"/>
    <x v="3"/>
    <x v="0"/>
    <n v="44"/>
    <n v="25.44"/>
    <n v="0"/>
    <x v="251"/>
    <x v="2"/>
    <x v="1"/>
  </r>
  <r>
    <x v="253"/>
    <x v="150"/>
    <x v="241"/>
    <x v="0"/>
    <x v="1"/>
    <x v="3"/>
    <x v="0"/>
    <n v="40"/>
    <n v="35.619999999999997"/>
    <n v="20"/>
    <x v="28"/>
    <x v="0"/>
    <x v="0"/>
  </r>
  <r>
    <x v="254"/>
    <x v="211"/>
    <x v="85"/>
    <x v="0"/>
    <x v="1"/>
    <x v="3"/>
    <x v="0"/>
    <n v="42"/>
    <n v="27.97"/>
    <n v="0"/>
    <x v="252"/>
    <x v="0"/>
    <x v="0"/>
  </r>
  <r>
    <x v="255"/>
    <x v="212"/>
    <x v="242"/>
    <x v="2"/>
    <x v="15"/>
    <x v="3"/>
    <x v="0"/>
    <n v="39"/>
    <n v="33.93"/>
    <n v="10"/>
    <x v="253"/>
    <x v="0"/>
    <x v="1"/>
  </r>
  <r>
    <x v="256"/>
    <x v="117"/>
    <x v="243"/>
    <x v="2"/>
    <x v="15"/>
    <x v="3"/>
    <x v="0"/>
    <n v="45"/>
    <n v="29.49"/>
    <n v="10"/>
    <x v="254"/>
    <x v="2"/>
    <x v="0"/>
  </r>
  <r>
    <x v="257"/>
    <x v="202"/>
    <x v="244"/>
    <x v="2"/>
    <x v="15"/>
    <x v="3"/>
    <x v="0"/>
    <n v="45"/>
    <n v="26.74"/>
    <n v="0"/>
    <x v="255"/>
    <x v="3"/>
    <x v="0"/>
  </r>
  <r>
    <x v="258"/>
    <x v="56"/>
    <x v="245"/>
    <x v="1"/>
    <x v="19"/>
    <x v="3"/>
    <x v="0"/>
    <n v="37"/>
    <n v="38.549999999999997"/>
    <n v="15"/>
    <x v="256"/>
    <x v="3"/>
    <x v="0"/>
  </r>
  <r>
    <x v="259"/>
    <x v="213"/>
    <x v="246"/>
    <x v="1"/>
    <x v="5"/>
    <x v="3"/>
    <x v="0"/>
    <n v="29"/>
    <n v="42.06"/>
    <n v="0"/>
    <x v="257"/>
    <x v="4"/>
    <x v="1"/>
  </r>
  <r>
    <x v="260"/>
    <x v="214"/>
    <x v="247"/>
    <x v="3"/>
    <x v="7"/>
    <x v="3"/>
    <x v="0"/>
    <n v="34"/>
    <n v="36.700000000000003"/>
    <n v="0"/>
    <x v="258"/>
    <x v="0"/>
    <x v="0"/>
  </r>
  <r>
    <x v="261"/>
    <x v="215"/>
    <x v="248"/>
    <x v="3"/>
    <x v="16"/>
    <x v="3"/>
    <x v="0"/>
    <n v="32"/>
    <n v="43.7"/>
    <n v="10"/>
    <x v="259"/>
    <x v="1"/>
    <x v="0"/>
  </r>
  <r>
    <x v="262"/>
    <x v="216"/>
    <x v="249"/>
    <x v="0"/>
    <x v="1"/>
    <x v="3"/>
    <x v="0"/>
    <n v="30"/>
    <n v="42.09"/>
    <n v="0"/>
    <x v="260"/>
    <x v="4"/>
    <x v="0"/>
  </r>
  <r>
    <x v="263"/>
    <x v="217"/>
    <x v="250"/>
    <x v="1"/>
    <x v="18"/>
    <x v="3"/>
    <x v="0"/>
    <n v="43"/>
    <n v="29.4"/>
    <n v="0"/>
    <x v="261"/>
    <x v="3"/>
    <x v="0"/>
  </r>
  <r>
    <x v="264"/>
    <x v="91"/>
    <x v="251"/>
    <x v="2"/>
    <x v="12"/>
    <x v="3"/>
    <x v="0"/>
    <n v="40"/>
    <n v="33.57"/>
    <n v="5"/>
    <x v="262"/>
    <x v="2"/>
    <x v="0"/>
  </r>
  <r>
    <x v="265"/>
    <x v="218"/>
    <x v="252"/>
    <x v="3"/>
    <x v="6"/>
    <x v="3"/>
    <x v="0"/>
    <n v="33"/>
    <n v="42.6"/>
    <n v="0"/>
    <x v="263"/>
    <x v="2"/>
    <x v="0"/>
  </r>
  <r>
    <x v="266"/>
    <x v="219"/>
    <x v="253"/>
    <x v="3"/>
    <x v="7"/>
    <x v="3"/>
    <x v="0"/>
    <n v="41"/>
    <n v="34.549999999999997"/>
    <n v="0"/>
    <x v="264"/>
    <x v="2"/>
    <x v="1"/>
  </r>
  <r>
    <x v="267"/>
    <x v="220"/>
    <x v="126"/>
    <x v="3"/>
    <x v="16"/>
    <x v="3"/>
    <x v="0"/>
    <n v="47"/>
    <n v="33.880000000000003"/>
    <n v="5"/>
    <x v="265"/>
    <x v="2"/>
    <x v="1"/>
  </r>
  <r>
    <x v="268"/>
    <x v="61"/>
    <x v="254"/>
    <x v="1"/>
    <x v="2"/>
    <x v="3"/>
    <x v="0"/>
    <n v="48"/>
    <n v="40.21"/>
    <n v="20"/>
    <x v="266"/>
    <x v="0"/>
    <x v="0"/>
  </r>
  <r>
    <x v="269"/>
    <x v="221"/>
    <x v="255"/>
    <x v="0"/>
    <x v="11"/>
    <x v="3"/>
    <x v="0"/>
    <n v="41"/>
    <n v="43.17"/>
    <n v="10"/>
    <x v="267"/>
    <x v="3"/>
    <x v="0"/>
  </r>
  <r>
    <x v="270"/>
    <x v="105"/>
    <x v="256"/>
    <x v="3"/>
    <x v="16"/>
    <x v="3"/>
    <x v="0"/>
    <n v="40"/>
    <n v="43.23"/>
    <n v="0"/>
    <x v="268"/>
    <x v="2"/>
    <x v="0"/>
  </r>
  <r>
    <x v="271"/>
    <x v="132"/>
    <x v="257"/>
    <x v="3"/>
    <x v="7"/>
    <x v="3"/>
    <x v="0"/>
    <n v="41"/>
    <n v="44.41"/>
    <n v="0"/>
    <x v="269"/>
    <x v="2"/>
    <x v="0"/>
  </r>
  <r>
    <x v="272"/>
    <x v="5"/>
    <x v="160"/>
    <x v="1"/>
    <x v="19"/>
    <x v="3"/>
    <x v="0"/>
    <n v="41"/>
    <n v="44.98"/>
    <n v="0"/>
    <x v="270"/>
    <x v="0"/>
    <x v="0"/>
  </r>
  <r>
    <x v="273"/>
    <x v="222"/>
    <x v="258"/>
    <x v="0"/>
    <x v="14"/>
    <x v="3"/>
    <x v="0"/>
    <n v="50"/>
    <n v="42.28"/>
    <n v="5"/>
    <x v="271"/>
    <x v="1"/>
    <x v="0"/>
  </r>
  <r>
    <x v="274"/>
    <x v="97"/>
    <x v="259"/>
    <x v="0"/>
    <x v="11"/>
    <x v="3"/>
    <x v="0"/>
    <n v="48"/>
    <n v="41.84"/>
    <n v="0"/>
    <x v="272"/>
    <x v="4"/>
    <x v="0"/>
  </r>
  <r>
    <x v="275"/>
    <x v="223"/>
    <x v="260"/>
    <x v="1"/>
    <x v="5"/>
    <x v="4"/>
    <x v="0"/>
    <n v="1"/>
    <n v="26.83"/>
    <n v="0"/>
    <x v="273"/>
    <x v="3"/>
    <x v="0"/>
  </r>
  <r>
    <x v="276"/>
    <x v="224"/>
    <x v="261"/>
    <x v="1"/>
    <x v="2"/>
    <x v="4"/>
    <x v="0"/>
    <n v="1"/>
    <n v="37.9"/>
    <n v="5"/>
    <x v="274"/>
    <x v="4"/>
    <x v="0"/>
  </r>
  <r>
    <x v="277"/>
    <x v="225"/>
    <x v="262"/>
    <x v="2"/>
    <x v="15"/>
    <x v="4"/>
    <x v="0"/>
    <n v="2"/>
    <n v="21.65"/>
    <n v="10"/>
    <x v="275"/>
    <x v="3"/>
    <x v="1"/>
  </r>
  <r>
    <x v="278"/>
    <x v="226"/>
    <x v="263"/>
    <x v="2"/>
    <x v="12"/>
    <x v="4"/>
    <x v="0"/>
    <n v="2"/>
    <n v="33.409999999999997"/>
    <n v="10"/>
    <x v="276"/>
    <x v="4"/>
    <x v="0"/>
  </r>
  <r>
    <x v="279"/>
    <x v="206"/>
    <x v="264"/>
    <x v="0"/>
    <x v="17"/>
    <x v="4"/>
    <x v="0"/>
    <n v="3"/>
    <n v="32.42"/>
    <n v="0"/>
    <x v="277"/>
    <x v="3"/>
    <x v="0"/>
  </r>
  <r>
    <x v="280"/>
    <x v="227"/>
    <x v="265"/>
    <x v="1"/>
    <x v="9"/>
    <x v="4"/>
    <x v="0"/>
    <n v="8"/>
    <n v="15.3"/>
    <n v="20"/>
    <x v="278"/>
    <x v="3"/>
    <x v="0"/>
  </r>
  <r>
    <x v="281"/>
    <x v="228"/>
    <x v="266"/>
    <x v="2"/>
    <x v="13"/>
    <x v="4"/>
    <x v="0"/>
    <n v="4"/>
    <n v="30.73"/>
    <n v="0"/>
    <x v="279"/>
    <x v="3"/>
    <x v="1"/>
  </r>
  <r>
    <x v="282"/>
    <x v="29"/>
    <x v="267"/>
    <x v="3"/>
    <x v="7"/>
    <x v="4"/>
    <x v="0"/>
    <n v="6"/>
    <n v="21.21"/>
    <n v="0"/>
    <x v="280"/>
    <x v="2"/>
    <x v="0"/>
  </r>
  <r>
    <x v="283"/>
    <x v="229"/>
    <x v="26"/>
    <x v="1"/>
    <x v="19"/>
    <x v="4"/>
    <x v="0"/>
    <n v="10"/>
    <n v="16.670000000000002"/>
    <n v="0"/>
    <x v="281"/>
    <x v="4"/>
    <x v="1"/>
  </r>
  <r>
    <x v="284"/>
    <x v="228"/>
    <x v="268"/>
    <x v="1"/>
    <x v="2"/>
    <x v="4"/>
    <x v="0"/>
    <n v="11"/>
    <n v="15.3"/>
    <n v="0"/>
    <x v="282"/>
    <x v="4"/>
    <x v="0"/>
  </r>
  <r>
    <x v="285"/>
    <x v="137"/>
    <x v="269"/>
    <x v="0"/>
    <x v="1"/>
    <x v="4"/>
    <x v="0"/>
    <n v="7"/>
    <n v="34.89"/>
    <n v="0"/>
    <x v="283"/>
    <x v="4"/>
    <x v="1"/>
  </r>
  <r>
    <x v="286"/>
    <x v="175"/>
    <x v="270"/>
    <x v="2"/>
    <x v="3"/>
    <x v="4"/>
    <x v="0"/>
    <n v="17"/>
    <n v="15.97"/>
    <n v="10"/>
    <x v="284"/>
    <x v="3"/>
    <x v="0"/>
  </r>
  <r>
    <x v="287"/>
    <x v="104"/>
    <x v="271"/>
    <x v="3"/>
    <x v="16"/>
    <x v="4"/>
    <x v="0"/>
    <n v="9"/>
    <n v="29.09"/>
    <n v="0"/>
    <x v="285"/>
    <x v="1"/>
    <x v="0"/>
  </r>
  <r>
    <x v="288"/>
    <x v="230"/>
    <x v="272"/>
    <x v="3"/>
    <x v="4"/>
    <x v="4"/>
    <x v="0"/>
    <n v="10"/>
    <n v="31.52"/>
    <n v="10"/>
    <x v="286"/>
    <x v="0"/>
    <x v="0"/>
  </r>
  <r>
    <x v="289"/>
    <x v="231"/>
    <x v="273"/>
    <x v="3"/>
    <x v="10"/>
    <x v="4"/>
    <x v="0"/>
    <n v="11"/>
    <n v="27.31"/>
    <n v="0"/>
    <x v="287"/>
    <x v="2"/>
    <x v="0"/>
  </r>
  <r>
    <x v="290"/>
    <x v="232"/>
    <x v="71"/>
    <x v="0"/>
    <x v="11"/>
    <x v="4"/>
    <x v="0"/>
    <n v="9"/>
    <n v="39.04"/>
    <n v="10"/>
    <x v="288"/>
    <x v="0"/>
    <x v="0"/>
  </r>
  <r>
    <x v="291"/>
    <x v="4"/>
    <x v="274"/>
    <x v="2"/>
    <x v="13"/>
    <x v="4"/>
    <x v="0"/>
    <n v="24"/>
    <n v="16.18"/>
    <n v="10"/>
    <x v="289"/>
    <x v="1"/>
    <x v="1"/>
  </r>
  <r>
    <x v="292"/>
    <x v="233"/>
    <x v="275"/>
    <x v="3"/>
    <x v="4"/>
    <x v="4"/>
    <x v="0"/>
    <n v="14"/>
    <n v="25.31"/>
    <n v="0"/>
    <x v="290"/>
    <x v="0"/>
    <x v="1"/>
  </r>
  <r>
    <x v="293"/>
    <x v="234"/>
    <x v="276"/>
    <x v="1"/>
    <x v="2"/>
    <x v="4"/>
    <x v="0"/>
    <n v="12"/>
    <n v="34.020000000000003"/>
    <n v="0"/>
    <x v="291"/>
    <x v="4"/>
    <x v="0"/>
  </r>
  <r>
    <x v="294"/>
    <x v="235"/>
    <x v="277"/>
    <x v="1"/>
    <x v="5"/>
    <x v="4"/>
    <x v="0"/>
    <n v="14"/>
    <n v="37.65"/>
    <n v="10"/>
    <x v="292"/>
    <x v="4"/>
    <x v="1"/>
  </r>
  <r>
    <x v="295"/>
    <x v="236"/>
    <x v="129"/>
    <x v="3"/>
    <x v="6"/>
    <x v="4"/>
    <x v="0"/>
    <n v="20"/>
    <n v="24.98"/>
    <n v="5"/>
    <x v="293"/>
    <x v="4"/>
    <x v="1"/>
  </r>
  <r>
    <x v="296"/>
    <x v="237"/>
    <x v="278"/>
    <x v="2"/>
    <x v="12"/>
    <x v="4"/>
    <x v="0"/>
    <n v="13"/>
    <n v="36.67"/>
    <n v="0"/>
    <x v="294"/>
    <x v="2"/>
    <x v="0"/>
  </r>
  <r>
    <x v="297"/>
    <x v="238"/>
    <x v="279"/>
    <x v="0"/>
    <x v="14"/>
    <x v="4"/>
    <x v="0"/>
    <n v="28"/>
    <n v="20.100000000000001"/>
    <n v="10"/>
    <x v="295"/>
    <x v="2"/>
    <x v="0"/>
  </r>
  <r>
    <x v="298"/>
    <x v="74"/>
    <x v="280"/>
    <x v="0"/>
    <x v="14"/>
    <x v="4"/>
    <x v="0"/>
    <n v="15"/>
    <n v="34.18"/>
    <n v="0"/>
    <x v="296"/>
    <x v="4"/>
    <x v="1"/>
  </r>
  <r>
    <x v="299"/>
    <x v="97"/>
    <x v="281"/>
    <x v="3"/>
    <x v="16"/>
    <x v="4"/>
    <x v="0"/>
    <n v="42"/>
    <n v="15.8"/>
    <n v="20"/>
    <x v="297"/>
    <x v="4"/>
    <x v="0"/>
  </r>
  <r>
    <x v="300"/>
    <x v="238"/>
    <x v="282"/>
    <x v="1"/>
    <x v="2"/>
    <x v="4"/>
    <x v="0"/>
    <n v="29"/>
    <n v="20.38"/>
    <n v="10"/>
    <x v="298"/>
    <x v="2"/>
    <x v="0"/>
  </r>
  <r>
    <x v="301"/>
    <x v="117"/>
    <x v="283"/>
    <x v="3"/>
    <x v="16"/>
    <x v="4"/>
    <x v="0"/>
    <n v="43"/>
    <n v="16.190000000000001"/>
    <n v="20"/>
    <x v="299"/>
    <x v="3"/>
    <x v="1"/>
  </r>
  <r>
    <x v="302"/>
    <x v="190"/>
    <x v="284"/>
    <x v="2"/>
    <x v="15"/>
    <x v="4"/>
    <x v="0"/>
    <n v="24"/>
    <n v="29.35"/>
    <n v="20"/>
    <x v="300"/>
    <x v="0"/>
    <x v="0"/>
  </r>
  <r>
    <x v="303"/>
    <x v="239"/>
    <x v="285"/>
    <x v="0"/>
    <x v="11"/>
    <x v="4"/>
    <x v="0"/>
    <n v="31"/>
    <n v="20.48"/>
    <n v="5"/>
    <x v="301"/>
    <x v="3"/>
    <x v="0"/>
  </r>
  <r>
    <x v="304"/>
    <x v="240"/>
    <x v="286"/>
    <x v="0"/>
    <x v="14"/>
    <x v="4"/>
    <x v="0"/>
    <n v="17"/>
    <n v="35.56"/>
    <n v="0"/>
    <x v="302"/>
    <x v="4"/>
    <x v="0"/>
  </r>
  <r>
    <x v="305"/>
    <x v="121"/>
    <x v="287"/>
    <x v="0"/>
    <x v="14"/>
    <x v="4"/>
    <x v="0"/>
    <n v="33"/>
    <n v="20.47"/>
    <n v="10"/>
    <x v="303"/>
    <x v="3"/>
    <x v="0"/>
  </r>
  <r>
    <x v="306"/>
    <x v="241"/>
    <x v="288"/>
    <x v="0"/>
    <x v="17"/>
    <x v="4"/>
    <x v="0"/>
    <n v="20"/>
    <n v="37.33"/>
    <n v="10"/>
    <x v="304"/>
    <x v="2"/>
    <x v="1"/>
  </r>
  <r>
    <x v="307"/>
    <x v="242"/>
    <x v="289"/>
    <x v="3"/>
    <x v="4"/>
    <x v="4"/>
    <x v="0"/>
    <n v="25"/>
    <n v="27.22"/>
    <n v="0"/>
    <x v="305"/>
    <x v="1"/>
    <x v="1"/>
  </r>
  <r>
    <x v="308"/>
    <x v="142"/>
    <x v="290"/>
    <x v="3"/>
    <x v="4"/>
    <x v="4"/>
    <x v="0"/>
    <n v="34"/>
    <n v="20.04"/>
    <n v="0"/>
    <x v="306"/>
    <x v="3"/>
    <x v="0"/>
  </r>
  <r>
    <x v="309"/>
    <x v="243"/>
    <x v="291"/>
    <x v="3"/>
    <x v="4"/>
    <x v="4"/>
    <x v="0"/>
    <n v="31"/>
    <n v="22.48"/>
    <n v="0"/>
    <x v="307"/>
    <x v="3"/>
    <x v="1"/>
  </r>
  <r>
    <x v="310"/>
    <x v="6"/>
    <x v="292"/>
    <x v="2"/>
    <x v="12"/>
    <x v="4"/>
    <x v="0"/>
    <n v="29"/>
    <n v="31.02"/>
    <n v="20"/>
    <x v="308"/>
    <x v="0"/>
    <x v="0"/>
  </r>
  <r>
    <x v="311"/>
    <x v="244"/>
    <x v="95"/>
    <x v="2"/>
    <x v="8"/>
    <x v="4"/>
    <x v="0"/>
    <n v="35"/>
    <n v="22.63"/>
    <n v="5"/>
    <x v="309"/>
    <x v="1"/>
    <x v="0"/>
  </r>
  <r>
    <x v="312"/>
    <x v="245"/>
    <x v="293"/>
    <x v="2"/>
    <x v="15"/>
    <x v="4"/>
    <x v="0"/>
    <n v="27"/>
    <n v="29.9"/>
    <n v="5"/>
    <x v="310"/>
    <x v="0"/>
    <x v="0"/>
  </r>
  <r>
    <x v="313"/>
    <x v="132"/>
    <x v="294"/>
    <x v="0"/>
    <x v="11"/>
    <x v="4"/>
    <x v="0"/>
    <n v="29"/>
    <n v="31.22"/>
    <n v="15"/>
    <x v="311"/>
    <x v="0"/>
    <x v="0"/>
  </r>
  <r>
    <x v="314"/>
    <x v="246"/>
    <x v="295"/>
    <x v="2"/>
    <x v="3"/>
    <x v="4"/>
    <x v="0"/>
    <n v="32"/>
    <n v="27.59"/>
    <n v="10"/>
    <x v="312"/>
    <x v="0"/>
    <x v="1"/>
  </r>
  <r>
    <x v="315"/>
    <x v="247"/>
    <x v="296"/>
    <x v="1"/>
    <x v="19"/>
    <x v="4"/>
    <x v="0"/>
    <n v="30"/>
    <n v="27.49"/>
    <n v="0"/>
    <x v="313"/>
    <x v="0"/>
    <x v="0"/>
  </r>
  <r>
    <x v="316"/>
    <x v="248"/>
    <x v="297"/>
    <x v="0"/>
    <x v="17"/>
    <x v="4"/>
    <x v="0"/>
    <n v="29"/>
    <n v="30.4"/>
    <n v="5"/>
    <x v="314"/>
    <x v="1"/>
    <x v="0"/>
  </r>
  <r>
    <x v="317"/>
    <x v="249"/>
    <x v="83"/>
    <x v="1"/>
    <x v="19"/>
    <x v="4"/>
    <x v="0"/>
    <n v="41"/>
    <n v="26.32"/>
    <n v="20"/>
    <x v="315"/>
    <x v="3"/>
    <x v="1"/>
  </r>
  <r>
    <x v="318"/>
    <x v="250"/>
    <x v="298"/>
    <x v="3"/>
    <x v="6"/>
    <x v="4"/>
    <x v="0"/>
    <n v="26"/>
    <n v="38.75"/>
    <n v="10"/>
    <x v="316"/>
    <x v="1"/>
    <x v="0"/>
  </r>
  <r>
    <x v="319"/>
    <x v="251"/>
    <x v="299"/>
    <x v="3"/>
    <x v="4"/>
    <x v="4"/>
    <x v="0"/>
    <n v="32"/>
    <n v="33.56"/>
    <n v="15"/>
    <x v="317"/>
    <x v="2"/>
    <x v="0"/>
  </r>
  <r>
    <x v="320"/>
    <x v="138"/>
    <x v="300"/>
    <x v="1"/>
    <x v="9"/>
    <x v="4"/>
    <x v="0"/>
    <n v="45"/>
    <n v="23.1"/>
    <n v="10"/>
    <x v="318"/>
    <x v="0"/>
    <x v="0"/>
  </r>
  <r>
    <x v="321"/>
    <x v="252"/>
    <x v="301"/>
    <x v="0"/>
    <x v="11"/>
    <x v="4"/>
    <x v="0"/>
    <n v="34"/>
    <n v="32.479999999999997"/>
    <n v="10"/>
    <x v="319"/>
    <x v="0"/>
    <x v="1"/>
  </r>
  <r>
    <x v="322"/>
    <x v="253"/>
    <x v="302"/>
    <x v="1"/>
    <x v="18"/>
    <x v="4"/>
    <x v="0"/>
    <n v="44"/>
    <n v="22.69"/>
    <n v="0"/>
    <x v="320"/>
    <x v="0"/>
    <x v="0"/>
  </r>
  <r>
    <x v="323"/>
    <x v="254"/>
    <x v="303"/>
    <x v="1"/>
    <x v="5"/>
    <x v="4"/>
    <x v="0"/>
    <n v="42"/>
    <n v="26.06"/>
    <n v="0"/>
    <x v="321"/>
    <x v="2"/>
    <x v="0"/>
  </r>
  <r>
    <x v="324"/>
    <x v="255"/>
    <x v="80"/>
    <x v="2"/>
    <x v="3"/>
    <x v="4"/>
    <x v="0"/>
    <n v="39"/>
    <n v="29.49"/>
    <n v="0"/>
    <x v="322"/>
    <x v="1"/>
    <x v="1"/>
  </r>
  <r>
    <x v="325"/>
    <x v="92"/>
    <x v="65"/>
    <x v="3"/>
    <x v="7"/>
    <x v="4"/>
    <x v="0"/>
    <n v="35"/>
    <n v="38.75"/>
    <n v="15"/>
    <x v="323"/>
    <x v="1"/>
    <x v="0"/>
  </r>
  <r>
    <x v="326"/>
    <x v="256"/>
    <x v="304"/>
    <x v="3"/>
    <x v="6"/>
    <x v="4"/>
    <x v="0"/>
    <n v="42"/>
    <n v="31.59"/>
    <n v="10"/>
    <x v="324"/>
    <x v="2"/>
    <x v="0"/>
  </r>
  <r>
    <x v="327"/>
    <x v="125"/>
    <x v="129"/>
    <x v="1"/>
    <x v="2"/>
    <x v="4"/>
    <x v="0"/>
    <n v="45"/>
    <n v="32.85"/>
    <n v="15"/>
    <x v="325"/>
    <x v="2"/>
    <x v="0"/>
  </r>
  <r>
    <x v="328"/>
    <x v="257"/>
    <x v="305"/>
    <x v="3"/>
    <x v="16"/>
    <x v="4"/>
    <x v="0"/>
    <n v="43"/>
    <n v="32.75"/>
    <n v="10"/>
    <x v="326"/>
    <x v="3"/>
    <x v="0"/>
  </r>
  <r>
    <x v="329"/>
    <x v="258"/>
    <x v="306"/>
    <x v="3"/>
    <x v="6"/>
    <x v="4"/>
    <x v="0"/>
    <n v="39"/>
    <n v="33.869999999999997"/>
    <n v="0"/>
    <x v="327"/>
    <x v="3"/>
    <x v="1"/>
  </r>
  <r>
    <x v="330"/>
    <x v="179"/>
    <x v="307"/>
    <x v="0"/>
    <x v="17"/>
    <x v="4"/>
    <x v="0"/>
    <n v="45"/>
    <n v="31.55"/>
    <n v="5"/>
    <x v="328"/>
    <x v="2"/>
    <x v="1"/>
  </r>
  <r>
    <x v="331"/>
    <x v="259"/>
    <x v="308"/>
    <x v="3"/>
    <x v="10"/>
    <x v="4"/>
    <x v="0"/>
    <n v="41"/>
    <n v="36.520000000000003"/>
    <n v="5"/>
    <x v="329"/>
    <x v="4"/>
    <x v="0"/>
  </r>
  <r>
    <x v="332"/>
    <x v="260"/>
    <x v="309"/>
    <x v="2"/>
    <x v="8"/>
    <x v="4"/>
    <x v="0"/>
    <n v="45"/>
    <n v="31.95"/>
    <n v="0"/>
    <x v="330"/>
    <x v="2"/>
    <x v="0"/>
  </r>
  <r>
    <x v="333"/>
    <x v="261"/>
    <x v="156"/>
    <x v="2"/>
    <x v="15"/>
    <x v="5"/>
    <x v="1"/>
    <n v="1"/>
    <n v="234.69"/>
    <n v="5"/>
    <x v="331"/>
    <x v="2"/>
    <x v="0"/>
  </r>
  <r>
    <x v="334"/>
    <x v="53"/>
    <x v="310"/>
    <x v="2"/>
    <x v="12"/>
    <x v="5"/>
    <x v="1"/>
    <n v="1"/>
    <n v="439"/>
    <n v="10"/>
    <x v="332"/>
    <x v="1"/>
    <x v="0"/>
  </r>
  <r>
    <x v="335"/>
    <x v="149"/>
    <x v="311"/>
    <x v="1"/>
    <x v="18"/>
    <x v="5"/>
    <x v="1"/>
    <n v="2"/>
    <n v="255.27"/>
    <n v="5"/>
    <x v="333"/>
    <x v="3"/>
    <x v="1"/>
  </r>
  <r>
    <x v="336"/>
    <x v="262"/>
    <x v="170"/>
    <x v="1"/>
    <x v="18"/>
    <x v="5"/>
    <x v="1"/>
    <n v="2"/>
    <n v="345.67"/>
    <n v="5"/>
    <x v="334"/>
    <x v="2"/>
    <x v="0"/>
  </r>
  <r>
    <x v="337"/>
    <x v="263"/>
    <x v="312"/>
    <x v="3"/>
    <x v="7"/>
    <x v="5"/>
    <x v="1"/>
    <n v="3"/>
    <n v="224.57"/>
    <n v="0"/>
    <x v="335"/>
    <x v="0"/>
    <x v="1"/>
  </r>
  <r>
    <x v="338"/>
    <x v="92"/>
    <x v="313"/>
    <x v="0"/>
    <x v="17"/>
    <x v="5"/>
    <x v="1"/>
    <n v="1"/>
    <n v="1136.25"/>
    <n v="5"/>
    <x v="336"/>
    <x v="2"/>
    <x v="0"/>
  </r>
  <r>
    <x v="339"/>
    <x v="191"/>
    <x v="314"/>
    <x v="3"/>
    <x v="10"/>
    <x v="5"/>
    <x v="1"/>
    <n v="8"/>
    <n v="223.8"/>
    <n v="0"/>
    <x v="337"/>
    <x v="3"/>
    <x v="0"/>
  </r>
  <r>
    <x v="340"/>
    <x v="13"/>
    <x v="11"/>
    <x v="3"/>
    <x v="4"/>
    <x v="5"/>
    <x v="1"/>
    <n v="3"/>
    <n v="874.13"/>
    <n v="10"/>
    <x v="338"/>
    <x v="1"/>
    <x v="0"/>
  </r>
  <r>
    <x v="341"/>
    <x v="264"/>
    <x v="315"/>
    <x v="0"/>
    <x v="14"/>
    <x v="5"/>
    <x v="1"/>
    <n v="15"/>
    <n v="237.76"/>
    <n v="5"/>
    <x v="339"/>
    <x v="0"/>
    <x v="1"/>
  </r>
  <r>
    <x v="342"/>
    <x v="265"/>
    <x v="273"/>
    <x v="0"/>
    <x v="14"/>
    <x v="5"/>
    <x v="1"/>
    <n v="4"/>
    <n v="900.7"/>
    <n v="5"/>
    <x v="340"/>
    <x v="4"/>
    <x v="0"/>
  </r>
  <r>
    <x v="343"/>
    <x v="30"/>
    <x v="316"/>
    <x v="0"/>
    <x v="0"/>
    <x v="5"/>
    <x v="1"/>
    <n v="5"/>
    <n v="834.19"/>
    <n v="15"/>
    <x v="341"/>
    <x v="2"/>
    <x v="1"/>
  </r>
  <r>
    <x v="344"/>
    <x v="87"/>
    <x v="317"/>
    <x v="2"/>
    <x v="13"/>
    <x v="5"/>
    <x v="1"/>
    <n v="19"/>
    <n v="278.63"/>
    <n v="15"/>
    <x v="342"/>
    <x v="2"/>
    <x v="0"/>
  </r>
  <r>
    <x v="345"/>
    <x v="266"/>
    <x v="285"/>
    <x v="2"/>
    <x v="8"/>
    <x v="5"/>
    <x v="1"/>
    <n v="22"/>
    <n v="210.7"/>
    <n v="0"/>
    <x v="343"/>
    <x v="2"/>
    <x v="1"/>
  </r>
  <r>
    <x v="346"/>
    <x v="267"/>
    <x v="318"/>
    <x v="3"/>
    <x v="6"/>
    <x v="5"/>
    <x v="1"/>
    <n v="20"/>
    <n v="274.66000000000003"/>
    <n v="10"/>
    <x v="344"/>
    <x v="3"/>
    <x v="0"/>
  </r>
  <r>
    <x v="347"/>
    <x v="268"/>
    <x v="18"/>
    <x v="2"/>
    <x v="3"/>
    <x v="5"/>
    <x v="1"/>
    <n v="14"/>
    <n v="355.43"/>
    <n v="0"/>
    <x v="345"/>
    <x v="0"/>
    <x v="1"/>
  </r>
  <r>
    <x v="348"/>
    <x v="269"/>
    <x v="319"/>
    <x v="3"/>
    <x v="4"/>
    <x v="5"/>
    <x v="1"/>
    <n v="12"/>
    <n v="455.31"/>
    <n v="5"/>
    <x v="346"/>
    <x v="2"/>
    <x v="0"/>
  </r>
  <r>
    <x v="349"/>
    <x v="270"/>
    <x v="165"/>
    <x v="0"/>
    <x v="14"/>
    <x v="5"/>
    <x v="1"/>
    <n v="22"/>
    <n v="248.74"/>
    <n v="5"/>
    <x v="347"/>
    <x v="3"/>
    <x v="0"/>
  </r>
  <r>
    <x v="350"/>
    <x v="179"/>
    <x v="320"/>
    <x v="1"/>
    <x v="18"/>
    <x v="5"/>
    <x v="1"/>
    <n v="6"/>
    <n v="891.81"/>
    <n v="0"/>
    <x v="348"/>
    <x v="2"/>
    <x v="1"/>
  </r>
  <r>
    <x v="351"/>
    <x v="271"/>
    <x v="321"/>
    <x v="1"/>
    <x v="2"/>
    <x v="5"/>
    <x v="1"/>
    <n v="22"/>
    <n v="276.88"/>
    <n v="10"/>
    <x v="349"/>
    <x v="1"/>
    <x v="0"/>
  </r>
  <r>
    <x v="352"/>
    <x v="230"/>
    <x v="322"/>
    <x v="2"/>
    <x v="12"/>
    <x v="5"/>
    <x v="1"/>
    <n v="22"/>
    <n v="283.44"/>
    <n v="10"/>
    <x v="350"/>
    <x v="1"/>
    <x v="0"/>
  </r>
  <r>
    <x v="353"/>
    <x v="191"/>
    <x v="323"/>
    <x v="1"/>
    <x v="2"/>
    <x v="5"/>
    <x v="1"/>
    <n v="6"/>
    <n v="1186.19"/>
    <n v="20"/>
    <x v="351"/>
    <x v="4"/>
    <x v="1"/>
  </r>
  <r>
    <x v="354"/>
    <x v="272"/>
    <x v="324"/>
    <x v="1"/>
    <x v="18"/>
    <x v="5"/>
    <x v="1"/>
    <n v="29"/>
    <n v="212.47"/>
    <n v="5"/>
    <x v="352"/>
    <x v="0"/>
    <x v="0"/>
  </r>
  <r>
    <x v="355"/>
    <x v="273"/>
    <x v="325"/>
    <x v="0"/>
    <x v="17"/>
    <x v="5"/>
    <x v="1"/>
    <n v="22"/>
    <n v="336.63"/>
    <n v="20"/>
    <x v="353"/>
    <x v="2"/>
    <x v="0"/>
  </r>
  <r>
    <x v="356"/>
    <x v="274"/>
    <x v="126"/>
    <x v="0"/>
    <x v="14"/>
    <x v="5"/>
    <x v="1"/>
    <n v="15"/>
    <n v="426.15"/>
    <n v="5"/>
    <x v="354"/>
    <x v="1"/>
    <x v="0"/>
  </r>
  <r>
    <x v="357"/>
    <x v="275"/>
    <x v="326"/>
    <x v="0"/>
    <x v="14"/>
    <x v="5"/>
    <x v="1"/>
    <n v="23"/>
    <n v="265.18"/>
    <n v="0"/>
    <x v="355"/>
    <x v="4"/>
    <x v="0"/>
  </r>
  <r>
    <x v="358"/>
    <x v="144"/>
    <x v="94"/>
    <x v="1"/>
    <x v="19"/>
    <x v="5"/>
    <x v="1"/>
    <n v="31"/>
    <n v="200.29"/>
    <n v="0"/>
    <x v="356"/>
    <x v="3"/>
    <x v="1"/>
  </r>
  <r>
    <x v="359"/>
    <x v="155"/>
    <x v="184"/>
    <x v="2"/>
    <x v="12"/>
    <x v="5"/>
    <x v="1"/>
    <n v="7"/>
    <n v="1155.47"/>
    <n v="20"/>
    <x v="357"/>
    <x v="0"/>
    <x v="0"/>
  </r>
  <r>
    <x v="360"/>
    <x v="276"/>
    <x v="272"/>
    <x v="2"/>
    <x v="12"/>
    <x v="5"/>
    <x v="1"/>
    <n v="16"/>
    <n v="442.42"/>
    <n v="5"/>
    <x v="358"/>
    <x v="2"/>
    <x v="1"/>
  </r>
  <r>
    <x v="361"/>
    <x v="277"/>
    <x v="327"/>
    <x v="1"/>
    <x v="18"/>
    <x v="5"/>
    <x v="1"/>
    <n v="26"/>
    <n v="289.13"/>
    <n v="10"/>
    <x v="359"/>
    <x v="0"/>
    <x v="1"/>
  </r>
  <r>
    <x v="362"/>
    <x v="278"/>
    <x v="328"/>
    <x v="3"/>
    <x v="10"/>
    <x v="5"/>
    <x v="1"/>
    <n v="32"/>
    <n v="235.61"/>
    <n v="10"/>
    <x v="360"/>
    <x v="1"/>
    <x v="1"/>
  </r>
  <r>
    <x v="363"/>
    <x v="239"/>
    <x v="329"/>
    <x v="2"/>
    <x v="8"/>
    <x v="5"/>
    <x v="1"/>
    <n v="21"/>
    <n v="326.62"/>
    <n v="0"/>
    <x v="361"/>
    <x v="4"/>
    <x v="1"/>
  </r>
  <r>
    <x v="364"/>
    <x v="279"/>
    <x v="330"/>
    <x v="1"/>
    <x v="19"/>
    <x v="5"/>
    <x v="1"/>
    <n v="40"/>
    <n v="207.72"/>
    <n v="15"/>
    <x v="362"/>
    <x v="1"/>
    <x v="0"/>
  </r>
  <r>
    <x v="365"/>
    <x v="88"/>
    <x v="331"/>
    <x v="1"/>
    <x v="2"/>
    <x v="5"/>
    <x v="1"/>
    <n v="34"/>
    <n v="248.44"/>
    <n v="10"/>
    <x v="363"/>
    <x v="1"/>
    <x v="0"/>
  </r>
  <r>
    <x v="366"/>
    <x v="276"/>
    <x v="158"/>
    <x v="3"/>
    <x v="16"/>
    <x v="5"/>
    <x v="1"/>
    <n v="21"/>
    <n v="412.1"/>
    <n v="10"/>
    <x v="364"/>
    <x v="4"/>
    <x v="1"/>
  </r>
  <r>
    <x v="367"/>
    <x v="280"/>
    <x v="332"/>
    <x v="3"/>
    <x v="6"/>
    <x v="5"/>
    <x v="1"/>
    <n v="8"/>
    <n v="1174.54"/>
    <n v="15"/>
    <x v="365"/>
    <x v="1"/>
    <x v="0"/>
  </r>
  <r>
    <x v="368"/>
    <x v="281"/>
    <x v="333"/>
    <x v="1"/>
    <x v="19"/>
    <x v="5"/>
    <x v="1"/>
    <n v="41"/>
    <n v="218.12"/>
    <n v="10"/>
    <x v="366"/>
    <x v="2"/>
    <x v="1"/>
  </r>
  <r>
    <x v="369"/>
    <x v="282"/>
    <x v="334"/>
    <x v="2"/>
    <x v="15"/>
    <x v="5"/>
    <x v="1"/>
    <n v="8"/>
    <n v="1049.79"/>
    <n v="0"/>
    <x v="367"/>
    <x v="1"/>
    <x v="1"/>
  </r>
  <r>
    <x v="370"/>
    <x v="283"/>
    <x v="140"/>
    <x v="0"/>
    <x v="14"/>
    <x v="5"/>
    <x v="1"/>
    <n v="33"/>
    <n v="287.77999999999997"/>
    <n v="10"/>
    <x v="368"/>
    <x v="1"/>
    <x v="0"/>
  </r>
  <r>
    <x v="371"/>
    <x v="66"/>
    <x v="335"/>
    <x v="0"/>
    <x v="17"/>
    <x v="5"/>
    <x v="1"/>
    <n v="44"/>
    <n v="206.66"/>
    <n v="5"/>
    <x v="369"/>
    <x v="1"/>
    <x v="0"/>
  </r>
  <r>
    <x v="372"/>
    <x v="284"/>
    <x v="28"/>
    <x v="2"/>
    <x v="13"/>
    <x v="5"/>
    <x v="1"/>
    <n v="21"/>
    <n v="412.43"/>
    <n v="0"/>
    <x v="370"/>
    <x v="2"/>
    <x v="1"/>
  </r>
  <r>
    <x v="373"/>
    <x v="285"/>
    <x v="336"/>
    <x v="2"/>
    <x v="12"/>
    <x v="5"/>
    <x v="1"/>
    <n v="20"/>
    <n v="492.45"/>
    <n v="10"/>
    <x v="371"/>
    <x v="0"/>
    <x v="0"/>
  </r>
  <r>
    <x v="374"/>
    <x v="172"/>
    <x v="168"/>
    <x v="0"/>
    <x v="1"/>
    <x v="5"/>
    <x v="1"/>
    <n v="27"/>
    <n v="345.71"/>
    <n v="5"/>
    <x v="372"/>
    <x v="4"/>
    <x v="0"/>
  </r>
  <r>
    <x v="375"/>
    <x v="286"/>
    <x v="337"/>
    <x v="2"/>
    <x v="8"/>
    <x v="5"/>
    <x v="1"/>
    <n v="10"/>
    <n v="1113.58"/>
    <n v="20"/>
    <x v="373"/>
    <x v="3"/>
    <x v="0"/>
  </r>
  <r>
    <x v="376"/>
    <x v="287"/>
    <x v="338"/>
    <x v="3"/>
    <x v="7"/>
    <x v="5"/>
    <x v="1"/>
    <n v="8"/>
    <n v="1196.98"/>
    <n v="5"/>
    <x v="374"/>
    <x v="2"/>
    <x v="1"/>
  </r>
  <r>
    <x v="377"/>
    <x v="46"/>
    <x v="339"/>
    <x v="1"/>
    <x v="5"/>
    <x v="5"/>
    <x v="1"/>
    <n v="27"/>
    <n v="339.73"/>
    <n v="0"/>
    <x v="375"/>
    <x v="2"/>
    <x v="0"/>
  </r>
  <r>
    <x v="378"/>
    <x v="288"/>
    <x v="340"/>
    <x v="0"/>
    <x v="11"/>
    <x v="5"/>
    <x v="1"/>
    <n v="10"/>
    <n v="1124"/>
    <n v="10"/>
    <x v="376"/>
    <x v="3"/>
    <x v="0"/>
  </r>
  <r>
    <x v="379"/>
    <x v="289"/>
    <x v="341"/>
    <x v="2"/>
    <x v="3"/>
    <x v="5"/>
    <x v="1"/>
    <n v="14"/>
    <n v="812.74"/>
    <n v="10"/>
    <x v="377"/>
    <x v="0"/>
    <x v="0"/>
  </r>
  <r>
    <x v="380"/>
    <x v="290"/>
    <x v="214"/>
    <x v="2"/>
    <x v="13"/>
    <x v="5"/>
    <x v="1"/>
    <n v="10"/>
    <n v="1025.49"/>
    <n v="0"/>
    <x v="378"/>
    <x v="1"/>
    <x v="0"/>
  </r>
  <r>
    <x v="381"/>
    <x v="291"/>
    <x v="342"/>
    <x v="0"/>
    <x v="11"/>
    <x v="5"/>
    <x v="1"/>
    <n v="32"/>
    <n v="320.99"/>
    <n v="0"/>
    <x v="379"/>
    <x v="2"/>
    <x v="0"/>
  </r>
  <r>
    <x v="382"/>
    <x v="292"/>
    <x v="163"/>
    <x v="1"/>
    <x v="19"/>
    <x v="5"/>
    <x v="1"/>
    <n v="47"/>
    <n v="238.87"/>
    <n v="5"/>
    <x v="380"/>
    <x v="1"/>
    <x v="0"/>
  </r>
  <r>
    <x v="383"/>
    <x v="39"/>
    <x v="343"/>
    <x v="3"/>
    <x v="6"/>
    <x v="5"/>
    <x v="1"/>
    <n v="32"/>
    <n v="355.11"/>
    <n v="5"/>
    <x v="381"/>
    <x v="1"/>
    <x v="1"/>
  </r>
  <r>
    <x v="384"/>
    <x v="293"/>
    <x v="121"/>
    <x v="2"/>
    <x v="8"/>
    <x v="5"/>
    <x v="1"/>
    <n v="11"/>
    <n v="1155.76"/>
    <n v="15"/>
    <x v="382"/>
    <x v="2"/>
    <x v="1"/>
  </r>
  <r>
    <x v="385"/>
    <x v="294"/>
    <x v="321"/>
    <x v="2"/>
    <x v="15"/>
    <x v="5"/>
    <x v="1"/>
    <n v="14"/>
    <n v="922.37"/>
    <n v="15"/>
    <x v="383"/>
    <x v="2"/>
    <x v="0"/>
  </r>
  <r>
    <x v="386"/>
    <x v="254"/>
    <x v="344"/>
    <x v="3"/>
    <x v="10"/>
    <x v="5"/>
    <x v="1"/>
    <n v="30"/>
    <n v="376.34"/>
    <n v="0"/>
    <x v="384"/>
    <x v="2"/>
    <x v="1"/>
  </r>
  <r>
    <x v="387"/>
    <x v="295"/>
    <x v="345"/>
    <x v="2"/>
    <x v="8"/>
    <x v="5"/>
    <x v="1"/>
    <n v="11"/>
    <n v="1097.1300000000001"/>
    <n v="5"/>
    <x v="385"/>
    <x v="2"/>
    <x v="0"/>
  </r>
  <r>
    <x v="388"/>
    <x v="296"/>
    <x v="346"/>
    <x v="2"/>
    <x v="15"/>
    <x v="5"/>
    <x v="1"/>
    <n v="49"/>
    <n v="260.95"/>
    <n v="10"/>
    <x v="386"/>
    <x v="4"/>
    <x v="0"/>
  </r>
  <r>
    <x v="389"/>
    <x v="297"/>
    <x v="347"/>
    <x v="1"/>
    <x v="9"/>
    <x v="5"/>
    <x v="1"/>
    <n v="41"/>
    <n v="297.73"/>
    <n v="5"/>
    <x v="387"/>
    <x v="4"/>
    <x v="0"/>
  </r>
  <r>
    <x v="390"/>
    <x v="298"/>
    <x v="348"/>
    <x v="1"/>
    <x v="18"/>
    <x v="5"/>
    <x v="1"/>
    <n v="40"/>
    <n v="291.51"/>
    <n v="0"/>
    <x v="388"/>
    <x v="3"/>
    <x v="0"/>
  </r>
  <r>
    <x v="391"/>
    <x v="90"/>
    <x v="349"/>
    <x v="3"/>
    <x v="10"/>
    <x v="5"/>
    <x v="1"/>
    <n v="27"/>
    <n v="438.77"/>
    <n v="0"/>
    <x v="389"/>
    <x v="2"/>
    <x v="0"/>
  </r>
  <r>
    <x v="392"/>
    <x v="105"/>
    <x v="350"/>
    <x v="0"/>
    <x v="17"/>
    <x v="5"/>
    <x v="1"/>
    <n v="25"/>
    <n v="482.13"/>
    <n v="0"/>
    <x v="390"/>
    <x v="1"/>
    <x v="0"/>
  </r>
  <r>
    <x v="393"/>
    <x v="299"/>
    <x v="351"/>
    <x v="0"/>
    <x v="14"/>
    <x v="5"/>
    <x v="1"/>
    <n v="29"/>
    <n v="441.88"/>
    <n v="5"/>
    <x v="391"/>
    <x v="0"/>
    <x v="0"/>
  </r>
  <r>
    <x v="394"/>
    <x v="300"/>
    <x v="352"/>
    <x v="0"/>
    <x v="14"/>
    <x v="5"/>
    <x v="1"/>
    <n v="15"/>
    <n v="857.48"/>
    <n v="5"/>
    <x v="392"/>
    <x v="3"/>
    <x v="0"/>
  </r>
  <r>
    <x v="395"/>
    <x v="301"/>
    <x v="353"/>
    <x v="3"/>
    <x v="7"/>
    <x v="5"/>
    <x v="1"/>
    <n v="42"/>
    <n v="352.01"/>
    <n v="15"/>
    <x v="393"/>
    <x v="4"/>
    <x v="0"/>
  </r>
  <r>
    <x v="396"/>
    <x v="302"/>
    <x v="271"/>
    <x v="0"/>
    <x v="17"/>
    <x v="5"/>
    <x v="1"/>
    <n v="13"/>
    <n v="969.26"/>
    <n v="0"/>
    <x v="394"/>
    <x v="1"/>
    <x v="1"/>
  </r>
  <r>
    <x v="397"/>
    <x v="303"/>
    <x v="354"/>
    <x v="2"/>
    <x v="3"/>
    <x v="5"/>
    <x v="1"/>
    <n v="12"/>
    <n v="1069.95"/>
    <n v="0"/>
    <x v="395"/>
    <x v="4"/>
    <x v="0"/>
  </r>
  <r>
    <x v="398"/>
    <x v="116"/>
    <x v="355"/>
    <x v="1"/>
    <x v="2"/>
    <x v="5"/>
    <x v="1"/>
    <n v="44"/>
    <n v="298.56"/>
    <n v="0"/>
    <x v="396"/>
    <x v="2"/>
    <x v="0"/>
  </r>
  <r>
    <x v="399"/>
    <x v="304"/>
    <x v="356"/>
    <x v="2"/>
    <x v="8"/>
    <x v="5"/>
    <x v="1"/>
    <n v="16"/>
    <n v="980.68"/>
    <n v="15"/>
    <x v="397"/>
    <x v="0"/>
    <x v="0"/>
  </r>
  <r>
    <x v="400"/>
    <x v="305"/>
    <x v="357"/>
    <x v="2"/>
    <x v="13"/>
    <x v="5"/>
    <x v="1"/>
    <n v="43"/>
    <n v="332.79"/>
    <n v="5"/>
    <x v="398"/>
    <x v="0"/>
    <x v="0"/>
  </r>
  <r>
    <x v="401"/>
    <x v="306"/>
    <x v="358"/>
    <x v="1"/>
    <x v="9"/>
    <x v="5"/>
    <x v="1"/>
    <n v="12"/>
    <n v="1144.19"/>
    <n v="0"/>
    <x v="399"/>
    <x v="1"/>
    <x v="0"/>
  </r>
  <r>
    <x v="402"/>
    <x v="307"/>
    <x v="359"/>
    <x v="0"/>
    <x v="11"/>
    <x v="5"/>
    <x v="1"/>
    <n v="46"/>
    <n v="303.42"/>
    <n v="0"/>
    <x v="400"/>
    <x v="4"/>
    <x v="0"/>
  </r>
  <r>
    <x v="403"/>
    <x v="308"/>
    <x v="360"/>
    <x v="1"/>
    <x v="2"/>
    <x v="5"/>
    <x v="1"/>
    <n v="13"/>
    <n v="1134.18"/>
    <n v="5"/>
    <x v="401"/>
    <x v="3"/>
    <x v="1"/>
  </r>
  <r>
    <x v="404"/>
    <x v="135"/>
    <x v="361"/>
    <x v="2"/>
    <x v="3"/>
    <x v="5"/>
    <x v="1"/>
    <n v="39"/>
    <n v="368.17"/>
    <n v="0"/>
    <x v="402"/>
    <x v="1"/>
    <x v="1"/>
  </r>
  <r>
    <x v="405"/>
    <x v="238"/>
    <x v="47"/>
    <x v="3"/>
    <x v="7"/>
    <x v="5"/>
    <x v="1"/>
    <n v="38"/>
    <n v="425.59"/>
    <n v="10"/>
    <x v="403"/>
    <x v="3"/>
    <x v="0"/>
  </r>
  <r>
    <x v="406"/>
    <x v="309"/>
    <x v="362"/>
    <x v="3"/>
    <x v="7"/>
    <x v="5"/>
    <x v="1"/>
    <n v="17"/>
    <n v="867.67"/>
    <n v="0"/>
    <x v="404"/>
    <x v="1"/>
    <x v="1"/>
  </r>
  <r>
    <x v="407"/>
    <x v="26"/>
    <x v="363"/>
    <x v="3"/>
    <x v="4"/>
    <x v="5"/>
    <x v="1"/>
    <n v="14"/>
    <n v="1059.8599999999999"/>
    <n v="0"/>
    <x v="405"/>
    <x v="2"/>
    <x v="0"/>
  </r>
  <r>
    <x v="408"/>
    <x v="310"/>
    <x v="364"/>
    <x v="0"/>
    <x v="11"/>
    <x v="5"/>
    <x v="1"/>
    <n v="32"/>
    <n v="493.64"/>
    <n v="5"/>
    <x v="406"/>
    <x v="4"/>
    <x v="0"/>
  </r>
  <r>
    <x v="409"/>
    <x v="311"/>
    <x v="365"/>
    <x v="2"/>
    <x v="13"/>
    <x v="5"/>
    <x v="1"/>
    <n v="17"/>
    <n v="939.17"/>
    <n v="5"/>
    <x v="407"/>
    <x v="1"/>
    <x v="0"/>
  </r>
  <r>
    <x v="410"/>
    <x v="312"/>
    <x v="366"/>
    <x v="3"/>
    <x v="16"/>
    <x v="5"/>
    <x v="1"/>
    <n v="42"/>
    <n v="386.63"/>
    <n v="5"/>
    <x v="408"/>
    <x v="3"/>
    <x v="1"/>
  </r>
  <r>
    <x v="411"/>
    <x v="275"/>
    <x v="367"/>
    <x v="1"/>
    <x v="2"/>
    <x v="5"/>
    <x v="1"/>
    <n v="18"/>
    <n v="863.31"/>
    <n v="0"/>
    <x v="409"/>
    <x v="3"/>
    <x v="0"/>
  </r>
  <r>
    <x v="412"/>
    <x v="6"/>
    <x v="368"/>
    <x v="3"/>
    <x v="16"/>
    <x v="5"/>
    <x v="1"/>
    <n v="19"/>
    <n v="862.05"/>
    <n v="5"/>
    <x v="410"/>
    <x v="2"/>
    <x v="0"/>
  </r>
  <r>
    <x v="413"/>
    <x v="277"/>
    <x v="78"/>
    <x v="2"/>
    <x v="15"/>
    <x v="5"/>
    <x v="1"/>
    <n v="38"/>
    <n v="423.76"/>
    <n v="0"/>
    <x v="411"/>
    <x v="0"/>
    <x v="0"/>
  </r>
  <r>
    <x v="414"/>
    <x v="44"/>
    <x v="233"/>
    <x v="2"/>
    <x v="12"/>
    <x v="5"/>
    <x v="1"/>
    <n v="16"/>
    <n v="1009.59"/>
    <n v="0"/>
    <x v="412"/>
    <x v="1"/>
    <x v="0"/>
  </r>
  <r>
    <x v="415"/>
    <x v="156"/>
    <x v="315"/>
    <x v="1"/>
    <x v="19"/>
    <x v="5"/>
    <x v="1"/>
    <n v="22"/>
    <n v="918.39"/>
    <n v="20"/>
    <x v="413"/>
    <x v="2"/>
    <x v="0"/>
  </r>
  <r>
    <x v="416"/>
    <x v="9"/>
    <x v="369"/>
    <x v="0"/>
    <x v="11"/>
    <x v="5"/>
    <x v="1"/>
    <n v="33"/>
    <n v="495.95"/>
    <n v="0"/>
    <x v="414"/>
    <x v="4"/>
    <x v="1"/>
  </r>
  <r>
    <x v="417"/>
    <x v="168"/>
    <x v="370"/>
    <x v="0"/>
    <x v="0"/>
    <x v="5"/>
    <x v="1"/>
    <n v="42"/>
    <n v="433.28"/>
    <n v="10"/>
    <x v="415"/>
    <x v="1"/>
    <x v="1"/>
  </r>
  <r>
    <x v="418"/>
    <x v="269"/>
    <x v="102"/>
    <x v="3"/>
    <x v="16"/>
    <x v="5"/>
    <x v="1"/>
    <n v="40"/>
    <n v="433.18"/>
    <n v="5"/>
    <x v="416"/>
    <x v="0"/>
    <x v="0"/>
  </r>
  <r>
    <x v="419"/>
    <x v="290"/>
    <x v="371"/>
    <x v="2"/>
    <x v="8"/>
    <x v="5"/>
    <x v="1"/>
    <n v="48"/>
    <n v="376.64"/>
    <n v="5"/>
    <x v="417"/>
    <x v="4"/>
    <x v="0"/>
  </r>
  <r>
    <x v="420"/>
    <x v="313"/>
    <x v="372"/>
    <x v="3"/>
    <x v="10"/>
    <x v="5"/>
    <x v="1"/>
    <n v="19"/>
    <n v="961.2"/>
    <n v="5"/>
    <x v="418"/>
    <x v="0"/>
    <x v="0"/>
  </r>
  <r>
    <x v="421"/>
    <x v="106"/>
    <x v="373"/>
    <x v="2"/>
    <x v="13"/>
    <x v="5"/>
    <x v="1"/>
    <n v="19"/>
    <n v="917.25"/>
    <n v="0"/>
    <x v="419"/>
    <x v="0"/>
    <x v="0"/>
  </r>
  <r>
    <x v="422"/>
    <x v="314"/>
    <x v="374"/>
    <x v="1"/>
    <x v="5"/>
    <x v="5"/>
    <x v="1"/>
    <n v="46"/>
    <n v="424.79"/>
    <n v="10"/>
    <x v="420"/>
    <x v="4"/>
    <x v="0"/>
  </r>
  <r>
    <x v="423"/>
    <x v="315"/>
    <x v="375"/>
    <x v="1"/>
    <x v="19"/>
    <x v="5"/>
    <x v="1"/>
    <n v="21"/>
    <n v="1068.08"/>
    <n v="20"/>
    <x v="421"/>
    <x v="1"/>
    <x v="1"/>
  </r>
  <r>
    <x v="424"/>
    <x v="316"/>
    <x v="376"/>
    <x v="0"/>
    <x v="1"/>
    <x v="5"/>
    <x v="1"/>
    <n v="23"/>
    <n v="882.01"/>
    <n v="10"/>
    <x v="422"/>
    <x v="3"/>
    <x v="0"/>
  </r>
  <r>
    <x v="425"/>
    <x v="298"/>
    <x v="377"/>
    <x v="2"/>
    <x v="13"/>
    <x v="5"/>
    <x v="1"/>
    <n v="46"/>
    <n v="496.41"/>
    <n v="20"/>
    <x v="423"/>
    <x v="1"/>
    <x v="1"/>
  </r>
  <r>
    <x v="426"/>
    <x v="317"/>
    <x v="378"/>
    <x v="3"/>
    <x v="4"/>
    <x v="5"/>
    <x v="1"/>
    <n v="20"/>
    <n v="931.39"/>
    <n v="0"/>
    <x v="424"/>
    <x v="0"/>
    <x v="0"/>
  </r>
  <r>
    <x v="427"/>
    <x v="318"/>
    <x v="379"/>
    <x v="2"/>
    <x v="8"/>
    <x v="5"/>
    <x v="1"/>
    <n v="46"/>
    <n v="447.59"/>
    <n v="5"/>
    <x v="425"/>
    <x v="1"/>
    <x v="0"/>
  </r>
  <r>
    <x v="428"/>
    <x v="44"/>
    <x v="185"/>
    <x v="3"/>
    <x v="16"/>
    <x v="5"/>
    <x v="1"/>
    <n v="20"/>
    <n v="1060.94"/>
    <n v="0"/>
    <x v="426"/>
    <x v="1"/>
    <x v="0"/>
  </r>
  <r>
    <x v="429"/>
    <x v="319"/>
    <x v="380"/>
    <x v="2"/>
    <x v="12"/>
    <x v="5"/>
    <x v="1"/>
    <n v="46"/>
    <n v="493.25"/>
    <n v="5"/>
    <x v="427"/>
    <x v="0"/>
    <x v="0"/>
  </r>
  <r>
    <x v="430"/>
    <x v="198"/>
    <x v="210"/>
    <x v="0"/>
    <x v="17"/>
    <x v="5"/>
    <x v="1"/>
    <n v="49"/>
    <n v="492.54"/>
    <n v="10"/>
    <x v="428"/>
    <x v="4"/>
    <x v="1"/>
  </r>
  <r>
    <x v="431"/>
    <x v="320"/>
    <x v="381"/>
    <x v="1"/>
    <x v="2"/>
    <x v="5"/>
    <x v="1"/>
    <n v="30"/>
    <n v="866.74"/>
    <n v="15"/>
    <x v="429"/>
    <x v="0"/>
    <x v="1"/>
  </r>
  <r>
    <x v="432"/>
    <x v="321"/>
    <x v="382"/>
    <x v="0"/>
    <x v="17"/>
    <x v="5"/>
    <x v="1"/>
    <n v="27"/>
    <n v="820.61"/>
    <n v="0"/>
    <x v="430"/>
    <x v="3"/>
    <x v="1"/>
  </r>
  <r>
    <x v="433"/>
    <x v="291"/>
    <x v="374"/>
    <x v="0"/>
    <x v="14"/>
    <x v="5"/>
    <x v="1"/>
    <n v="29"/>
    <n v="911.27"/>
    <n v="15"/>
    <x v="431"/>
    <x v="2"/>
    <x v="0"/>
  </r>
  <r>
    <x v="434"/>
    <x v="322"/>
    <x v="302"/>
    <x v="3"/>
    <x v="16"/>
    <x v="5"/>
    <x v="1"/>
    <n v="22"/>
    <n v="1060.18"/>
    <n v="0"/>
    <x v="432"/>
    <x v="1"/>
    <x v="0"/>
  </r>
  <r>
    <x v="435"/>
    <x v="323"/>
    <x v="383"/>
    <x v="3"/>
    <x v="16"/>
    <x v="5"/>
    <x v="1"/>
    <n v="23"/>
    <n v="1067.8900000000001"/>
    <n v="5"/>
    <x v="433"/>
    <x v="2"/>
    <x v="1"/>
  </r>
  <r>
    <x v="436"/>
    <x v="65"/>
    <x v="384"/>
    <x v="3"/>
    <x v="4"/>
    <x v="5"/>
    <x v="1"/>
    <n v="28"/>
    <n v="837.68"/>
    <n v="0"/>
    <x v="434"/>
    <x v="2"/>
    <x v="0"/>
  </r>
  <r>
    <x v="437"/>
    <x v="324"/>
    <x v="385"/>
    <x v="3"/>
    <x v="10"/>
    <x v="5"/>
    <x v="1"/>
    <n v="23"/>
    <n v="1098.1500000000001"/>
    <n v="5"/>
    <x v="435"/>
    <x v="2"/>
    <x v="0"/>
  </r>
  <r>
    <x v="438"/>
    <x v="248"/>
    <x v="187"/>
    <x v="3"/>
    <x v="7"/>
    <x v="5"/>
    <x v="1"/>
    <n v="29"/>
    <n v="888.38"/>
    <n v="0"/>
    <x v="436"/>
    <x v="3"/>
    <x v="0"/>
  </r>
  <r>
    <x v="439"/>
    <x v="325"/>
    <x v="386"/>
    <x v="0"/>
    <x v="0"/>
    <x v="5"/>
    <x v="1"/>
    <n v="27"/>
    <n v="981.57"/>
    <n v="0"/>
    <x v="437"/>
    <x v="4"/>
    <x v="1"/>
  </r>
  <r>
    <x v="440"/>
    <x v="127"/>
    <x v="32"/>
    <x v="0"/>
    <x v="17"/>
    <x v="5"/>
    <x v="1"/>
    <n v="32"/>
    <n v="1071.22"/>
    <n v="20"/>
    <x v="438"/>
    <x v="4"/>
    <x v="1"/>
  </r>
  <r>
    <x v="441"/>
    <x v="326"/>
    <x v="387"/>
    <x v="0"/>
    <x v="11"/>
    <x v="5"/>
    <x v="1"/>
    <n v="37"/>
    <n v="946.14"/>
    <n v="20"/>
    <x v="439"/>
    <x v="3"/>
    <x v="1"/>
  </r>
  <r>
    <x v="442"/>
    <x v="327"/>
    <x v="388"/>
    <x v="2"/>
    <x v="8"/>
    <x v="5"/>
    <x v="1"/>
    <n v="31"/>
    <n v="1173.43"/>
    <n v="20"/>
    <x v="440"/>
    <x v="3"/>
    <x v="0"/>
  </r>
  <r>
    <x v="443"/>
    <x v="30"/>
    <x v="389"/>
    <x v="1"/>
    <x v="5"/>
    <x v="5"/>
    <x v="1"/>
    <n v="32"/>
    <n v="1124.83"/>
    <n v="15"/>
    <x v="441"/>
    <x v="0"/>
    <x v="0"/>
  </r>
  <r>
    <x v="444"/>
    <x v="328"/>
    <x v="40"/>
    <x v="2"/>
    <x v="13"/>
    <x v="5"/>
    <x v="1"/>
    <n v="36"/>
    <n v="1022.56"/>
    <n v="15"/>
    <x v="442"/>
    <x v="2"/>
    <x v="0"/>
  </r>
  <r>
    <x v="445"/>
    <x v="329"/>
    <x v="390"/>
    <x v="3"/>
    <x v="4"/>
    <x v="5"/>
    <x v="1"/>
    <n v="45"/>
    <n v="825.24"/>
    <n v="15"/>
    <x v="443"/>
    <x v="4"/>
    <x v="0"/>
  </r>
  <r>
    <x v="446"/>
    <x v="330"/>
    <x v="391"/>
    <x v="3"/>
    <x v="4"/>
    <x v="5"/>
    <x v="1"/>
    <n v="44"/>
    <n v="903.71"/>
    <n v="20"/>
    <x v="444"/>
    <x v="4"/>
    <x v="0"/>
  </r>
  <r>
    <x v="447"/>
    <x v="331"/>
    <x v="392"/>
    <x v="2"/>
    <x v="13"/>
    <x v="5"/>
    <x v="1"/>
    <n v="30"/>
    <n v="1190.69"/>
    <n v="10"/>
    <x v="445"/>
    <x v="3"/>
    <x v="1"/>
  </r>
  <r>
    <x v="448"/>
    <x v="332"/>
    <x v="352"/>
    <x v="2"/>
    <x v="15"/>
    <x v="5"/>
    <x v="1"/>
    <n v="40"/>
    <n v="868.09"/>
    <n v="5"/>
    <x v="446"/>
    <x v="4"/>
    <x v="0"/>
  </r>
  <r>
    <x v="449"/>
    <x v="333"/>
    <x v="393"/>
    <x v="3"/>
    <x v="10"/>
    <x v="5"/>
    <x v="1"/>
    <n v="38"/>
    <n v="1072.3499999999999"/>
    <n v="10"/>
    <x v="447"/>
    <x v="4"/>
    <x v="0"/>
  </r>
  <r>
    <x v="450"/>
    <x v="334"/>
    <x v="394"/>
    <x v="3"/>
    <x v="4"/>
    <x v="5"/>
    <x v="1"/>
    <n v="38"/>
    <n v="996.33"/>
    <n v="0"/>
    <x v="448"/>
    <x v="2"/>
    <x v="0"/>
  </r>
  <r>
    <x v="451"/>
    <x v="335"/>
    <x v="395"/>
    <x v="0"/>
    <x v="0"/>
    <x v="5"/>
    <x v="1"/>
    <n v="41"/>
    <n v="1135.24"/>
    <n v="15"/>
    <x v="449"/>
    <x v="3"/>
    <x v="0"/>
  </r>
  <r>
    <x v="452"/>
    <x v="193"/>
    <x v="396"/>
    <x v="2"/>
    <x v="15"/>
    <x v="5"/>
    <x v="1"/>
    <n v="43"/>
    <n v="962.73"/>
    <n v="0"/>
    <x v="450"/>
    <x v="1"/>
    <x v="1"/>
  </r>
  <r>
    <x v="453"/>
    <x v="336"/>
    <x v="397"/>
    <x v="3"/>
    <x v="10"/>
    <x v="5"/>
    <x v="1"/>
    <n v="38"/>
    <n v="1136.42"/>
    <n v="0"/>
    <x v="451"/>
    <x v="3"/>
    <x v="0"/>
  </r>
  <r>
    <x v="454"/>
    <x v="337"/>
    <x v="398"/>
    <x v="0"/>
    <x v="0"/>
    <x v="5"/>
    <x v="1"/>
    <n v="48"/>
    <n v="1072.57"/>
    <n v="15"/>
    <x v="452"/>
    <x v="0"/>
    <x v="1"/>
  </r>
  <r>
    <x v="455"/>
    <x v="338"/>
    <x v="399"/>
    <x v="0"/>
    <x v="1"/>
    <x v="5"/>
    <x v="1"/>
    <n v="49"/>
    <n v="1057.0999999999999"/>
    <n v="15"/>
    <x v="453"/>
    <x v="2"/>
    <x v="0"/>
  </r>
  <r>
    <x v="456"/>
    <x v="265"/>
    <x v="400"/>
    <x v="0"/>
    <x v="14"/>
    <x v="5"/>
    <x v="1"/>
    <n v="50"/>
    <n v="903.41"/>
    <n v="0"/>
    <x v="454"/>
    <x v="4"/>
    <x v="0"/>
  </r>
  <r>
    <x v="457"/>
    <x v="339"/>
    <x v="401"/>
    <x v="2"/>
    <x v="8"/>
    <x v="5"/>
    <x v="1"/>
    <n v="41"/>
    <n v="1104.3599999999999"/>
    <n v="0"/>
    <x v="455"/>
    <x v="0"/>
    <x v="0"/>
  </r>
  <r>
    <x v="458"/>
    <x v="249"/>
    <x v="402"/>
    <x v="3"/>
    <x v="7"/>
    <x v="5"/>
    <x v="1"/>
    <n v="47"/>
    <n v="963.71"/>
    <n v="0"/>
    <x v="456"/>
    <x v="2"/>
    <x v="0"/>
  </r>
  <r>
    <x v="459"/>
    <x v="291"/>
    <x v="403"/>
    <x v="1"/>
    <x v="19"/>
    <x v="5"/>
    <x v="1"/>
    <n v="50"/>
    <n v="1158.33"/>
    <n v="20"/>
    <x v="457"/>
    <x v="0"/>
    <x v="1"/>
  </r>
  <r>
    <x v="460"/>
    <x v="171"/>
    <x v="404"/>
    <x v="3"/>
    <x v="7"/>
    <x v="5"/>
    <x v="1"/>
    <n v="49"/>
    <n v="1031.46"/>
    <n v="5"/>
    <x v="458"/>
    <x v="3"/>
    <x v="1"/>
  </r>
  <r>
    <x v="461"/>
    <x v="144"/>
    <x v="322"/>
    <x v="3"/>
    <x v="4"/>
    <x v="5"/>
    <x v="1"/>
    <n v="48"/>
    <n v="1106.83"/>
    <n v="0"/>
    <x v="459"/>
    <x v="4"/>
    <x v="0"/>
  </r>
  <r>
    <x v="462"/>
    <x v="171"/>
    <x v="405"/>
    <x v="0"/>
    <x v="11"/>
    <x v="5"/>
    <x v="1"/>
    <n v="49"/>
    <n v="1146.6400000000001"/>
    <n v="5"/>
    <x v="460"/>
    <x v="1"/>
    <x v="0"/>
  </r>
  <r>
    <x v="463"/>
    <x v="201"/>
    <x v="406"/>
    <x v="3"/>
    <x v="16"/>
    <x v="6"/>
    <x v="1"/>
    <n v="4"/>
    <n v="106.11"/>
    <n v="0"/>
    <x v="461"/>
    <x v="0"/>
    <x v="1"/>
  </r>
  <r>
    <x v="464"/>
    <x v="340"/>
    <x v="407"/>
    <x v="0"/>
    <x v="14"/>
    <x v="6"/>
    <x v="1"/>
    <n v="5"/>
    <n v="104.09"/>
    <n v="0"/>
    <x v="462"/>
    <x v="1"/>
    <x v="1"/>
  </r>
  <r>
    <x v="465"/>
    <x v="39"/>
    <x v="408"/>
    <x v="1"/>
    <x v="2"/>
    <x v="6"/>
    <x v="1"/>
    <n v="8"/>
    <n v="127.72"/>
    <n v="10"/>
    <x v="463"/>
    <x v="4"/>
    <x v="0"/>
  </r>
  <r>
    <x v="466"/>
    <x v="128"/>
    <x v="409"/>
    <x v="0"/>
    <x v="0"/>
    <x v="6"/>
    <x v="1"/>
    <n v="8"/>
    <n v="162.71"/>
    <n v="0"/>
    <x v="464"/>
    <x v="4"/>
    <x v="0"/>
  </r>
  <r>
    <x v="467"/>
    <x v="146"/>
    <x v="410"/>
    <x v="3"/>
    <x v="4"/>
    <x v="6"/>
    <x v="1"/>
    <n v="7"/>
    <n v="254.45"/>
    <n v="5"/>
    <x v="465"/>
    <x v="1"/>
    <x v="1"/>
  </r>
  <r>
    <x v="468"/>
    <x v="341"/>
    <x v="411"/>
    <x v="2"/>
    <x v="3"/>
    <x v="6"/>
    <x v="1"/>
    <n v="7"/>
    <n v="285.07"/>
    <n v="10"/>
    <x v="466"/>
    <x v="0"/>
    <x v="0"/>
  </r>
  <r>
    <x v="469"/>
    <x v="96"/>
    <x v="412"/>
    <x v="1"/>
    <x v="9"/>
    <x v="6"/>
    <x v="1"/>
    <n v="10"/>
    <n v="235.56"/>
    <n v="20"/>
    <x v="467"/>
    <x v="0"/>
    <x v="0"/>
  </r>
  <r>
    <x v="470"/>
    <x v="342"/>
    <x v="413"/>
    <x v="1"/>
    <x v="9"/>
    <x v="6"/>
    <x v="1"/>
    <n v="19"/>
    <n v="121.28"/>
    <n v="5"/>
    <x v="468"/>
    <x v="2"/>
    <x v="1"/>
  </r>
  <r>
    <x v="471"/>
    <x v="196"/>
    <x v="414"/>
    <x v="3"/>
    <x v="6"/>
    <x v="6"/>
    <x v="1"/>
    <n v="8"/>
    <n v="308.27"/>
    <n v="10"/>
    <x v="469"/>
    <x v="0"/>
    <x v="0"/>
  </r>
  <r>
    <x v="472"/>
    <x v="343"/>
    <x v="415"/>
    <x v="2"/>
    <x v="12"/>
    <x v="6"/>
    <x v="1"/>
    <n v="16"/>
    <n v="145.46"/>
    <n v="0"/>
    <x v="470"/>
    <x v="3"/>
    <x v="0"/>
  </r>
  <r>
    <x v="473"/>
    <x v="344"/>
    <x v="416"/>
    <x v="3"/>
    <x v="6"/>
    <x v="6"/>
    <x v="1"/>
    <n v="21"/>
    <n v="110.99"/>
    <n v="0"/>
    <x v="471"/>
    <x v="4"/>
    <x v="1"/>
  </r>
  <r>
    <x v="474"/>
    <x v="345"/>
    <x v="417"/>
    <x v="2"/>
    <x v="13"/>
    <x v="6"/>
    <x v="1"/>
    <n v="28"/>
    <n v="107.44"/>
    <n v="20"/>
    <x v="472"/>
    <x v="3"/>
    <x v="1"/>
  </r>
  <r>
    <x v="475"/>
    <x v="346"/>
    <x v="418"/>
    <x v="0"/>
    <x v="11"/>
    <x v="6"/>
    <x v="1"/>
    <n v="10"/>
    <n v="296.54000000000002"/>
    <n v="10"/>
    <x v="473"/>
    <x v="0"/>
    <x v="1"/>
  </r>
  <r>
    <x v="476"/>
    <x v="347"/>
    <x v="419"/>
    <x v="2"/>
    <x v="3"/>
    <x v="6"/>
    <x v="1"/>
    <n v="22"/>
    <n v="138.44999999999999"/>
    <n v="10"/>
    <x v="474"/>
    <x v="1"/>
    <x v="0"/>
  </r>
  <r>
    <x v="477"/>
    <x v="348"/>
    <x v="420"/>
    <x v="3"/>
    <x v="16"/>
    <x v="6"/>
    <x v="1"/>
    <n v="19"/>
    <n v="144.79"/>
    <n v="0"/>
    <x v="475"/>
    <x v="1"/>
    <x v="0"/>
  </r>
  <r>
    <x v="478"/>
    <x v="349"/>
    <x v="421"/>
    <x v="1"/>
    <x v="18"/>
    <x v="6"/>
    <x v="1"/>
    <n v="22"/>
    <n v="160.16999999999999"/>
    <n v="15"/>
    <x v="476"/>
    <x v="3"/>
    <x v="1"/>
  </r>
  <r>
    <x v="479"/>
    <x v="273"/>
    <x v="422"/>
    <x v="2"/>
    <x v="8"/>
    <x v="6"/>
    <x v="1"/>
    <n v="12"/>
    <n v="289.37"/>
    <n v="10"/>
    <x v="477"/>
    <x v="4"/>
    <x v="0"/>
  </r>
  <r>
    <x v="480"/>
    <x v="350"/>
    <x v="423"/>
    <x v="0"/>
    <x v="0"/>
    <x v="6"/>
    <x v="1"/>
    <n v="22"/>
    <n v="172.23"/>
    <n v="15"/>
    <x v="478"/>
    <x v="0"/>
    <x v="0"/>
  </r>
  <r>
    <x v="481"/>
    <x v="189"/>
    <x v="424"/>
    <x v="0"/>
    <x v="1"/>
    <x v="6"/>
    <x v="1"/>
    <n v="12"/>
    <n v="298.70999999999998"/>
    <n v="10"/>
    <x v="479"/>
    <x v="4"/>
    <x v="0"/>
  </r>
  <r>
    <x v="482"/>
    <x v="80"/>
    <x v="425"/>
    <x v="3"/>
    <x v="6"/>
    <x v="6"/>
    <x v="1"/>
    <n v="15"/>
    <n v="229.27"/>
    <n v="0"/>
    <x v="480"/>
    <x v="3"/>
    <x v="0"/>
  </r>
  <r>
    <x v="483"/>
    <x v="50"/>
    <x v="426"/>
    <x v="1"/>
    <x v="5"/>
    <x v="6"/>
    <x v="1"/>
    <n v="16"/>
    <n v="216.47"/>
    <n v="0"/>
    <x v="481"/>
    <x v="4"/>
    <x v="0"/>
  </r>
  <r>
    <x v="484"/>
    <x v="289"/>
    <x v="226"/>
    <x v="0"/>
    <x v="17"/>
    <x v="6"/>
    <x v="1"/>
    <n v="28"/>
    <n v="135.91"/>
    <n v="5"/>
    <x v="482"/>
    <x v="4"/>
    <x v="1"/>
  </r>
  <r>
    <x v="485"/>
    <x v="351"/>
    <x v="427"/>
    <x v="1"/>
    <x v="18"/>
    <x v="6"/>
    <x v="1"/>
    <n v="14"/>
    <n v="329.22"/>
    <n v="20"/>
    <x v="483"/>
    <x v="4"/>
    <x v="0"/>
  </r>
  <r>
    <x v="486"/>
    <x v="352"/>
    <x v="132"/>
    <x v="1"/>
    <x v="19"/>
    <x v="6"/>
    <x v="1"/>
    <n v="14"/>
    <n v="267.83"/>
    <n v="0"/>
    <x v="484"/>
    <x v="2"/>
    <x v="0"/>
  </r>
  <r>
    <x v="487"/>
    <x v="353"/>
    <x v="428"/>
    <x v="1"/>
    <x v="18"/>
    <x v="6"/>
    <x v="1"/>
    <n v="38"/>
    <n v="109.79"/>
    <n v="10"/>
    <x v="485"/>
    <x v="4"/>
    <x v="0"/>
  </r>
  <r>
    <x v="488"/>
    <x v="169"/>
    <x v="429"/>
    <x v="3"/>
    <x v="6"/>
    <x v="6"/>
    <x v="1"/>
    <n v="34"/>
    <n v="111.61"/>
    <n v="0"/>
    <x v="486"/>
    <x v="4"/>
    <x v="1"/>
  </r>
  <r>
    <x v="489"/>
    <x v="219"/>
    <x v="430"/>
    <x v="2"/>
    <x v="12"/>
    <x v="6"/>
    <x v="1"/>
    <n v="33"/>
    <n v="122.36"/>
    <n v="5"/>
    <x v="487"/>
    <x v="3"/>
    <x v="0"/>
  </r>
  <r>
    <x v="490"/>
    <x v="354"/>
    <x v="431"/>
    <x v="2"/>
    <x v="12"/>
    <x v="6"/>
    <x v="1"/>
    <n v="15"/>
    <n v="294.58999999999997"/>
    <n v="10"/>
    <x v="488"/>
    <x v="3"/>
    <x v="1"/>
  </r>
  <r>
    <x v="491"/>
    <x v="355"/>
    <x v="432"/>
    <x v="1"/>
    <x v="5"/>
    <x v="6"/>
    <x v="1"/>
    <n v="12"/>
    <n v="355.03"/>
    <n v="5"/>
    <x v="489"/>
    <x v="4"/>
    <x v="0"/>
  </r>
  <r>
    <x v="492"/>
    <x v="333"/>
    <x v="57"/>
    <x v="0"/>
    <x v="1"/>
    <x v="6"/>
    <x v="1"/>
    <n v="34"/>
    <n v="139.1"/>
    <n v="10"/>
    <x v="490"/>
    <x v="3"/>
    <x v="0"/>
  </r>
  <r>
    <x v="493"/>
    <x v="148"/>
    <x v="341"/>
    <x v="2"/>
    <x v="8"/>
    <x v="6"/>
    <x v="1"/>
    <n v="16"/>
    <n v="318.41000000000003"/>
    <n v="15"/>
    <x v="491"/>
    <x v="1"/>
    <x v="1"/>
  </r>
  <r>
    <x v="494"/>
    <x v="199"/>
    <x v="433"/>
    <x v="2"/>
    <x v="8"/>
    <x v="6"/>
    <x v="1"/>
    <n v="42"/>
    <n v="108.45"/>
    <n v="0"/>
    <x v="492"/>
    <x v="4"/>
    <x v="0"/>
  </r>
  <r>
    <x v="495"/>
    <x v="356"/>
    <x v="434"/>
    <x v="1"/>
    <x v="18"/>
    <x v="6"/>
    <x v="1"/>
    <n v="29"/>
    <n v="166.43"/>
    <n v="5"/>
    <x v="493"/>
    <x v="0"/>
    <x v="0"/>
  </r>
  <r>
    <x v="496"/>
    <x v="357"/>
    <x v="435"/>
    <x v="3"/>
    <x v="4"/>
    <x v="6"/>
    <x v="1"/>
    <n v="28"/>
    <n v="210.32"/>
    <n v="20"/>
    <x v="494"/>
    <x v="4"/>
    <x v="0"/>
  </r>
  <r>
    <x v="497"/>
    <x v="358"/>
    <x v="436"/>
    <x v="2"/>
    <x v="12"/>
    <x v="6"/>
    <x v="1"/>
    <n v="20"/>
    <n v="238.17"/>
    <n v="0"/>
    <x v="495"/>
    <x v="3"/>
    <x v="0"/>
  </r>
  <r>
    <x v="498"/>
    <x v="59"/>
    <x v="437"/>
    <x v="3"/>
    <x v="6"/>
    <x v="6"/>
    <x v="1"/>
    <n v="22"/>
    <n v="272.37"/>
    <n v="20"/>
    <x v="496"/>
    <x v="1"/>
    <x v="0"/>
  </r>
  <r>
    <x v="499"/>
    <x v="359"/>
    <x v="438"/>
    <x v="3"/>
    <x v="10"/>
    <x v="6"/>
    <x v="1"/>
    <n v="34"/>
    <n v="142.13999999999999"/>
    <n v="0"/>
    <x v="497"/>
    <x v="2"/>
    <x v="1"/>
  </r>
  <r>
    <x v="500"/>
    <x v="360"/>
    <x v="439"/>
    <x v="1"/>
    <x v="19"/>
    <x v="6"/>
    <x v="1"/>
    <n v="41"/>
    <n v="119.25"/>
    <n v="0"/>
    <x v="498"/>
    <x v="4"/>
    <x v="1"/>
  </r>
  <r>
    <x v="501"/>
    <x v="361"/>
    <x v="440"/>
    <x v="2"/>
    <x v="15"/>
    <x v="6"/>
    <x v="1"/>
    <n v="45"/>
    <n v="115.06"/>
    <n v="0"/>
    <x v="499"/>
    <x v="3"/>
    <x v="0"/>
  </r>
  <r>
    <x v="502"/>
    <x v="12"/>
    <x v="441"/>
    <x v="1"/>
    <x v="9"/>
    <x v="6"/>
    <x v="1"/>
    <n v="47"/>
    <n v="123.31"/>
    <n v="10"/>
    <x v="500"/>
    <x v="1"/>
    <x v="1"/>
  </r>
  <r>
    <x v="503"/>
    <x v="362"/>
    <x v="442"/>
    <x v="3"/>
    <x v="10"/>
    <x v="6"/>
    <x v="1"/>
    <n v="35"/>
    <n v="156.97999999999999"/>
    <n v="5"/>
    <x v="501"/>
    <x v="2"/>
    <x v="1"/>
  </r>
  <r>
    <x v="504"/>
    <x v="124"/>
    <x v="443"/>
    <x v="0"/>
    <x v="17"/>
    <x v="6"/>
    <x v="1"/>
    <n v="22"/>
    <n v="264.98"/>
    <n v="10"/>
    <x v="502"/>
    <x v="1"/>
    <x v="0"/>
  </r>
  <r>
    <x v="505"/>
    <x v="363"/>
    <x v="444"/>
    <x v="0"/>
    <x v="1"/>
    <x v="6"/>
    <x v="1"/>
    <n v="18"/>
    <n v="313.83999999999997"/>
    <n v="5"/>
    <x v="503"/>
    <x v="3"/>
    <x v="0"/>
  </r>
  <r>
    <x v="506"/>
    <x v="364"/>
    <x v="445"/>
    <x v="2"/>
    <x v="15"/>
    <x v="6"/>
    <x v="1"/>
    <n v="24"/>
    <n v="230.19"/>
    <n v="0"/>
    <x v="504"/>
    <x v="3"/>
    <x v="0"/>
  </r>
  <r>
    <x v="507"/>
    <x v="365"/>
    <x v="446"/>
    <x v="2"/>
    <x v="3"/>
    <x v="6"/>
    <x v="1"/>
    <n v="24"/>
    <n v="257.92"/>
    <n v="10"/>
    <x v="505"/>
    <x v="0"/>
    <x v="1"/>
  </r>
  <r>
    <x v="508"/>
    <x v="366"/>
    <x v="447"/>
    <x v="2"/>
    <x v="8"/>
    <x v="6"/>
    <x v="1"/>
    <n v="46"/>
    <n v="149.63999999999999"/>
    <n v="15"/>
    <x v="506"/>
    <x v="1"/>
    <x v="0"/>
  </r>
  <r>
    <x v="509"/>
    <x v="367"/>
    <x v="448"/>
    <x v="1"/>
    <x v="19"/>
    <x v="6"/>
    <x v="1"/>
    <n v="24"/>
    <n v="296.8"/>
    <n v="15"/>
    <x v="507"/>
    <x v="1"/>
    <x v="0"/>
  </r>
  <r>
    <x v="510"/>
    <x v="314"/>
    <x v="449"/>
    <x v="1"/>
    <x v="5"/>
    <x v="6"/>
    <x v="1"/>
    <n v="30"/>
    <n v="203.5"/>
    <n v="0"/>
    <x v="508"/>
    <x v="4"/>
    <x v="1"/>
  </r>
  <r>
    <x v="511"/>
    <x v="368"/>
    <x v="450"/>
    <x v="2"/>
    <x v="15"/>
    <x v="6"/>
    <x v="1"/>
    <n v="45"/>
    <n v="137.80000000000001"/>
    <n v="0"/>
    <x v="509"/>
    <x v="4"/>
    <x v="0"/>
  </r>
  <r>
    <x v="512"/>
    <x v="367"/>
    <x v="374"/>
    <x v="3"/>
    <x v="6"/>
    <x v="6"/>
    <x v="1"/>
    <n v="44"/>
    <n v="153.82"/>
    <n v="5"/>
    <x v="510"/>
    <x v="4"/>
    <x v="0"/>
  </r>
  <r>
    <x v="513"/>
    <x v="369"/>
    <x v="111"/>
    <x v="0"/>
    <x v="0"/>
    <x v="6"/>
    <x v="1"/>
    <n v="19"/>
    <n v="372.87"/>
    <n v="0"/>
    <x v="511"/>
    <x v="0"/>
    <x v="0"/>
  </r>
  <r>
    <x v="514"/>
    <x v="370"/>
    <x v="41"/>
    <x v="1"/>
    <x v="19"/>
    <x v="6"/>
    <x v="1"/>
    <n v="38"/>
    <n v="187.2"/>
    <n v="0"/>
    <x v="512"/>
    <x v="3"/>
    <x v="0"/>
  </r>
  <r>
    <x v="515"/>
    <x v="371"/>
    <x v="451"/>
    <x v="1"/>
    <x v="2"/>
    <x v="6"/>
    <x v="1"/>
    <n v="32"/>
    <n v="272.98"/>
    <n v="10"/>
    <x v="513"/>
    <x v="3"/>
    <x v="0"/>
  </r>
  <r>
    <x v="516"/>
    <x v="366"/>
    <x v="452"/>
    <x v="3"/>
    <x v="6"/>
    <x v="6"/>
    <x v="1"/>
    <n v="41"/>
    <n v="212.4"/>
    <n v="5"/>
    <x v="514"/>
    <x v="3"/>
    <x v="0"/>
  </r>
  <r>
    <x v="517"/>
    <x v="207"/>
    <x v="453"/>
    <x v="3"/>
    <x v="10"/>
    <x v="6"/>
    <x v="1"/>
    <n v="40"/>
    <n v="218.18"/>
    <n v="5"/>
    <x v="515"/>
    <x v="2"/>
    <x v="1"/>
  </r>
  <r>
    <x v="518"/>
    <x v="251"/>
    <x v="323"/>
    <x v="2"/>
    <x v="8"/>
    <x v="6"/>
    <x v="1"/>
    <n v="22"/>
    <n v="383.53"/>
    <n v="0"/>
    <x v="516"/>
    <x v="1"/>
    <x v="0"/>
  </r>
  <r>
    <x v="519"/>
    <x v="372"/>
    <x v="454"/>
    <x v="0"/>
    <x v="0"/>
    <x v="6"/>
    <x v="1"/>
    <n v="25"/>
    <n v="386.81"/>
    <n v="10"/>
    <x v="517"/>
    <x v="4"/>
    <x v="1"/>
  </r>
  <r>
    <x v="520"/>
    <x v="373"/>
    <x v="414"/>
    <x v="0"/>
    <x v="14"/>
    <x v="6"/>
    <x v="1"/>
    <n v="43"/>
    <n v="255.52"/>
    <n v="20"/>
    <x v="518"/>
    <x v="4"/>
    <x v="0"/>
  </r>
  <r>
    <x v="521"/>
    <x v="114"/>
    <x v="455"/>
    <x v="0"/>
    <x v="1"/>
    <x v="6"/>
    <x v="1"/>
    <n v="42"/>
    <n v="270.57"/>
    <n v="20"/>
    <x v="519"/>
    <x v="1"/>
    <x v="0"/>
  </r>
  <r>
    <x v="522"/>
    <x v="173"/>
    <x v="456"/>
    <x v="0"/>
    <x v="0"/>
    <x v="6"/>
    <x v="1"/>
    <n v="34"/>
    <n v="271.64"/>
    <n v="0"/>
    <x v="520"/>
    <x v="3"/>
    <x v="1"/>
  </r>
  <r>
    <x v="523"/>
    <x v="374"/>
    <x v="457"/>
    <x v="2"/>
    <x v="3"/>
    <x v="6"/>
    <x v="1"/>
    <n v="43"/>
    <n v="228.04"/>
    <n v="5"/>
    <x v="521"/>
    <x v="4"/>
    <x v="0"/>
  </r>
  <r>
    <x v="524"/>
    <x v="67"/>
    <x v="458"/>
    <x v="1"/>
    <x v="9"/>
    <x v="6"/>
    <x v="1"/>
    <n v="32"/>
    <n v="293.62"/>
    <n v="0"/>
    <x v="522"/>
    <x v="4"/>
    <x v="0"/>
  </r>
  <r>
    <x v="525"/>
    <x v="375"/>
    <x v="459"/>
    <x v="2"/>
    <x v="12"/>
    <x v="6"/>
    <x v="1"/>
    <n v="26"/>
    <n v="375.46"/>
    <n v="0"/>
    <x v="523"/>
    <x v="2"/>
    <x v="1"/>
  </r>
  <r>
    <x v="526"/>
    <x v="376"/>
    <x v="431"/>
    <x v="0"/>
    <x v="11"/>
    <x v="6"/>
    <x v="1"/>
    <n v="39"/>
    <n v="290.32"/>
    <n v="10"/>
    <x v="524"/>
    <x v="0"/>
    <x v="0"/>
  </r>
  <r>
    <x v="527"/>
    <x v="244"/>
    <x v="460"/>
    <x v="0"/>
    <x v="14"/>
    <x v="6"/>
    <x v="1"/>
    <n v="50"/>
    <n v="277.97000000000003"/>
    <n v="20"/>
    <x v="525"/>
    <x v="4"/>
    <x v="1"/>
  </r>
  <r>
    <x v="528"/>
    <x v="332"/>
    <x v="461"/>
    <x v="1"/>
    <x v="9"/>
    <x v="6"/>
    <x v="1"/>
    <n v="36"/>
    <n v="327.82"/>
    <n v="5"/>
    <x v="526"/>
    <x v="2"/>
    <x v="0"/>
  </r>
  <r>
    <x v="529"/>
    <x v="377"/>
    <x v="113"/>
    <x v="1"/>
    <x v="18"/>
    <x v="6"/>
    <x v="1"/>
    <n v="44"/>
    <n v="302.27999999999997"/>
    <n v="15"/>
    <x v="527"/>
    <x v="1"/>
    <x v="1"/>
  </r>
  <r>
    <x v="530"/>
    <x v="378"/>
    <x v="462"/>
    <x v="3"/>
    <x v="16"/>
    <x v="6"/>
    <x v="1"/>
    <n v="38"/>
    <n v="299.82"/>
    <n v="0"/>
    <x v="528"/>
    <x v="2"/>
    <x v="1"/>
  </r>
  <r>
    <x v="531"/>
    <x v="379"/>
    <x v="463"/>
    <x v="2"/>
    <x v="13"/>
    <x v="6"/>
    <x v="1"/>
    <n v="34"/>
    <n v="363.67"/>
    <n v="5"/>
    <x v="529"/>
    <x v="1"/>
    <x v="0"/>
  </r>
  <r>
    <x v="532"/>
    <x v="380"/>
    <x v="10"/>
    <x v="3"/>
    <x v="4"/>
    <x v="6"/>
    <x v="1"/>
    <n v="38"/>
    <n v="311.33"/>
    <n v="0"/>
    <x v="530"/>
    <x v="4"/>
    <x v="0"/>
  </r>
  <r>
    <x v="533"/>
    <x v="289"/>
    <x v="20"/>
    <x v="0"/>
    <x v="14"/>
    <x v="6"/>
    <x v="1"/>
    <n v="45"/>
    <n v="297.45999999999998"/>
    <n v="10"/>
    <x v="531"/>
    <x v="2"/>
    <x v="0"/>
  </r>
  <r>
    <x v="534"/>
    <x v="381"/>
    <x v="168"/>
    <x v="2"/>
    <x v="13"/>
    <x v="6"/>
    <x v="1"/>
    <n v="45"/>
    <n v="283.91000000000003"/>
    <n v="5"/>
    <x v="532"/>
    <x v="3"/>
    <x v="0"/>
  </r>
  <r>
    <x v="535"/>
    <x v="382"/>
    <x v="464"/>
    <x v="3"/>
    <x v="7"/>
    <x v="6"/>
    <x v="1"/>
    <n v="47"/>
    <n v="309.42"/>
    <n v="15"/>
    <x v="533"/>
    <x v="1"/>
    <x v="0"/>
  </r>
  <r>
    <x v="536"/>
    <x v="383"/>
    <x v="56"/>
    <x v="2"/>
    <x v="13"/>
    <x v="6"/>
    <x v="1"/>
    <n v="42"/>
    <n v="327.45"/>
    <n v="10"/>
    <x v="534"/>
    <x v="3"/>
    <x v="0"/>
  </r>
  <r>
    <x v="537"/>
    <x v="384"/>
    <x v="465"/>
    <x v="3"/>
    <x v="7"/>
    <x v="6"/>
    <x v="1"/>
    <n v="49"/>
    <n v="255.24"/>
    <n v="0"/>
    <x v="535"/>
    <x v="1"/>
    <x v="0"/>
  </r>
  <r>
    <x v="538"/>
    <x v="385"/>
    <x v="466"/>
    <x v="2"/>
    <x v="8"/>
    <x v="6"/>
    <x v="1"/>
    <n v="42"/>
    <n v="334.82"/>
    <n v="5"/>
    <x v="536"/>
    <x v="4"/>
    <x v="0"/>
  </r>
  <r>
    <x v="539"/>
    <x v="386"/>
    <x v="467"/>
    <x v="1"/>
    <x v="9"/>
    <x v="6"/>
    <x v="1"/>
    <n v="42"/>
    <n v="356.62"/>
    <n v="5"/>
    <x v="537"/>
    <x v="1"/>
    <x v="0"/>
  </r>
  <r>
    <x v="540"/>
    <x v="387"/>
    <x v="468"/>
    <x v="3"/>
    <x v="4"/>
    <x v="6"/>
    <x v="1"/>
    <n v="42"/>
    <n v="381.24"/>
    <n v="5"/>
    <x v="538"/>
    <x v="0"/>
    <x v="0"/>
  </r>
  <r>
    <x v="541"/>
    <x v="337"/>
    <x v="469"/>
    <x v="1"/>
    <x v="9"/>
    <x v="6"/>
    <x v="1"/>
    <n v="43"/>
    <n v="384.24"/>
    <n v="5"/>
    <x v="539"/>
    <x v="1"/>
    <x v="1"/>
  </r>
  <r>
    <x v="542"/>
    <x v="225"/>
    <x v="451"/>
    <x v="2"/>
    <x v="3"/>
    <x v="7"/>
    <x v="1"/>
    <n v="1"/>
    <n v="749.45"/>
    <n v="20"/>
    <x v="540"/>
    <x v="3"/>
    <x v="0"/>
  </r>
  <r>
    <x v="543"/>
    <x v="186"/>
    <x v="470"/>
    <x v="2"/>
    <x v="13"/>
    <x v="7"/>
    <x v="1"/>
    <n v="1"/>
    <n v="634.61"/>
    <n v="5"/>
    <x v="541"/>
    <x v="0"/>
    <x v="1"/>
  </r>
  <r>
    <x v="544"/>
    <x v="97"/>
    <x v="471"/>
    <x v="2"/>
    <x v="13"/>
    <x v="7"/>
    <x v="1"/>
    <n v="2"/>
    <n v="687.12"/>
    <n v="0"/>
    <x v="542"/>
    <x v="0"/>
    <x v="0"/>
  </r>
  <r>
    <x v="545"/>
    <x v="388"/>
    <x v="372"/>
    <x v="0"/>
    <x v="1"/>
    <x v="7"/>
    <x v="1"/>
    <n v="4"/>
    <n v="492.26"/>
    <n v="10"/>
    <x v="543"/>
    <x v="2"/>
    <x v="0"/>
  </r>
  <r>
    <x v="546"/>
    <x v="82"/>
    <x v="472"/>
    <x v="0"/>
    <x v="1"/>
    <x v="7"/>
    <x v="1"/>
    <n v="5"/>
    <n v="508.66"/>
    <n v="15"/>
    <x v="544"/>
    <x v="1"/>
    <x v="0"/>
  </r>
  <r>
    <x v="547"/>
    <x v="178"/>
    <x v="473"/>
    <x v="3"/>
    <x v="4"/>
    <x v="7"/>
    <x v="1"/>
    <n v="4"/>
    <n v="579.55999999999995"/>
    <n v="5"/>
    <x v="545"/>
    <x v="3"/>
    <x v="1"/>
  </r>
  <r>
    <x v="548"/>
    <x v="249"/>
    <x v="474"/>
    <x v="1"/>
    <x v="5"/>
    <x v="7"/>
    <x v="1"/>
    <n v="4"/>
    <n v="801.65"/>
    <n v="10"/>
    <x v="546"/>
    <x v="2"/>
    <x v="0"/>
  </r>
  <r>
    <x v="549"/>
    <x v="270"/>
    <x v="475"/>
    <x v="2"/>
    <x v="8"/>
    <x v="7"/>
    <x v="1"/>
    <n v="4"/>
    <n v="750.93"/>
    <n v="0"/>
    <x v="547"/>
    <x v="0"/>
    <x v="0"/>
  </r>
  <r>
    <x v="550"/>
    <x v="274"/>
    <x v="476"/>
    <x v="3"/>
    <x v="7"/>
    <x v="7"/>
    <x v="1"/>
    <n v="5"/>
    <n v="727.36"/>
    <n v="15"/>
    <x v="548"/>
    <x v="0"/>
    <x v="0"/>
  </r>
  <r>
    <x v="551"/>
    <x v="389"/>
    <x v="469"/>
    <x v="2"/>
    <x v="8"/>
    <x v="7"/>
    <x v="1"/>
    <n v="5"/>
    <n v="669.77"/>
    <n v="0"/>
    <x v="549"/>
    <x v="0"/>
    <x v="1"/>
  </r>
  <r>
    <x v="552"/>
    <x v="390"/>
    <x v="240"/>
    <x v="2"/>
    <x v="3"/>
    <x v="7"/>
    <x v="1"/>
    <n v="5"/>
    <n v="726.08"/>
    <n v="5"/>
    <x v="550"/>
    <x v="4"/>
    <x v="0"/>
  </r>
  <r>
    <x v="553"/>
    <x v="51"/>
    <x v="477"/>
    <x v="2"/>
    <x v="15"/>
    <x v="7"/>
    <x v="1"/>
    <n v="9"/>
    <n v="426.04"/>
    <n v="0"/>
    <x v="551"/>
    <x v="3"/>
    <x v="0"/>
  </r>
  <r>
    <x v="554"/>
    <x v="391"/>
    <x v="478"/>
    <x v="1"/>
    <x v="18"/>
    <x v="7"/>
    <x v="1"/>
    <n v="5"/>
    <n v="818.45"/>
    <n v="5"/>
    <x v="552"/>
    <x v="4"/>
    <x v="0"/>
  </r>
  <r>
    <x v="555"/>
    <x v="47"/>
    <x v="479"/>
    <x v="3"/>
    <x v="4"/>
    <x v="7"/>
    <x v="1"/>
    <n v="10"/>
    <n v="461.84"/>
    <n v="10"/>
    <x v="553"/>
    <x v="1"/>
    <x v="0"/>
  </r>
  <r>
    <x v="556"/>
    <x v="344"/>
    <x v="480"/>
    <x v="0"/>
    <x v="11"/>
    <x v="7"/>
    <x v="1"/>
    <n v="7"/>
    <n v="610.32000000000005"/>
    <n v="0"/>
    <x v="554"/>
    <x v="0"/>
    <x v="0"/>
  </r>
  <r>
    <x v="557"/>
    <x v="221"/>
    <x v="350"/>
    <x v="2"/>
    <x v="8"/>
    <x v="7"/>
    <x v="1"/>
    <n v="7"/>
    <n v="622.66"/>
    <n v="0"/>
    <x v="555"/>
    <x v="4"/>
    <x v="0"/>
  </r>
  <r>
    <x v="558"/>
    <x v="131"/>
    <x v="481"/>
    <x v="3"/>
    <x v="10"/>
    <x v="7"/>
    <x v="1"/>
    <n v="11"/>
    <n v="446.12"/>
    <n v="5"/>
    <x v="556"/>
    <x v="3"/>
    <x v="1"/>
  </r>
  <r>
    <x v="559"/>
    <x v="98"/>
    <x v="269"/>
    <x v="0"/>
    <x v="0"/>
    <x v="7"/>
    <x v="1"/>
    <n v="6"/>
    <n v="803.02"/>
    <n v="0"/>
    <x v="557"/>
    <x v="3"/>
    <x v="0"/>
  </r>
  <r>
    <x v="560"/>
    <x v="392"/>
    <x v="482"/>
    <x v="0"/>
    <x v="0"/>
    <x v="7"/>
    <x v="1"/>
    <n v="8"/>
    <n v="773.86"/>
    <n v="20"/>
    <x v="558"/>
    <x v="4"/>
    <x v="1"/>
  </r>
  <r>
    <x v="561"/>
    <x v="137"/>
    <x v="483"/>
    <x v="3"/>
    <x v="10"/>
    <x v="7"/>
    <x v="1"/>
    <n v="12"/>
    <n v="430.14"/>
    <n v="0"/>
    <x v="559"/>
    <x v="2"/>
    <x v="1"/>
  </r>
  <r>
    <x v="562"/>
    <x v="393"/>
    <x v="484"/>
    <x v="2"/>
    <x v="12"/>
    <x v="7"/>
    <x v="1"/>
    <n v="9"/>
    <n v="609.84"/>
    <n v="0"/>
    <x v="560"/>
    <x v="3"/>
    <x v="0"/>
  </r>
  <r>
    <x v="563"/>
    <x v="255"/>
    <x v="485"/>
    <x v="0"/>
    <x v="14"/>
    <x v="7"/>
    <x v="1"/>
    <n v="16"/>
    <n v="436.69"/>
    <n v="0"/>
    <x v="561"/>
    <x v="2"/>
    <x v="0"/>
  </r>
  <r>
    <x v="564"/>
    <x v="315"/>
    <x v="486"/>
    <x v="3"/>
    <x v="16"/>
    <x v="7"/>
    <x v="1"/>
    <n v="16"/>
    <n v="509.05"/>
    <n v="5"/>
    <x v="562"/>
    <x v="3"/>
    <x v="0"/>
  </r>
  <r>
    <x v="565"/>
    <x v="231"/>
    <x v="487"/>
    <x v="1"/>
    <x v="9"/>
    <x v="7"/>
    <x v="1"/>
    <n v="15"/>
    <n v="664.82"/>
    <n v="10"/>
    <x v="563"/>
    <x v="0"/>
    <x v="0"/>
  </r>
  <r>
    <x v="566"/>
    <x v="394"/>
    <x v="488"/>
    <x v="3"/>
    <x v="16"/>
    <x v="7"/>
    <x v="1"/>
    <n v="20"/>
    <n v="454.84"/>
    <n v="0"/>
    <x v="564"/>
    <x v="0"/>
    <x v="0"/>
  </r>
  <r>
    <x v="567"/>
    <x v="268"/>
    <x v="489"/>
    <x v="3"/>
    <x v="10"/>
    <x v="7"/>
    <x v="1"/>
    <n v="19"/>
    <n v="569.79"/>
    <n v="15"/>
    <x v="565"/>
    <x v="2"/>
    <x v="1"/>
  </r>
  <r>
    <x v="568"/>
    <x v="395"/>
    <x v="490"/>
    <x v="1"/>
    <x v="9"/>
    <x v="7"/>
    <x v="1"/>
    <n v="15"/>
    <n v="727.01"/>
    <n v="15"/>
    <x v="566"/>
    <x v="1"/>
    <x v="1"/>
  </r>
  <r>
    <x v="569"/>
    <x v="294"/>
    <x v="418"/>
    <x v="1"/>
    <x v="5"/>
    <x v="7"/>
    <x v="1"/>
    <n v="15"/>
    <n v="793.92"/>
    <n v="15"/>
    <x v="567"/>
    <x v="1"/>
    <x v="0"/>
  </r>
  <r>
    <x v="570"/>
    <x v="241"/>
    <x v="491"/>
    <x v="1"/>
    <x v="2"/>
    <x v="7"/>
    <x v="1"/>
    <n v="26"/>
    <n v="426.52"/>
    <n v="0"/>
    <x v="568"/>
    <x v="4"/>
    <x v="0"/>
  </r>
  <r>
    <x v="571"/>
    <x v="396"/>
    <x v="492"/>
    <x v="0"/>
    <x v="17"/>
    <x v="7"/>
    <x v="1"/>
    <n v="16"/>
    <n v="719.42"/>
    <n v="0"/>
    <x v="569"/>
    <x v="0"/>
    <x v="0"/>
  </r>
  <r>
    <x v="572"/>
    <x v="397"/>
    <x v="60"/>
    <x v="0"/>
    <x v="0"/>
    <x v="7"/>
    <x v="1"/>
    <n v="20"/>
    <n v="628.82000000000005"/>
    <n v="5"/>
    <x v="570"/>
    <x v="3"/>
    <x v="1"/>
  </r>
  <r>
    <x v="573"/>
    <x v="86"/>
    <x v="493"/>
    <x v="2"/>
    <x v="12"/>
    <x v="7"/>
    <x v="1"/>
    <n v="19"/>
    <n v="648.41"/>
    <n v="0"/>
    <x v="571"/>
    <x v="0"/>
    <x v="1"/>
  </r>
  <r>
    <x v="574"/>
    <x v="201"/>
    <x v="62"/>
    <x v="2"/>
    <x v="12"/>
    <x v="7"/>
    <x v="1"/>
    <n v="24"/>
    <n v="615.19000000000005"/>
    <n v="0"/>
    <x v="572"/>
    <x v="3"/>
    <x v="0"/>
  </r>
  <r>
    <x v="575"/>
    <x v="277"/>
    <x v="494"/>
    <x v="3"/>
    <x v="6"/>
    <x v="7"/>
    <x v="1"/>
    <n v="26"/>
    <n v="587.47"/>
    <n v="0"/>
    <x v="573"/>
    <x v="0"/>
    <x v="0"/>
  </r>
  <r>
    <x v="576"/>
    <x v="398"/>
    <x v="495"/>
    <x v="3"/>
    <x v="7"/>
    <x v="7"/>
    <x v="1"/>
    <n v="23"/>
    <n v="846.66"/>
    <n v="15"/>
    <x v="574"/>
    <x v="3"/>
    <x v="1"/>
  </r>
  <r>
    <x v="577"/>
    <x v="307"/>
    <x v="496"/>
    <x v="3"/>
    <x v="6"/>
    <x v="7"/>
    <x v="1"/>
    <n v="20"/>
    <n v="871.75"/>
    <n v="5"/>
    <x v="575"/>
    <x v="1"/>
    <x v="0"/>
  </r>
  <r>
    <x v="578"/>
    <x v="57"/>
    <x v="497"/>
    <x v="0"/>
    <x v="11"/>
    <x v="7"/>
    <x v="1"/>
    <n v="38"/>
    <n v="489.12"/>
    <n v="10"/>
    <x v="576"/>
    <x v="4"/>
    <x v="0"/>
  </r>
  <r>
    <x v="579"/>
    <x v="335"/>
    <x v="433"/>
    <x v="1"/>
    <x v="19"/>
    <x v="7"/>
    <x v="1"/>
    <n v="26"/>
    <n v="658.35"/>
    <n v="0"/>
    <x v="577"/>
    <x v="2"/>
    <x v="0"/>
  </r>
  <r>
    <x v="580"/>
    <x v="399"/>
    <x v="498"/>
    <x v="3"/>
    <x v="10"/>
    <x v="7"/>
    <x v="1"/>
    <n v="44"/>
    <n v="430.93"/>
    <n v="5"/>
    <x v="578"/>
    <x v="2"/>
    <x v="0"/>
  </r>
  <r>
    <x v="581"/>
    <x v="400"/>
    <x v="499"/>
    <x v="3"/>
    <x v="16"/>
    <x v="7"/>
    <x v="1"/>
    <n v="42"/>
    <n v="482.61"/>
    <n v="10"/>
    <x v="579"/>
    <x v="4"/>
    <x v="1"/>
  </r>
  <r>
    <x v="582"/>
    <x v="396"/>
    <x v="500"/>
    <x v="2"/>
    <x v="3"/>
    <x v="7"/>
    <x v="1"/>
    <n v="45"/>
    <n v="491.49"/>
    <n v="5"/>
    <x v="580"/>
    <x v="1"/>
    <x v="1"/>
  </r>
  <r>
    <x v="583"/>
    <x v="401"/>
    <x v="501"/>
    <x v="1"/>
    <x v="18"/>
    <x v="7"/>
    <x v="1"/>
    <n v="45"/>
    <n v="575.54999999999995"/>
    <n v="15"/>
    <x v="581"/>
    <x v="0"/>
    <x v="0"/>
  </r>
  <r>
    <x v="584"/>
    <x v="402"/>
    <x v="502"/>
    <x v="3"/>
    <x v="16"/>
    <x v="7"/>
    <x v="1"/>
    <n v="47"/>
    <n v="588.85"/>
    <n v="20"/>
    <x v="582"/>
    <x v="3"/>
    <x v="0"/>
  </r>
  <r>
    <x v="585"/>
    <x v="403"/>
    <x v="503"/>
    <x v="2"/>
    <x v="8"/>
    <x v="7"/>
    <x v="1"/>
    <n v="46"/>
    <n v="608.76"/>
    <n v="20"/>
    <x v="583"/>
    <x v="3"/>
    <x v="0"/>
  </r>
  <r>
    <x v="586"/>
    <x v="404"/>
    <x v="504"/>
    <x v="0"/>
    <x v="14"/>
    <x v="7"/>
    <x v="1"/>
    <n v="28"/>
    <n v="866.08"/>
    <n v="5"/>
    <x v="584"/>
    <x v="1"/>
    <x v="0"/>
  </r>
  <r>
    <x v="587"/>
    <x v="30"/>
    <x v="505"/>
    <x v="2"/>
    <x v="3"/>
    <x v="7"/>
    <x v="1"/>
    <n v="33"/>
    <n v="822.48"/>
    <n v="15"/>
    <x v="585"/>
    <x v="3"/>
    <x v="1"/>
  </r>
  <r>
    <x v="588"/>
    <x v="405"/>
    <x v="506"/>
    <x v="1"/>
    <x v="18"/>
    <x v="7"/>
    <x v="1"/>
    <n v="31"/>
    <n v="747.63"/>
    <n v="0"/>
    <x v="586"/>
    <x v="0"/>
    <x v="0"/>
  </r>
  <r>
    <x v="589"/>
    <x v="274"/>
    <x v="276"/>
    <x v="2"/>
    <x v="12"/>
    <x v="7"/>
    <x v="1"/>
    <n v="44"/>
    <n v="531.12"/>
    <n v="0"/>
    <x v="587"/>
    <x v="0"/>
    <x v="1"/>
  </r>
  <r>
    <x v="590"/>
    <x v="406"/>
    <x v="325"/>
    <x v="1"/>
    <x v="9"/>
    <x v="7"/>
    <x v="1"/>
    <n v="31"/>
    <n v="813.05"/>
    <n v="5"/>
    <x v="588"/>
    <x v="4"/>
    <x v="0"/>
  </r>
  <r>
    <x v="591"/>
    <x v="8"/>
    <x v="507"/>
    <x v="0"/>
    <x v="0"/>
    <x v="7"/>
    <x v="1"/>
    <n v="42"/>
    <n v="571.84"/>
    <n v="0"/>
    <x v="589"/>
    <x v="3"/>
    <x v="1"/>
  </r>
  <r>
    <x v="592"/>
    <x v="287"/>
    <x v="508"/>
    <x v="3"/>
    <x v="16"/>
    <x v="7"/>
    <x v="1"/>
    <n v="45"/>
    <n v="536.63"/>
    <n v="0"/>
    <x v="590"/>
    <x v="0"/>
    <x v="0"/>
  </r>
  <r>
    <x v="593"/>
    <x v="407"/>
    <x v="462"/>
    <x v="0"/>
    <x v="1"/>
    <x v="7"/>
    <x v="1"/>
    <n v="32"/>
    <n v="851.27"/>
    <n v="10"/>
    <x v="591"/>
    <x v="1"/>
    <x v="0"/>
  </r>
  <r>
    <x v="594"/>
    <x v="307"/>
    <x v="107"/>
    <x v="3"/>
    <x v="4"/>
    <x v="7"/>
    <x v="1"/>
    <n v="35"/>
    <n v="703.93"/>
    <n v="0"/>
    <x v="592"/>
    <x v="2"/>
    <x v="0"/>
  </r>
  <r>
    <x v="595"/>
    <x v="94"/>
    <x v="7"/>
    <x v="2"/>
    <x v="13"/>
    <x v="7"/>
    <x v="1"/>
    <n v="44"/>
    <n v="668.31"/>
    <n v="15"/>
    <x v="593"/>
    <x v="1"/>
    <x v="0"/>
  </r>
  <r>
    <x v="596"/>
    <x v="17"/>
    <x v="509"/>
    <x v="0"/>
    <x v="11"/>
    <x v="7"/>
    <x v="1"/>
    <n v="28"/>
    <n v="895.15"/>
    <n v="0"/>
    <x v="594"/>
    <x v="1"/>
    <x v="0"/>
  </r>
  <r>
    <x v="597"/>
    <x v="408"/>
    <x v="510"/>
    <x v="3"/>
    <x v="16"/>
    <x v="7"/>
    <x v="1"/>
    <n v="46"/>
    <n v="645.16"/>
    <n v="15"/>
    <x v="595"/>
    <x v="1"/>
    <x v="0"/>
  </r>
  <r>
    <x v="598"/>
    <x v="409"/>
    <x v="234"/>
    <x v="2"/>
    <x v="13"/>
    <x v="7"/>
    <x v="1"/>
    <n v="38"/>
    <n v="698.78"/>
    <n v="0"/>
    <x v="596"/>
    <x v="0"/>
    <x v="1"/>
  </r>
  <r>
    <x v="599"/>
    <x v="36"/>
    <x v="281"/>
    <x v="3"/>
    <x v="16"/>
    <x v="7"/>
    <x v="1"/>
    <n v="49"/>
    <n v="564.42999999999995"/>
    <n v="0"/>
    <x v="597"/>
    <x v="0"/>
    <x v="0"/>
  </r>
  <r>
    <x v="600"/>
    <x v="397"/>
    <x v="511"/>
    <x v="0"/>
    <x v="14"/>
    <x v="7"/>
    <x v="1"/>
    <n v="46"/>
    <n v="670.33"/>
    <n v="10"/>
    <x v="598"/>
    <x v="1"/>
    <x v="0"/>
  </r>
  <r>
    <x v="601"/>
    <x v="319"/>
    <x v="512"/>
    <x v="2"/>
    <x v="8"/>
    <x v="7"/>
    <x v="1"/>
    <n v="49"/>
    <n v="725.05"/>
    <n v="5"/>
    <x v="599"/>
    <x v="0"/>
    <x v="0"/>
  </r>
  <r>
    <x v="602"/>
    <x v="276"/>
    <x v="161"/>
    <x v="0"/>
    <x v="14"/>
    <x v="8"/>
    <x v="1"/>
    <n v="1"/>
    <n v="367.24"/>
    <n v="0"/>
    <x v="600"/>
    <x v="2"/>
    <x v="1"/>
  </r>
  <r>
    <x v="603"/>
    <x v="81"/>
    <x v="513"/>
    <x v="1"/>
    <x v="5"/>
    <x v="8"/>
    <x v="1"/>
    <n v="1"/>
    <n v="394.23"/>
    <n v="0"/>
    <x v="601"/>
    <x v="0"/>
    <x v="1"/>
  </r>
  <r>
    <x v="604"/>
    <x v="410"/>
    <x v="44"/>
    <x v="1"/>
    <x v="2"/>
    <x v="8"/>
    <x v="1"/>
    <n v="4"/>
    <n v="320.8"/>
    <n v="5"/>
    <x v="602"/>
    <x v="4"/>
    <x v="0"/>
  </r>
  <r>
    <x v="605"/>
    <x v="411"/>
    <x v="514"/>
    <x v="1"/>
    <x v="19"/>
    <x v="8"/>
    <x v="1"/>
    <n v="3"/>
    <n v="593.08000000000004"/>
    <n v="20"/>
    <x v="603"/>
    <x v="3"/>
    <x v="0"/>
  </r>
  <r>
    <x v="606"/>
    <x v="365"/>
    <x v="515"/>
    <x v="1"/>
    <x v="5"/>
    <x v="8"/>
    <x v="1"/>
    <n v="8"/>
    <n v="314.86"/>
    <n v="15"/>
    <x v="604"/>
    <x v="2"/>
    <x v="0"/>
  </r>
  <r>
    <x v="607"/>
    <x v="412"/>
    <x v="516"/>
    <x v="1"/>
    <x v="18"/>
    <x v="8"/>
    <x v="1"/>
    <n v="8"/>
    <n v="303.57"/>
    <n v="10"/>
    <x v="605"/>
    <x v="3"/>
    <x v="1"/>
  </r>
  <r>
    <x v="608"/>
    <x v="413"/>
    <x v="517"/>
    <x v="2"/>
    <x v="15"/>
    <x v="8"/>
    <x v="1"/>
    <n v="9"/>
    <n v="347.72"/>
    <n v="5"/>
    <x v="606"/>
    <x v="4"/>
    <x v="1"/>
  </r>
  <r>
    <x v="609"/>
    <x v="26"/>
    <x v="518"/>
    <x v="0"/>
    <x v="14"/>
    <x v="8"/>
    <x v="1"/>
    <n v="14"/>
    <n v="273.23"/>
    <n v="10"/>
    <x v="607"/>
    <x v="3"/>
    <x v="1"/>
  </r>
  <r>
    <x v="610"/>
    <x v="414"/>
    <x v="188"/>
    <x v="1"/>
    <x v="9"/>
    <x v="8"/>
    <x v="1"/>
    <n v="10"/>
    <n v="499.87"/>
    <n v="15"/>
    <x v="608"/>
    <x v="1"/>
    <x v="1"/>
  </r>
  <r>
    <x v="611"/>
    <x v="313"/>
    <x v="481"/>
    <x v="3"/>
    <x v="7"/>
    <x v="8"/>
    <x v="1"/>
    <n v="18"/>
    <n v="264.27999999999997"/>
    <n v="10"/>
    <x v="609"/>
    <x v="3"/>
    <x v="0"/>
  </r>
  <r>
    <x v="612"/>
    <x v="144"/>
    <x v="519"/>
    <x v="0"/>
    <x v="14"/>
    <x v="8"/>
    <x v="1"/>
    <n v="11"/>
    <n v="392.91"/>
    <n v="0"/>
    <x v="610"/>
    <x v="3"/>
    <x v="0"/>
  </r>
  <r>
    <x v="613"/>
    <x v="415"/>
    <x v="520"/>
    <x v="1"/>
    <x v="18"/>
    <x v="8"/>
    <x v="1"/>
    <n v="13"/>
    <n v="334.58"/>
    <n v="0"/>
    <x v="611"/>
    <x v="1"/>
    <x v="0"/>
  </r>
  <r>
    <x v="614"/>
    <x v="251"/>
    <x v="40"/>
    <x v="2"/>
    <x v="12"/>
    <x v="8"/>
    <x v="1"/>
    <n v="15"/>
    <n v="304.25"/>
    <n v="0"/>
    <x v="612"/>
    <x v="1"/>
    <x v="0"/>
  </r>
  <r>
    <x v="615"/>
    <x v="416"/>
    <x v="521"/>
    <x v="0"/>
    <x v="0"/>
    <x v="8"/>
    <x v="1"/>
    <n v="16"/>
    <n v="325.27999999999997"/>
    <n v="10"/>
    <x v="613"/>
    <x v="1"/>
    <x v="0"/>
  </r>
  <r>
    <x v="616"/>
    <x v="417"/>
    <x v="31"/>
    <x v="2"/>
    <x v="12"/>
    <x v="8"/>
    <x v="1"/>
    <n v="14"/>
    <n v="425.03"/>
    <n v="5"/>
    <x v="614"/>
    <x v="3"/>
    <x v="0"/>
  </r>
  <r>
    <x v="617"/>
    <x v="283"/>
    <x v="522"/>
    <x v="0"/>
    <x v="1"/>
    <x v="8"/>
    <x v="1"/>
    <n v="19"/>
    <n v="307.56"/>
    <n v="0"/>
    <x v="615"/>
    <x v="1"/>
    <x v="0"/>
  </r>
  <r>
    <x v="618"/>
    <x v="418"/>
    <x v="523"/>
    <x v="0"/>
    <x v="17"/>
    <x v="8"/>
    <x v="1"/>
    <n v="13"/>
    <n v="585.21"/>
    <n v="20"/>
    <x v="616"/>
    <x v="1"/>
    <x v="1"/>
  </r>
  <r>
    <x v="619"/>
    <x v="419"/>
    <x v="311"/>
    <x v="3"/>
    <x v="4"/>
    <x v="8"/>
    <x v="1"/>
    <n v="15"/>
    <n v="432.69"/>
    <n v="0"/>
    <x v="617"/>
    <x v="4"/>
    <x v="0"/>
  </r>
  <r>
    <x v="620"/>
    <x v="420"/>
    <x v="524"/>
    <x v="2"/>
    <x v="15"/>
    <x v="8"/>
    <x v="1"/>
    <n v="13"/>
    <n v="537.61"/>
    <n v="5"/>
    <x v="618"/>
    <x v="3"/>
    <x v="1"/>
  </r>
  <r>
    <x v="621"/>
    <x v="421"/>
    <x v="525"/>
    <x v="3"/>
    <x v="4"/>
    <x v="8"/>
    <x v="1"/>
    <n v="18"/>
    <n v="388.68"/>
    <n v="5"/>
    <x v="619"/>
    <x v="2"/>
    <x v="1"/>
  </r>
  <r>
    <x v="622"/>
    <x v="422"/>
    <x v="526"/>
    <x v="2"/>
    <x v="3"/>
    <x v="8"/>
    <x v="1"/>
    <n v="25"/>
    <n v="300.70999999999998"/>
    <n v="10"/>
    <x v="620"/>
    <x v="3"/>
    <x v="1"/>
  </r>
  <r>
    <x v="623"/>
    <x v="118"/>
    <x v="527"/>
    <x v="3"/>
    <x v="4"/>
    <x v="8"/>
    <x v="1"/>
    <n v="16"/>
    <n v="438.4"/>
    <n v="0"/>
    <x v="621"/>
    <x v="4"/>
    <x v="0"/>
  </r>
  <r>
    <x v="624"/>
    <x v="357"/>
    <x v="242"/>
    <x v="3"/>
    <x v="10"/>
    <x v="8"/>
    <x v="1"/>
    <n v="23"/>
    <n v="305.10000000000002"/>
    <n v="0"/>
    <x v="622"/>
    <x v="4"/>
    <x v="0"/>
  </r>
  <r>
    <x v="625"/>
    <x v="172"/>
    <x v="528"/>
    <x v="3"/>
    <x v="16"/>
    <x v="8"/>
    <x v="1"/>
    <n v="16"/>
    <n v="508.04"/>
    <n v="10"/>
    <x v="623"/>
    <x v="3"/>
    <x v="0"/>
  </r>
  <r>
    <x v="626"/>
    <x v="423"/>
    <x v="529"/>
    <x v="2"/>
    <x v="15"/>
    <x v="8"/>
    <x v="1"/>
    <n v="16"/>
    <n v="519.89"/>
    <n v="10"/>
    <x v="624"/>
    <x v="1"/>
    <x v="1"/>
  </r>
  <r>
    <x v="627"/>
    <x v="231"/>
    <x v="474"/>
    <x v="3"/>
    <x v="16"/>
    <x v="8"/>
    <x v="1"/>
    <n v="30"/>
    <n v="263.38"/>
    <n v="0"/>
    <x v="625"/>
    <x v="0"/>
    <x v="0"/>
  </r>
  <r>
    <x v="628"/>
    <x v="295"/>
    <x v="185"/>
    <x v="1"/>
    <x v="9"/>
    <x v="8"/>
    <x v="1"/>
    <n v="22"/>
    <n v="417.23"/>
    <n v="5"/>
    <x v="626"/>
    <x v="2"/>
    <x v="0"/>
  </r>
  <r>
    <x v="629"/>
    <x v="102"/>
    <x v="530"/>
    <x v="1"/>
    <x v="5"/>
    <x v="8"/>
    <x v="1"/>
    <n v="15"/>
    <n v="583.48"/>
    <n v="0"/>
    <x v="627"/>
    <x v="2"/>
    <x v="1"/>
  </r>
  <r>
    <x v="630"/>
    <x v="63"/>
    <x v="531"/>
    <x v="0"/>
    <x v="0"/>
    <x v="8"/>
    <x v="1"/>
    <n v="38"/>
    <n v="256.58"/>
    <n v="10"/>
    <x v="628"/>
    <x v="1"/>
    <x v="0"/>
  </r>
  <r>
    <x v="631"/>
    <x v="72"/>
    <x v="175"/>
    <x v="0"/>
    <x v="11"/>
    <x v="8"/>
    <x v="1"/>
    <n v="25"/>
    <n v="444.02"/>
    <n v="20"/>
    <x v="629"/>
    <x v="0"/>
    <x v="0"/>
  </r>
  <r>
    <x v="632"/>
    <x v="395"/>
    <x v="532"/>
    <x v="1"/>
    <x v="18"/>
    <x v="8"/>
    <x v="1"/>
    <n v="28"/>
    <n v="336.2"/>
    <n v="5"/>
    <x v="630"/>
    <x v="4"/>
    <x v="0"/>
  </r>
  <r>
    <x v="633"/>
    <x v="424"/>
    <x v="203"/>
    <x v="3"/>
    <x v="7"/>
    <x v="8"/>
    <x v="1"/>
    <n v="22"/>
    <n v="451.42"/>
    <n v="5"/>
    <x v="631"/>
    <x v="2"/>
    <x v="0"/>
  </r>
  <r>
    <x v="634"/>
    <x v="425"/>
    <x v="298"/>
    <x v="1"/>
    <x v="9"/>
    <x v="8"/>
    <x v="1"/>
    <n v="38"/>
    <n v="291.64999999999998"/>
    <n v="10"/>
    <x v="632"/>
    <x v="2"/>
    <x v="0"/>
  </r>
  <r>
    <x v="635"/>
    <x v="407"/>
    <x v="533"/>
    <x v="3"/>
    <x v="4"/>
    <x v="8"/>
    <x v="1"/>
    <n v="25"/>
    <n v="399.92"/>
    <n v="0"/>
    <x v="633"/>
    <x v="2"/>
    <x v="0"/>
  </r>
  <r>
    <x v="636"/>
    <x v="332"/>
    <x v="534"/>
    <x v="2"/>
    <x v="3"/>
    <x v="8"/>
    <x v="1"/>
    <n v="42"/>
    <n v="266.86"/>
    <n v="10"/>
    <x v="634"/>
    <x v="3"/>
    <x v="0"/>
  </r>
  <r>
    <x v="637"/>
    <x v="120"/>
    <x v="535"/>
    <x v="2"/>
    <x v="13"/>
    <x v="8"/>
    <x v="1"/>
    <n v="27"/>
    <n v="398.24"/>
    <n v="0"/>
    <x v="635"/>
    <x v="2"/>
    <x v="0"/>
  </r>
  <r>
    <x v="638"/>
    <x v="371"/>
    <x v="323"/>
    <x v="0"/>
    <x v="14"/>
    <x v="8"/>
    <x v="1"/>
    <n v="28"/>
    <n v="406.75"/>
    <n v="5"/>
    <x v="636"/>
    <x v="1"/>
    <x v="1"/>
  </r>
  <r>
    <x v="639"/>
    <x v="426"/>
    <x v="536"/>
    <x v="2"/>
    <x v="3"/>
    <x v="8"/>
    <x v="1"/>
    <n v="24"/>
    <n v="566.37"/>
    <n v="20"/>
    <x v="637"/>
    <x v="3"/>
    <x v="0"/>
  </r>
  <r>
    <x v="640"/>
    <x v="123"/>
    <x v="494"/>
    <x v="3"/>
    <x v="16"/>
    <x v="8"/>
    <x v="1"/>
    <n v="22"/>
    <n v="496.55"/>
    <n v="0"/>
    <x v="638"/>
    <x v="3"/>
    <x v="0"/>
  </r>
  <r>
    <x v="641"/>
    <x v="218"/>
    <x v="537"/>
    <x v="0"/>
    <x v="14"/>
    <x v="8"/>
    <x v="1"/>
    <n v="22"/>
    <n v="585.71"/>
    <n v="15"/>
    <x v="639"/>
    <x v="2"/>
    <x v="0"/>
  </r>
  <r>
    <x v="642"/>
    <x v="381"/>
    <x v="538"/>
    <x v="0"/>
    <x v="14"/>
    <x v="8"/>
    <x v="1"/>
    <n v="28"/>
    <n v="436.51"/>
    <n v="10"/>
    <x v="640"/>
    <x v="0"/>
    <x v="0"/>
  </r>
  <r>
    <x v="643"/>
    <x v="427"/>
    <x v="264"/>
    <x v="2"/>
    <x v="15"/>
    <x v="8"/>
    <x v="1"/>
    <n v="35"/>
    <n v="332.35"/>
    <n v="0"/>
    <x v="641"/>
    <x v="1"/>
    <x v="1"/>
  </r>
  <r>
    <x v="644"/>
    <x v="428"/>
    <x v="539"/>
    <x v="1"/>
    <x v="18"/>
    <x v="8"/>
    <x v="1"/>
    <n v="32"/>
    <n v="385.06"/>
    <n v="5"/>
    <x v="642"/>
    <x v="1"/>
    <x v="0"/>
  </r>
  <r>
    <x v="645"/>
    <x v="402"/>
    <x v="520"/>
    <x v="0"/>
    <x v="17"/>
    <x v="8"/>
    <x v="1"/>
    <n v="27"/>
    <n v="439.83"/>
    <n v="0"/>
    <x v="643"/>
    <x v="0"/>
    <x v="1"/>
  </r>
  <r>
    <x v="646"/>
    <x v="282"/>
    <x v="540"/>
    <x v="0"/>
    <x v="11"/>
    <x v="8"/>
    <x v="1"/>
    <n v="39"/>
    <n v="361.77"/>
    <n v="15"/>
    <x v="644"/>
    <x v="4"/>
    <x v="1"/>
  </r>
  <r>
    <x v="647"/>
    <x v="429"/>
    <x v="148"/>
    <x v="0"/>
    <x v="0"/>
    <x v="8"/>
    <x v="1"/>
    <n v="46"/>
    <n v="274.70999999999998"/>
    <n v="5"/>
    <x v="645"/>
    <x v="1"/>
    <x v="0"/>
  </r>
  <r>
    <x v="648"/>
    <x v="199"/>
    <x v="464"/>
    <x v="1"/>
    <x v="19"/>
    <x v="8"/>
    <x v="1"/>
    <n v="44"/>
    <n v="322.31"/>
    <n v="15"/>
    <x v="646"/>
    <x v="0"/>
    <x v="0"/>
  </r>
  <r>
    <x v="649"/>
    <x v="430"/>
    <x v="541"/>
    <x v="3"/>
    <x v="16"/>
    <x v="8"/>
    <x v="1"/>
    <n v="25"/>
    <n v="504.96"/>
    <n v="0"/>
    <x v="647"/>
    <x v="1"/>
    <x v="1"/>
  </r>
  <r>
    <x v="650"/>
    <x v="88"/>
    <x v="542"/>
    <x v="1"/>
    <x v="5"/>
    <x v="8"/>
    <x v="1"/>
    <n v="33"/>
    <n v="395.3"/>
    <n v="0"/>
    <x v="648"/>
    <x v="3"/>
    <x v="0"/>
  </r>
  <r>
    <x v="651"/>
    <x v="81"/>
    <x v="203"/>
    <x v="0"/>
    <x v="17"/>
    <x v="8"/>
    <x v="1"/>
    <n v="31"/>
    <n v="430.04"/>
    <n v="0"/>
    <x v="649"/>
    <x v="1"/>
    <x v="0"/>
  </r>
  <r>
    <x v="652"/>
    <x v="431"/>
    <x v="258"/>
    <x v="0"/>
    <x v="0"/>
    <x v="8"/>
    <x v="1"/>
    <n v="34"/>
    <n v="414.11"/>
    <n v="5"/>
    <x v="650"/>
    <x v="3"/>
    <x v="0"/>
  </r>
  <r>
    <x v="653"/>
    <x v="330"/>
    <x v="399"/>
    <x v="1"/>
    <x v="9"/>
    <x v="8"/>
    <x v="1"/>
    <n v="44"/>
    <n v="359.23"/>
    <n v="15"/>
    <x v="651"/>
    <x v="0"/>
    <x v="0"/>
  </r>
  <r>
    <x v="654"/>
    <x v="81"/>
    <x v="24"/>
    <x v="3"/>
    <x v="16"/>
    <x v="8"/>
    <x v="1"/>
    <n v="41"/>
    <n v="407.68"/>
    <n v="15"/>
    <x v="652"/>
    <x v="0"/>
    <x v="0"/>
  </r>
  <r>
    <x v="655"/>
    <x v="68"/>
    <x v="543"/>
    <x v="0"/>
    <x v="17"/>
    <x v="8"/>
    <x v="1"/>
    <n v="34"/>
    <n v="474.63"/>
    <n v="10"/>
    <x v="653"/>
    <x v="4"/>
    <x v="0"/>
  </r>
  <r>
    <x v="656"/>
    <x v="412"/>
    <x v="544"/>
    <x v="3"/>
    <x v="7"/>
    <x v="8"/>
    <x v="1"/>
    <n v="32"/>
    <n v="455.22"/>
    <n v="0"/>
    <x v="654"/>
    <x v="4"/>
    <x v="0"/>
  </r>
  <r>
    <x v="657"/>
    <x v="355"/>
    <x v="545"/>
    <x v="1"/>
    <x v="5"/>
    <x v="8"/>
    <x v="1"/>
    <n v="38"/>
    <n v="388.27"/>
    <n v="0"/>
    <x v="655"/>
    <x v="1"/>
    <x v="0"/>
  </r>
  <r>
    <x v="658"/>
    <x v="36"/>
    <x v="546"/>
    <x v="2"/>
    <x v="12"/>
    <x v="8"/>
    <x v="1"/>
    <n v="31"/>
    <n v="548.03"/>
    <n v="5"/>
    <x v="656"/>
    <x v="4"/>
    <x v="0"/>
  </r>
  <r>
    <x v="659"/>
    <x v="432"/>
    <x v="547"/>
    <x v="0"/>
    <x v="11"/>
    <x v="8"/>
    <x v="1"/>
    <n v="38"/>
    <n v="449.91"/>
    <n v="5"/>
    <x v="657"/>
    <x v="2"/>
    <x v="0"/>
  </r>
  <r>
    <x v="660"/>
    <x v="285"/>
    <x v="548"/>
    <x v="3"/>
    <x v="7"/>
    <x v="8"/>
    <x v="1"/>
    <n v="47"/>
    <n v="348.99"/>
    <n v="0"/>
    <x v="658"/>
    <x v="1"/>
    <x v="1"/>
  </r>
  <r>
    <x v="661"/>
    <x v="289"/>
    <x v="549"/>
    <x v="3"/>
    <x v="6"/>
    <x v="8"/>
    <x v="1"/>
    <n v="35"/>
    <n v="471.67"/>
    <n v="0"/>
    <x v="659"/>
    <x v="4"/>
    <x v="0"/>
  </r>
  <r>
    <x v="662"/>
    <x v="433"/>
    <x v="550"/>
    <x v="3"/>
    <x v="7"/>
    <x v="8"/>
    <x v="1"/>
    <n v="30"/>
    <n v="555.65"/>
    <n v="0"/>
    <x v="660"/>
    <x v="2"/>
    <x v="0"/>
  </r>
  <r>
    <x v="663"/>
    <x v="434"/>
    <x v="198"/>
    <x v="1"/>
    <x v="5"/>
    <x v="8"/>
    <x v="1"/>
    <n v="31"/>
    <n v="554.71"/>
    <n v="0"/>
    <x v="661"/>
    <x v="0"/>
    <x v="0"/>
  </r>
  <r>
    <x v="664"/>
    <x v="325"/>
    <x v="160"/>
    <x v="1"/>
    <x v="19"/>
    <x v="8"/>
    <x v="1"/>
    <n v="40"/>
    <n v="434.3"/>
    <n v="0"/>
    <x v="662"/>
    <x v="0"/>
    <x v="1"/>
  </r>
  <r>
    <x v="665"/>
    <x v="435"/>
    <x v="551"/>
    <x v="2"/>
    <x v="13"/>
    <x v="8"/>
    <x v="1"/>
    <n v="44"/>
    <n v="400.86"/>
    <n v="0"/>
    <x v="663"/>
    <x v="2"/>
    <x v="0"/>
  </r>
  <r>
    <x v="666"/>
    <x v="186"/>
    <x v="552"/>
    <x v="0"/>
    <x v="17"/>
    <x v="8"/>
    <x v="1"/>
    <n v="40"/>
    <n v="543.13"/>
    <n v="15"/>
    <x v="664"/>
    <x v="4"/>
    <x v="0"/>
  </r>
  <r>
    <x v="667"/>
    <x v="436"/>
    <x v="32"/>
    <x v="1"/>
    <x v="5"/>
    <x v="8"/>
    <x v="1"/>
    <n v="42"/>
    <n v="558.97"/>
    <n v="15"/>
    <x v="665"/>
    <x v="1"/>
    <x v="1"/>
  </r>
  <r>
    <x v="668"/>
    <x v="183"/>
    <x v="553"/>
    <x v="2"/>
    <x v="3"/>
    <x v="8"/>
    <x v="1"/>
    <n v="48"/>
    <n v="525.29"/>
    <n v="15"/>
    <x v="666"/>
    <x v="2"/>
    <x v="1"/>
  </r>
  <r>
    <x v="669"/>
    <x v="12"/>
    <x v="554"/>
    <x v="1"/>
    <x v="9"/>
    <x v="8"/>
    <x v="1"/>
    <n v="50"/>
    <n v="456.14"/>
    <n v="0"/>
    <x v="667"/>
    <x v="0"/>
    <x v="0"/>
  </r>
  <r>
    <x v="670"/>
    <x v="437"/>
    <x v="555"/>
    <x v="2"/>
    <x v="8"/>
    <x v="8"/>
    <x v="1"/>
    <n v="46"/>
    <n v="515.29"/>
    <n v="0"/>
    <x v="668"/>
    <x v="1"/>
    <x v="0"/>
  </r>
  <r>
    <x v="671"/>
    <x v="79"/>
    <x v="556"/>
    <x v="1"/>
    <x v="2"/>
    <x v="8"/>
    <x v="1"/>
    <n v="47"/>
    <n v="581.71"/>
    <n v="5"/>
    <x v="669"/>
    <x v="2"/>
    <x v="1"/>
  </r>
  <r>
    <x v="672"/>
    <x v="438"/>
    <x v="557"/>
    <x v="3"/>
    <x v="6"/>
    <x v="8"/>
    <x v="1"/>
    <n v="47"/>
    <n v="580.49"/>
    <n v="0"/>
    <x v="670"/>
    <x v="3"/>
    <x v="1"/>
  </r>
  <r>
    <x v="673"/>
    <x v="360"/>
    <x v="558"/>
    <x v="2"/>
    <x v="12"/>
    <x v="9"/>
    <x v="2"/>
    <n v="2"/>
    <n v="171.06"/>
    <n v="10"/>
    <x v="671"/>
    <x v="4"/>
    <x v="0"/>
  </r>
  <r>
    <x v="674"/>
    <x v="437"/>
    <x v="411"/>
    <x v="3"/>
    <x v="6"/>
    <x v="9"/>
    <x v="2"/>
    <n v="2"/>
    <n v="163.56"/>
    <n v="5"/>
    <x v="672"/>
    <x v="4"/>
    <x v="1"/>
  </r>
  <r>
    <x v="675"/>
    <x v="399"/>
    <x v="2"/>
    <x v="0"/>
    <x v="0"/>
    <x v="9"/>
    <x v="2"/>
    <n v="3"/>
    <n v="198.2"/>
    <n v="5"/>
    <x v="673"/>
    <x v="0"/>
    <x v="0"/>
  </r>
  <r>
    <x v="676"/>
    <x v="439"/>
    <x v="559"/>
    <x v="3"/>
    <x v="4"/>
    <x v="9"/>
    <x v="2"/>
    <n v="4"/>
    <n v="238.23"/>
    <n v="5"/>
    <x v="674"/>
    <x v="3"/>
    <x v="0"/>
  </r>
  <r>
    <x v="677"/>
    <x v="440"/>
    <x v="560"/>
    <x v="3"/>
    <x v="16"/>
    <x v="9"/>
    <x v="2"/>
    <n v="2"/>
    <n v="495.85"/>
    <n v="0"/>
    <x v="675"/>
    <x v="1"/>
    <x v="0"/>
  </r>
  <r>
    <x v="678"/>
    <x v="441"/>
    <x v="561"/>
    <x v="1"/>
    <x v="5"/>
    <x v="9"/>
    <x v="2"/>
    <n v="3"/>
    <n v="454.14"/>
    <n v="20"/>
    <x v="676"/>
    <x v="1"/>
    <x v="1"/>
  </r>
  <r>
    <x v="679"/>
    <x v="442"/>
    <x v="114"/>
    <x v="2"/>
    <x v="3"/>
    <x v="9"/>
    <x v="2"/>
    <n v="7"/>
    <n v="170.62"/>
    <n v="5"/>
    <x v="677"/>
    <x v="0"/>
    <x v="1"/>
  </r>
  <r>
    <x v="680"/>
    <x v="326"/>
    <x v="179"/>
    <x v="2"/>
    <x v="8"/>
    <x v="9"/>
    <x v="2"/>
    <n v="4"/>
    <n v="327.74"/>
    <n v="10"/>
    <x v="678"/>
    <x v="4"/>
    <x v="0"/>
  </r>
  <r>
    <x v="681"/>
    <x v="443"/>
    <x v="562"/>
    <x v="0"/>
    <x v="14"/>
    <x v="9"/>
    <x v="2"/>
    <n v="6"/>
    <n v="276.25"/>
    <n v="15"/>
    <x v="679"/>
    <x v="2"/>
    <x v="0"/>
  </r>
  <r>
    <x v="682"/>
    <x v="444"/>
    <x v="563"/>
    <x v="3"/>
    <x v="7"/>
    <x v="9"/>
    <x v="2"/>
    <n v="7"/>
    <n v="225.47"/>
    <n v="10"/>
    <x v="680"/>
    <x v="2"/>
    <x v="0"/>
  </r>
  <r>
    <x v="683"/>
    <x v="445"/>
    <x v="388"/>
    <x v="1"/>
    <x v="18"/>
    <x v="9"/>
    <x v="2"/>
    <n v="8"/>
    <n v="200.64"/>
    <n v="0"/>
    <x v="681"/>
    <x v="4"/>
    <x v="1"/>
  </r>
  <r>
    <x v="684"/>
    <x v="446"/>
    <x v="564"/>
    <x v="3"/>
    <x v="4"/>
    <x v="9"/>
    <x v="2"/>
    <n v="4"/>
    <n v="406.94"/>
    <n v="0"/>
    <x v="682"/>
    <x v="0"/>
    <x v="0"/>
  </r>
  <r>
    <x v="685"/>
    <x v="260"/>
    <x v="565"/>
    <x v="2"/>
    <x v="15"/>
    <x v="9"/>
    <x v="2"/>
    <n v="4"/>
    <n v="449.14"/>
    <n v="0"/>
    <x v="683"/>
    <x v="3"/>
    <x v="0"/>
  </r>
  <r>
    <x v="686"/>
    <x v="206"/>
    <x v="301"/>
    <x v="0"/>
    <x v="14"/>
    <x v="9"/>
    <x v="2"/>
    <n v="5"/>
    <n v="434.15"/>
    <n v="15"/>
    <x v="684"/>
    <x v="2"/>
    <x v="0"/>
  </r>
  <r>
    <x v="687"/>
    <x v="447"/>
    <x v="198"/>
    <x v="1"/>
    <x v="19"/>
    <x v="9"/>
    <x v="2"/>
    <n v="9"/>
    <n v="227.8"/>
    <n v="10"/>
    <x v="685"/>
    <x v="2"/>
    <x v="0"/>
  </r>
  <r>
    <x v="688"/>
    <x v="68"/>
    <x v="566"/>
    <x v="3"/>
    <x v="6"/>
    <x v="9"/>
    <x v="2"/>
    <n v="11"/>
    <n v="185.84"/>
    <n v="0"/>
    <x v="686"/>
    <x v="2"/>
    <x v="0"/>
  </r>
  <r>
    <x v="689"/>
    <x v="448"/>
    <x v="181"/>
    <x v="2"/>
    <x v="15"/>
    <x v="9"/>
    <x v="2"/>
    <n v="5"/>
    <n v="447.85"/>
    <n v="0"/>
    <x v="687"/>
    <x v="4"/>
    <x v="0"/>
  </r>
  <r>
    <x v="690"/>
    <x v="168"/>
    <x v="567"/>
    <x v="0"/>
    <x v="11"/>
    <x v="9"/>
    <x v="2"/>
    <n v="5"/>
    <n v="499.57"/>
    <n v="10"/>
    <x v="688"/>
    <x v="4"/>
    <x v="0"/>
  </r>
  <r>
    <x v="691"/>
    <x v="345"/>
    <x v="568"/>
    <x v="3"/>
    <x v="10"/>
    <x v="9"/>
    <x v="2"/>
    <n v="13"/>
    <n v="212.69"/>
    <n v="5"/>
    <x v="689"/>
    <x v="4"/>
    <x v="0"/>
  </r>
  <r>
    <x v="692"/>
    <x v="184"/>
    <x v="569"/>
    <x v="1"/>
    <x v="5"/>
    <x v="9"/>
    <x v="2"/>
    <n v="18"/>
    <n v="166.02"/>
    <n v="5"/>
    <x v="690"/>
    <x v="0"/>
    <x v="1"/>
  </r>
  <r>
    <x v="693"/>
    <x v="449"/>
    <x v="207"/>
    <x v="0"/>
    <x v="17"/>
    <x v="9"/>
    <x v="2"/>
    <n v="22"/>
    <n v="199.82"/>
    <n v="15"/>
    <x v="691"/>
    <x v="4"/>
    <x v="1"/>
  </r>
  <r>
    <x v="694"/>
    <x v="327"/>
    <x v="570"/>
    <x v="2"/>
    <x v="15"/>
    <x v="9"/>
    <x v="2"/>
    <n v="15"/>
    <n v="254.15"/>
    <n v="0"/>
    <x v="692"/>
    <x v="2"/>
    <x v="0"/>
  </r>
  <r>
    <x v="695"/>
    <x v="450"/>
    <x v="571"/>
    <x v="3"/>
    <x v="16"/>
    <x v="9"/>
    <x v="2"/>
    <n v="13"/>
    <n v="348.28"/>
    <n v="10"/>
    <x v="693"/>
    <x v="2"/>
    <x v="1"/>
  </r>
  <r>
    <x v="696"/>
    <x v="261"/>
    <x v="268"/>
    <x v="3"/>
    <x v="4"/>
    <x v="9"/>
    <x v="2"/>
    <n v="32"/>
    <n v="151.53"/>
    <n v="10"/>
    <x v="694"/>
    <x v="4"/>
    <x v="0"/>
  </r>
  <r>
    <x v="697"/>
    <x v="441"/>
    <x v="572"/>
    <x v="0"/>
    <x v="14"/>
    <x v="9"/>
    <x v="2"/>
    <n v="17"/>
    <n v="308.45"/>
    <n v="15"/>
    <x v="695"/>
    <x v="4"/>
    <x v="0"/>
  </r>
  <r>
    <x v="698"/>
    <x v="438"/>
    <x v="529"/>
    <x v="2"/>
    <x v="15"/>
    <x v="9"/>
    <x v="2"/>
    <n v="13"/>
    <n v="446.19"/>
    <n v="20"/>
    <x v="696"/>
    <x v="1"/>
    <x v="0"/>
  </r>
  <r>
    <x v="699"/>
    <x v="265"/>
    <x v="362"/>
    <x v="2"/>
    <x v="13"/>
    <x v="9"/>
    <x v="2"/>
    <n v="13"/>
    <n v="455.41"/>
    <n v="15"/>
    <x v="697"/>
    <x v="1"/>
    <x v="0"/>
  </r>
  <r>
    <x v="700"/>
    <x v="353"/>
    <x v="573"/>
    <x v="2"/>
    <x v="12"/>
    <x v="9"/>
    <x v="2"/>
    <n v="38"/>
    <n v="167.52"/>
    <n v="20"/>
    <x v="698"/>
    <x v="1"/>
    <x v="0"/>
  </r>
  <r>
    <x v="701"/>
    <x v="451"/>
    <x v="58"/>
    <x v="3"/>
    <x v="10"/>
    <x v="9"/>
    <x v="2"/>
    <n v="28"/>
    <n v="213.45"/>
    <n v="10"/>
    <x v="699"/>
    <x v="3"/>
    <x v="0"/>
  </r>
  <r>
    <x v="702"/>
    <x v="335"/>
    <x v="285"/>
    <x v="3"/>
    <x v="7"/>
    <x v="9"/>
    <x v="2"/>
    <n v="27"/>
    <n v="220.68"/>
    <n v="5"/>
    <x v="700"/>
    <x v="1"/>
    <x v="0"/>
  </r>
  <r>
    <x v="703"/>
    <x v="45"/>
    <x v="19"/>
    <x v="1"/>
    <x v="2"/>
    <x v="9"/>
    <x v="2"/>
    <n v="17"/>
    <n v="361.05"/>
    <n v="5"/>
    <x v="701"/>
    <x v="4"/>
    <x v="0"/>
  </r>
  <r>
    <x v="704"/>
    <x v="452"/>
    <x v="542"/>
    <x v="2"/>
    <x v="15"/>
    <x v="9"/>
    <x v="2"/>
    <n v="15"/>
    <n v="422.43"/>
    <n v="5"/>
    <x v="702"/>
    <x v="3"/>
    <x v="0"/>
  </r>
  <r>
    <x v="705"/>
    <x v="425"/>
    <x v="61"/>
    <x v="1"/>
    <x v="18"/>
    <x v="9"/>
    <x v="2"/>
    <n v="26"/>
    <n v="302.49"/>
    <n v="20"/>
    <x v="703"/>
    <x v="2"/>
    <x v="0"/>
  </r>
  <r>
    <x v="706"/>
    <x v="149"/>
    <x v="574"/>
    <x v="3"/>
    <x v="16"/>
    <x v="9"/>
    <x v="2"/>
    <n v="47"/>
    <n v="192.03"/>
    <n v="0"/>
    <x v="704"/>
    <x v="3"/>
    <x v="1"/>
  </r>
  <r>
    <x v="707"/>
    <x v="453"/>
    <x v="292"/>
    <x v="2"/>
    <x v="13"/>
    <x v="9"/>
    <x v="2"/>
    <n v="29"/>
    <n v="315.17"/>
    <n v="0"/>
    <x v="705"/>
    <x v="4"/>
    <x v="0"/>
  </r>
  <r>
    <x v="708"/>
    <x v="7"/>
    <x v="575"/>
    <x v="1"/>
    <x v="18"/>
    <x v="9"/>
    <x v="2"/>
    <n v="21"/>
    <n v="443.76"/>
    <n v="0"/>
    <x v="706"/>
    <x v="3"/>
    <x v="1"/>
  </r>
  <r>
    <x v="709"/>
    <x v="454"/>
    <x v="576"/>
    <x v="1"/>
    <x v="9"/>
    <x v="9"/>
    <x v="2"/>
    <n v="21"/>
    <n v="477.08"/>
    <n v="0"/>
    <x v="707"/>
    <x v="1"/>
    <x v="0"/>
  </r>
  <r>
    <x v="710"/>
    <x v="346"/>
    <x v="577"/>
    <x v="0"/>
    <x v="14"/>
    <x v="9"/>
    <x v="2"/>
    <n v="22"/>
    <n v="463.26"/>
    <n v="0"/>
    <x v="708"/>
    <x v="1"/>
    <x v="0"/>
  </r>
  <r>
    <x v="711"/>
    <x v="455"/>
    <x v="54"/>
    <x v="2"/>
    <x v="12"/>
    <x v="9"/>
    <x v="2"/>
    <n v="32"/>
    <n v="354.88"/>
    <n v="10"/>
    <x v="709"/>
    <x v="1"/>
    <x v="1"/>
  </r>
  <r>
    <x v="712"/>
    <x v="197"/>
    <x v="578"/>
    <x v="1"/>
    <x v="5"/>
    <x v="9"/>
    <x v="2"/>
    <n v="32"/>
    <n v="385"/>
    <n v="10"/>
    <x v="710"/>
    <x v="2"/>
    <x v="0"/>
  </r>
  <r>
    <x v="713"/>
    <x v="456"/>
    <x v="407"/>
    <x v="1"/>
    <x v="5"/>
    <x v="9"/>
    <x v="2"/>
    <n v="47"/>
    <n v="289.66000000000003"/>
    <n v="15"/>
    <x v="711"/>
    <x v="4"/>
    <x v="0"/>
  </r>
  <r>
    <x v="714"/>
    <x v="457"/>
    <x v="537"/>
    <x v="1"/>
    <x v="19"/>
    <x v="9"/>
    <x v="2"/>
    <n v="50"/>
    <n v="335.95"/>
    <n v="20"/>
    <x v="712"/>
    <x v="2"/>
    <x v="0"/>
  </r>
  <r>
    <x v="715"/>
    <x v="403"/>
    <x v="579"/>
    <x v="3"/>
    <x v="7"/>
    <x v="9"/>
    <x v="2"/>
    <n v="39"/>
    <n v="459.03"/>
    <n v="20"/>
    <x v="713"/>
    <x v="2"/>
    <x v="0"/>
  </r>
  <r>
    <x v="716"/>
    <x v="27"/>
    <x v="103"/>
    <x v="2"/>
    <x v="3"/>
    <x v="9"/>
    <x v="2"/>
    <n v="40"/>
    <n v="360.72"/>
    <n v="0"/>
    <x v="714"/>
    <x v="2"/>
    <x v="0"/>
  </r>
  <r>
    <x v="717"/>
    <x v="458"/>
    <x v="580"/>
    <x v="3"/>
    <x v="16"/>
    <x v="9"/>
    <x v="2"/>
    <n v="43"/>
    <n v="335.63"/>
    <n v="0"/>
    <x v="715"/>
    <x v="0"/>
    <x v="0"/>
  </r>
  <r>
    <x v="718"/>
    <x v="81"/>
    <x v="581"/>
    <x v="0"/>
    <x v="11"/>
    <x v="9"/>
    <x v="2"/>
    <n v="44"/>
    <n v="362.13"/>
    <n v="5"/>
    <x v="716"/>
    <x v="3"/>
    <x v="1"/>
  </r>
  <r>
    <x v="719"/>
    <x v="459"/>
    <x v="582"/>
    <x v="1"/>
    <x v="5"/>
    <x v="9"/>
    <x v="2"/>
    <n v="35"/>
    <n v="448.85"/>
    <n v="0"/>
    <x v="717"/>
    <x v="1"/>
    <x v="0"/>
  </r>
  <r>
    <x v="720"/>
    <x v="460"/>
    <x v="583"/>
    <x v="1"/>
    <x v="19"/>
    <x v="9"/>
    <x v="2"/>
    <n v="40"/>
    <n v="476.63"/>
    <n v="15"/>
    <x v="718"/>
    <x v="1"/>
    <x v="0"/>
  </r>
  <r>
    <x v="721"/>
    <x v="158"/>
    <x v="22"/>
    <x v="0"/>
    <x v="14"/>
    <x v="10"/>
    <x v="2"/>
    <n v="1"/>
    <n v="587.17999999999995"/>
    <n v="5"/>
    <x v="719"/>
    <x v="0"/>
    <x v="0"/>
  </r>
  <r>
    <x v="722"/>
    <x v="5"/>
    <x v="584"/>
    <x v="0"/>
    <x v="17"/>
    <x v="10"/>
    <x v="2"/>
    <n v="2"/>
    <n v="356.65"/>
    <n v="5"/>
    <x v="720"/>
    <x v="3"/>
    <x v="1"/>
  </r>
  <r>
    <x v="723"/>
    <x v="273"/>
    <x v="585"/>
    <x v="0"/>
    <x v="1"/>
    <x v="10"/>
    <x v="2"/>
    <n v="3"/>
    <n v="311.76"/>
    <n v="0"/>
    <x v="721"/>
    <x v="0"/>
    <x v="0"/>
  </r>
  <r>
    <x v="724"/>
    <x v="461"/>
    <x v="429"/>
    <x v="0"/>
    <x v="1"/>
    <x v="10"/>
    <x v="2"/>
    <n v="3"/>
    <n v="362.32"/>
    <n v="10"/>
    <x v="722"/>
    <x v="1"/>
    <x v="1"/>
  </r>
  <r>
    <x v="725"/>
    <x v="403"/>
    <x v="215"/>
    <x v="0"/>
    <x v="0"/>
    <x v="10"/>
    <x v="2"/>
    <n v="5"/>
    <n v="376.56"/>
    <n v="15"/>
    <x v="723"/>
    <x v="4"/>
    <x v="0"/>
  </r>
  <r>
    <x v="726"/>
    <x v="78"/>
    <x v="586"/>
    <x v="1"/>
    <x v="18"/>
    <x v="10"/>
    <x v="2"/>
    <n v="3"/>
    <n v="617.09"/>
    <n v="10"/>
    <x v="724"/>
    <x v="0"/>
    <x v="0"/>
  </r>
  <r>
    <x v="727"/>
    <x v="94"/>
    <x v="587"/>
    <x v="3"/>
    <x v="6"/>
    <x v="10"/>
    <x v="2"/>
    <n v="3"/>
    <n v="617.29"/>
    <n v="5"/>
    <x v="725"/>
    <x v="0"/>
    <x v="0"/>
  </r>
  <r>
    <x v="728"/>
    <x v="18"/>
    <x v="73"/>
    <x v="3"/>
    <x v="10"/>
    <x v="10"/>
    <x v="2"/>
    <n v="6"/>
    <n v="424.29"/>
    <n v="20"/>
    <x v="726"/>
    <x v="1"/>
    <x v="1"/>
  </r>
  <r>
    <x v="729"/>
    <x v="45"/>
    <x v="190"/>
    <x v="2"/>
    <x v="12"/>
    <x v="10"/>
    <x v="2"/>
    <n v="8"/>
    <n v="310.63"/>
    <n v="5"/>
    <x v="727"/>
    <x v="4"/>
    <x v="0"/>
  </r>
  <r>
    <x v="730"/>
    <x v="462"/>
    <x v="588"/>
    <x v="2"/>
    <x v="8"/>
    <x v="10"/>
    <x v="2"/>
    <n v="5"/>
    <n v="479.01"/>
    <n v="0"/>
    <x v="728"/>
    <x v="0"/>
    <x v="0"/>
  </r>
  <r>
    <x v="731"/>
    <x v="260"/>
    <x v="589"/>
    <x v="1"/>
    <x v="2"/>
    <x v="10"/>
    <x v="2"/>
    <n v="6"/>
    <n v="493.27"/>
    <n v="10"/>
    <x v="729"/>
    <x v="3"/>
    <x v="0"/>
  </r>
  <r>
    <x v="732"/>
    <x v="161"/>
    <x v="236"/>
    <x v="3"/>
    <x v="6"/>
    <x v="10"/>
    <x v="2"/>
    <n v="4"/>
    <n v="786.54"/>
    <n v="0"/>
    <x v="730"/>
    <x v="0"/>
    <x v="1"/>
  </r>
  <r>
    <x v="733"/>
    <x v="384"/>
    <x v="236"/>
    <x v="1"/>
    <x v="18"/>
    <x v="10"/>
    <x v="2"/>
    <n v="11"/>
    <n v="379.66"/>
    <n v="20"/>
    <x v="731"/>
    <x v="1"/>
    <x v="1"/>
  </r>
  <r>
    <x v="734"/>
    <x v="463"/>
    <x v="590"/>
    <x v="1"/>
    <x v="2"/>
    <x v="10"/>
    <x v="2"/>
    <n v="7"/>
    <n v="543.16999999999996"/>
    <n v="0"/>
    <x v="732"/>
    <x v="3"/>
    <x v="0"/>
  </r>
  <r>
    <x v="735"/>
    <x v="464"/>
    <x v="591"/>
    <x v="3"/>
    <x v="10"/>
    <x v="10"/>
    <x v="2"/>
    <n v="12"/>
    <n v="360.39"/>
    <n v="0"/>
    <x v="733"/>
    <x v="1"/>
    <x v="0"/>
  </r>
  <r>
    <x v="736"/>
    <x v="465"/>
    <x v="592"/>
    <x v="0"/>
    <x v="1"/>
    <x v="10"/>
    <x v="2"/>
    <n v="12"/>
    <n v="450.82"/>
    <n v="20"/>
    <x v="734"/>
    <x v="0"/>
    <x v="0"/>
  </r>
  <r>
    <x v="737"/>
    <x v="319"/>
    <x v="354"/>
    <x v="0"/>
    <x v="17"/>
    <x v="10"/>
    <x v="2"/>
    <n v="13"/>
    <n v="378.25"/>
    <n v="10"/>
    <x v="735"/>
    <x v="2"/>
    <x v="0"/>
  </r>
  <r>
    <x v="738"/>
    <x v="180"/>
    <x v="593"/>
    <x v="2"/>
    <x v="3"/>
    <x v="10"/>
    <x v="2"/>
    <n v="9"/>
    <n v="594.96"/>
    <n v="0"/>
    <x v="736"/>
    <x v="2"/>
    <x v="0"/>
  </r>
  <r>
    <x v="739"/>
    <x v="70"/>
    <x v="501"/>
    <x v="0"/>
    <x v="11"/>
    <x v="10"/>
    <x v="2"/>
    <n v="15"/>
    <n v="395.69"/>
    <n v="5"/>
    <x v="737"/>
    <x v="1"/>
    <x v="1"/>
  </r>
  <r>
    <x v="740"/>
    <x v="466"/>
    <x v="594"/>
    <x v="3"/>
    <x v="16"/>
    <x v="10"/>
    <x v="2"/>
    <n v="12"/>
    <n v="510.58"/>
    <n v="5"/>
    <x v="738"/>
    <x v="4"/>
    <x v="1"/>
  </r>
  <r>
    <x v="741"/>
    <x v="467"/>
    <x v="595"/>
    <x v="1"/>
    <x v="18"/>
    <x v="10"/>
    <x v="2"/>
    <n v="8"/>
    <n v="747.73"/>
    <n v="0"/>
    <x v="739"/>
    <x v="2"/>
    <x v="1"/>
  </r>
  <r>
    <x v="742"/>
    <x v="146"/>
    <x v="596"/>
    <x v="0"/>
    <x v="0"/>
    <x v="10"/>
    <x v="2"/>
    <n v="9"/>
    <n v="788.38"/>
    <n v="15"/>
    <x v="740"/>
    <x v="4"/>
    <x v="0"/>
  </r>
  <r>
    <x v="743"/>
    <x v="468"/>
    <x v="597"/>
    <x v="2"/>
    <x v="8"/>
    <x v="10"/>
    <x v="2"/>
    <n v="16"/>
    <n v="445.23"/>
    <n v="0"/>
    <x v="741"/>
    <x v="1"/>
    <x v="0"/>
  </r>
  <r>
    <x v="744"/>
    <x v="294"/>
    <x v="598"/>
    <x v="0"/>
    <x v="14"/>
    <x v="10"/>
    <x v="2"/>
    <n v="14"/>
    <n v="546.63"/>
    <n v="0"/>
    <x v="742"/>
    <x v="3"/>
    <x v="0"/>
  </r>
  <r>
    <x v="745"/>
    <x v="469"/>
    <x v="599"/>
    <x v="2"/>
    <x v="12"/>
    <x v="10"/>
    <x v="2"/>
    <n v="18"/>
    <n v="462.39"/>
    <n v="0"/>
    <x v="743"/>
    <x v="1"/>
    <x v="0"/>
  </r>
  <r>
    <x v="746"/>
    <x v="437"/>
    <x v="562"/>
    <x v="1"/>
    <x v="2"/>
    <x v="10"/>
    <x v="2"/>
    <n v="18"/>
    <n v="495.9"/>
    <n v="0"/>
    <x v="744"/>
    <x v="1"/>
    <x v="0"/>
  </r>
  <r>
    <x v="747"/>
    <x v="301"/>
    <x v="600"/>
    <x v="3"/>
    <x v="4"/>
    <x v="10"/>
    <x v="2"/>
    <n v="16"/>
    <n v="577.67999999999995"/>
    <n v="0"/>
    <x v="745"/>
    <x v="2"/>
    <x v="0"/>
  </r>
  <r>
    <x v="748"/>
    <x v="235"/>
    <x v="601"/>
    <x v="2"/>
    <x v="15"/>
    <x v="10"/>
    <x v="2"/>
    <n v="18"/>
    <n v="578.11"/>
    <n v="10"/>
    <x v="746"/>
    <x v="2"/>
    <x v="0"/>
  </r>
  <r>
    <x v="749"/>
    <x v="210"/>
    <x v="602"/>
    <x v="0"/>
    <x v="0"/>
    <x v="10"/>
    <x v="2"/>
    <n v="21"/>
    <n v="458.24"/>
    <n v="0"/>
    <x v="747"/>
    <x v="0"/>
    <x v="0"/>
  </r>
  <r>
    <x v="750"/>
    <x v="470"/>
    <x v="88"/>
    <x v="2"/>
    <x v="3"/>
    <x v="10"/>
    <x v="2"/>
    <n v="18"/>
    <n v="549.09"/>
    <n v="0"/>
    <x v="748"/>
    <x v="0"/>
    <x v="0"/>
  </r>
  <r>
    <x v="751"/>
    <x v="24"/>
    <x v="31"/>
    <x v="0"/>
    <x v="17"/>
    <x v="10"/>
    <x v="2"/>
    <n v="19"/>
    <n v="654.32000000000005"/>
    <n v="20"/>
    <x v="749"/>
    <x v="0"/>
    <x v="0"/>
  </r>
  <r>
    <x v="752"/>
    <x v="436"/>
    <x v="603"/>
    <x v="1"/>
    <x v="2"/>
    <x v="10"/>
    <x v="2"/>
    <n v="26"/>
    <n v="450.69"/>
    <n v="10"/>
    <x v="750"/>
    <x v="3"/>
    <x v="1"/>
  </r>
  <r>
    <x v="753"/>
    <x v="183"/>
    <x v="604"/>
    <x v="0"/>
    <x v="11"/>
    <x v="10"/>
    <x v="2"/>
    <n v="33"/>
    <n v="357.83"/>
    <n v="10"/>
    <x v="751"/>
    <x v="1"/>
    <x v="0"/>
  </r>
  <r>
    <x v="754"/>
    <x v="102"/>
    <x v="188"/>
    <x v="1"/>
    <x v="18"/>
    <x v="10"/>
    <x v="2"/>
    <n v="15"/>
    <n v="710.36"/>
    <n v="0"/>
    <x v="752"/>
    <x v="1"/>
    <x v="0"/>
  </r>
  <r>
    <x v="755"/>
    <x v="469"/>
    <x v="412"/>
    <x v="3"/>
    <x v="16"/>
    <x v="10"/>
    <x v="2"/>
    <n v="27"/>
    <n v="395.64"/>
    <n v="0"/>
    <x v="753"/>
    <x v="1"/>
    <x v="0"/>
  </r>
  <r>
    <x v="756"/>
    <x v="471"/>
    <x v="605"/>
    <x v="2"/>
    <x v="13"/>
    <x v="10"/>
    <x v="2"/>
    <n v="23"/>
    <n v="527.59"/>
    <n v="10"/>
    <x v="754"/>
    <x v="4"/>
    <x v="0"/>
  </r>
  <r>
    <x v="757"/>
    <x v="227"/>
    <x v="606"/>
    <x v="3"/>
    <x v="16"/>
    <x v="10"/>
    <x v="2"/>
    <n v="26"/>
    <n v="457.45"/>
    <n v="5"/>
    <x v="755"/>
    <x v="1"/>
    <x v="0"/>
  </r>
  <r>
    <x v="758"/>
    <x v="71"/>
    <x v="607"/>
    <x v="3"/>
    <x v="16"/>
    <x v="10"/>
    <x v="2"/>
    <n v="19"/>
    <n v="720.79"/>
    <n v="15"/>
    <x v="756"/>
    <x v="1"/>
    <x v="1"/>
  </r>
  <r>
    <x v="759"/>
    <x v="472"/>
    <x v="608"/>
    <x v="3"/>
    <x v="6"/>
    <x v="10"/>
    <x v="2"/>
    <n v="43"/>
    <n v="301.3"/>
    <n v="10"/>
    <x v="757"/>
    <x v="0"/>
    <x v="0"/>
  </r>
  <r>
    <x v="760"/>
    <x v="384"/>
    <x v="265"/>
    <x v="2"/>
    <x v="13"/>
    <x v="10"/>
    <x v="2"/>
    <n v="20"/>
    <n v="656.14"/>
    <n v="10"/>
    <x v="758"/>
    <x v="3"/>
    <x v="1"/>
  </r>
  <r>
    <x v="761"/>
    <x v="473"/>
    <x v="609"/>
    <x v="3"/>
    <x v="16"/>
    <x v="10"/>
    <x v="2"/>
    <n v="26"/>
    <n v="458.47"/>
    <n v="0"/>
    <x v="759"/>
    <x v="3"/>
    <x v="0"/>
  </r>
  <r>
    <x v="762"/>
    <x v="68"/>
    <x v="610"/>
    <x v="0"/>
    <x v="0"/>
    <x v="10"/>
    <x v="2"/>
    <n v="26"/>
    <n v="495.88"/>
    <n v="5"/>
    <x v="760"/>
    <x v="2"/>
    <x v="0"/>
  </r>
  <r>
    <x v="763"/>
    <x v="49"/>
    <x v="611"/>
    <x v="0"/>
    <x v="1"/>
    <x v="10"/>
    <x v="2"/>
    <n v="31"/>
    <n v="441.23"/>
    <n v="10"/>
    <x v="761"/>
    <x v="3"/>
    <x v="0"/>
  </r>
  <r>
    <x v="764"/>
    <x v="416"/>
    <x v="612"/>
    <x v="2"/>
    <x v="3"/>
    <x v="10"/>
    <x v="2"/>
    <n v="43"/>
    <n v="320.12"/>
    <n v="5"/>
    <x v="762"/>
    <x v="4"/>
    <x v="1"/>
  </r>
  <r>
    <x v="765"/>
    <x v="391"/>
    <x v="613"/>
    <x v="1"/>
    <x v="9"/>
    <x v="10"/>
    <x v="2"/>
    <n v="18"/>
    <n v="729.65"/>
    <n v="0"/>
    <x v="763"/>
    <x v="2"/>
    <x v="1"/>
  </r>
  <r>
    <x v="766"/>
    <x v="474"/>
    <x v="586"/>
    <x v="3"/>
    <x v="6"/>
    <x v="10"/>
    <x v="2"/>
    <n v="28"/>
    <n v="593.09"/>
    <n v="20"/>
    <x v="764"/>
    <x v="4"/>
    <x v="1"/>
  </r>
  <r>
    <x v="767"/>
    <x v="475"/>
    <x v="610"/>
    <x v="2"/>
    <x v="8"/>
    <x v="10"/>
    <x v="2"/>
    <n v="25"/>
    <n v="535.44000000000005"/>
    <n v="0"/>
    <x v="765"/>
    <x v="1"/>
    <x v="0"/>
  </r>
  <r>
    <x v="768"/>
    <x v="283"/>
    <x v="614"/>
    <x v="3"/>
    <x v="4"/>
    <x v="10"/>
    <x v="2"/>
    <n v="29"/>
    <n v="469.02"/>
    <n v="0"/>
    <x v="766"/>
    <x v="3"/>
    <x v="0"/>
  </r>
  <r>
    <x v="769"/>
    <x v="154"/>
    <x v="615"/>
    <x v="3"/>
    <x v="10"/>
    <x v="10"/>
    <x v="2"/>
    <n v="24"/>
    <n v="637.80999999999995"/>
    <n v="10"/>
    <x v="767"/>
    <x v="3"/>
    <x v="0"/>
  </r>
  <r>
    <x v="770"/>
    <x v="396"/>
    <x v="72"/>
    <x v="3"/>
    <x v="7"/>
    <x v="10"/>
    <x v="2"/>
    <n v="44"/>
    <n v="356"/>
    <n v="10"/>
    <x v="768"/>
    <x v="2"/>
    <x v="0"/>
  </r>
  <r>
    <x v="771"/>
    <x v="92"/>
    <x v="616"/>
    <x v="2"/>
    <x v="13"/>
    <x v="10"/>
    <x v="2"/>
    <n v="22"/>
    <n v="718.94"/>
    <n v="10"/>
    <x v="769"/>
    <x v="4"/>
    <x v="1"/>
  </r>
  <r>
    <x v="772"/>
    <x v="249"/>
    <x v="617"/>
    <x v="1"/>
    <x v="2"/>
    <x v="10"/>
    <x v="2"/>
    <n v="36"/>
    <n v="396.91"/>
    <n v="0"/>
    <x v="770"/>
    <x v="2"/>
    <x v="0"/>
  </r>
  <r>
    <x v="773"/>
    <x v="363"/>
    <x v="356"/>
    <x v="2"/>
    <x v="15"/>
    <x v="10"/>
    <x v="2"/>
    <n v="29"/>
    <n v="550.74"/>
    <n v="10"/>
    <x v="771"/>
    <x v="1"/>
    <x v="0"/>
  </r>
  <r>
    <x v="774"/>
    <x v="370"/>
    <x v="551"/>
    <x v="1"/>
    <x v="2"/>
    <x v="10"/>
    <x v="2"/>
    <n v="33"/>
    <n v="486.25"/>
    <n v="10"/>
    <x v="772"/>
    <x v="1"/>
    <x v="0"/>
  </r>
  <r>
    <x v="775"/>
    <x v="449"/>
    <x v="618"/>
    <x v="2"/>
    <x v="8"/>
    <x v="10"/>
    <x v="2"/>
    <n v="35"/>
    <n v="524.15"/>
    <n v="20"/>
    <x v="773"/>
    <x v="3"/>
    <x v="0"/>
  </r>
  <r>
    <x v="776"/>
    <x v="128"/>
    <x v="619"/>
    <x v="2"/>
    <x v="13"/>
    <x v="10"/>
    <x v="2"/>
    <n v="40"/>
    <n v="367.76"/>
    <n v="0"/>
    <x v="774"/>
    <x v="3"/>
    <x v="0"/>
  </r>
  <r>
    <x v="777"/>
    <x v="440"/>
    <x v="124"/>
    <x v="3"/>
    <x v="7"/>
    <x v="10"/>
    <x v="2"/>
    <n v="26"/>
    <n v="565.84"/>
    <n v="0"/>
    <x v="775"/>
    <x v="2"/>
    <x v="0"/>
  </r>
  <r>
    <x v="778"/>
    <x v="426"/>
    <x v="486"/>
    <x v="1"/>
    <x v="2"/>
    <x v="10"/>
    <x v="2"/>
    <n v="42"/>
    <n v="429.08"/>
    <n v="15"/>
    <x v="776"/>
    <x v="2"/>
    <x v="1"/>
  </r>
  <r>
    <x v="779"/>
    <x v="133"/>
    <x v="620"/>
    <x v="2"/>
    <x v="8"/>
    <x v="10"/>
    <x v="2"/>
    <n v="41"/>
    <n v="394.53"/>
    <n v="0"/>
    <x v="777"/>
    <x v="3"/>
    <x v="0"/>
  </r>
  <r>
    <x v="780"/>
    <x v="142"/>
    <x v="621"/>
    <x v="2"/>
    <x v="12"/>
    <x v="10"/>
    <x v="2"/>
    <n v="49"/>
    <n v="337.74"/>
    <n v="0"/>
    <x v="778"/>
    <x v="2"/>
    <x v="0"/>
  </r>
  <r>
    <x v="781"/>
    <x v="476"/>
    <x v="622"/>
    <x v="2"/>
    <x v="13"/>
    <x v="10"/>
    <x v="2"/>
    <n v="37"/>
    <n v="455.64"/>
    <n v="0"/>
    <x v="779"/>
    <x v="4"/>
    <x v="0"/>
  </r>
  <r>
    <x v="782"/>
    <x v="295"/>
    <x v="623"/>
    <x v="2"/>
    <x v="12"/>
    <x v="10"/>
    <x v="2"/>
    <n v="46"/>
    <n v="379.47"/>
    <n v="0"/>
    <x v="780"/>
    <x v="2"/>
    <x v="1"/>
  </r>
  <r>
    <x v="783"/>
    <x v="477"/>
    <x v="624"/>
    <x v="0"/>
    <x v="0"/>
    <x v="10"/>
    <x v="2"/>
    <n v="29"/>
    <n v="680.47"/>
    <n v="10"/>
    <x v="781"/>
    <x v="4"/>
    <x v="0"/>
  </r>
  <r>
    <x v="784"/>
    <x v="478"/>
    <x v="625"/>
    <x v="2"/>
    <x v="8"/>
    <x v="10"/>
    <x v="2"/>
    <n v="34"/>
    <n v="553.53"/>
    <n v="0"/>
    <x v="782"/>
    <x v="3"/>
    <x v="0"/>
  </r>
  <r>
    <x v="785"/>
    <x v="147"/>
    <x v="626"/>
    <x v="2"/>
    <x v="8"/>
    <x v="10"/>
    <x v="2"/>
    <n v="32"/>
    <n v="627.63"/>
    <n v="0"/>
    <x v="783"/>
    <x v="1"/>
    <x v="0"/>
  </r>
  <r>
    <x v="786"/>
    <x v="479"/>
    <x v="627"/>
    <x v="2"/>
    <x v="8"/>
    <x v="10"/>
    <x v="2"/>
    <n v="31"/>
    <n v="685.6"/>
    <n v="5"/>
    <x v="784"/>
    <x v="1"/>
    <x v="0"/>
  </r>
  <r>
    <x v="787"/>
    <x v="233"/>
    <x v="320"/>
    <x v="0"/>
    <x v="11"/>
    <x v="10"/>
    <x v="2"/>
    <n v="44"/>
    <n v="492.47"/>
    <n v="5"/>
    <x v="785"/>
    <x v="3"/>
    <x v="0"/>
  </r>
  <r>
    <x v="788"/>
    <x v="355"/>
    <x v="628"/>
    <x v="2"/>
    <x v="15"/>
    <x v="10"/>
    <x v="2"/>
    <n v="43"/>
    <n v="505.66"/>
    <n v="5"/>
    <x v="786"/>
    <x v="0"/>
    <x v="0"/>
  </r>
  <r>
    <x v="789"/>
    <x v="29"/>
    <x v="629"/>
    <x v="3"/>
    <x v="7"/>
    <x v="10"/>
    <x v="2"/>
    <n v="34"/>
    <n v="648.09"/>
    <n v="5"/>
    <x v="787"/>
    <x v="1"/>
    <x v="1"/>
  </r>
  <r>
    <x v="790"/>
    <x v="116"/>
    <x v="141"/>
    <x v="3"/>
    <x v="7"/>
    <x v="10"/>
    <x v="2"/>
    <n v="50"/>
    <n v="422.9"/>
    <n v="0"/>
    <x v="788"/>
    <x v="0"/>
    <x v="1"/>
  </r>
  <r>
    <x v="791"/>
    <x v="14"/>
    <x v="35"/>
    <x v="1"/>
    <x v="2"/>
    <x v="10"/>
    <x v="2"/>
    <n v="31"/>
    <n v="706.82"/>
    <n v="0"/>
    <x v="789"/>
    <x v="1"/>
    <x v="0"/>
  </r>
  <r>
    <x v="792"/>
    <x v="192"/>
    <x v="474"/>
    <x v="3"/>
    <x v="10"/>
    <x v="10"/>
    <x v="2"/>
    <n v="34"/>
    <n v="773.52"/>
    <n v="10"/>
    <x v="790"/>
    <x v="0"/>
    <x v="0"/>
  </r>
  <r>
    <x v="793"/>
    <x v="480"/>
    <x v="630"/>
    <x v="3"/>
    <x v="10"/>
    <x v="10"/>
    <x v="2"/>
    <n v="46"/>
    <n v="603.1"/>
    <n v="10"/>
    <x v="791"/>
    <x v="4"/>
    <x v="0"/>
  </r>
  <r>
    <x v="794"/>
    <x v="411"/>
    <x v="385"/>
    <x v="1"/>
    <x v="18"/>
    <x v="10"/>
    <x v="2"/>
    <n v="39"/>
    <n v="661.32"/>
    <n v="0"/>
    <x v="792"/>
    <x v="4"/>
    <x v="1"/>
  </r>
  <r>
    <x v="795"/>
    <x v="104"/>
    <x v="631"/>
    <x v="2"/>
    <x v="12"/>
    <x v="10"/>
    <x v="2"/>
    <n v="45"/>
    <n v="580.89"/>
    <n v="0"/>
    <x v="793"/>
    <x v="2"/>
    <x v="0"/>
  </r>
  <r>
    <x v="796"/>
    <x v="481"/>
    <x v="531"/>
    <x v="1"/>
    <x v="5"/>
    <x v="10"/>
    <x v="2"/>
    <n v="36"/>
    <n v="790.44"/>
    <n v="5"/>
    <x v="794"/>
    <x v="4"/>
    <x v="0"/>
  </r>
  <r>
    <x v="797"/>
    <x v="139"/>
    <x v="632"/>
    <x v="1"/>
    <x v="19"/>
    <x v="10"/>
    <x v="2"/>
    <n v="45"/>
    <n v="654.98"/>
    <n v="5"/>
    <x v="795"/>
    <x v="4"/>
    <x v="0"/>
  </r>
  <r>
    <x v="798"/>
    <x v="445"/>
    <x v="371"/>
    <x v="0"/>
    <x v="1"/>
    <x v="10"/>
    <x v="2"/>
    <n v="39"/>
    <n v="718.61"/>
    <n v="0"/>
    <x v="796"/>
    <x v="0"/>
    <x v="1"/>
  </r>
  <r>
    <x v="799"/>
    <x v="81"/>
    <x v="240"/>
    <x v="1"/>
    <x v="19"/>
    <x v="10"/>
    <x v="2"/>
    <n v="45"/>
    <n v="630.27"/>
    <n v="0"/>
    <x v="797"/>
    <x v="2"/>
    <x v="1"/>
  </r>
  <r>
    <x v="800"/>
    <x v="453"/>
    <x v="500"/>
    <x v="2"/>
    <x v="13"/>
    <x v="10"/>
    <x v="2"/>
    <n v="48"/>
    <n v="628.04999999999995"/>
    <n v="0"/>
    <x v="798"/>
    <x v="0"/>
    <x v="0"/>
  </r>
  <r>
    <x v="801"/>
    <x v="482"/>
    <x v="253"/>
    <x v="2"/>
    <x v="15"/>
    <x v="10"/>
    <x v="2"/>
    <n v="44"/>
    <n v="780.56"/>
    <n v="10"/>
    <x v="799"/>
    <x v="1"/>
    <x v="0"/>
  </r>
  <r>
    <x v="802"/>
    <x v="483"/>
    <x v="633"/>
    <x v="0"/>
    <x v="14"/>
    <x v="10"/>
    <x v="2"/>
    <n v="45"/>
    <n v="706.49"/>
    <n v="0"/>
    <x v="800"/>
    <x v="1"/>
    <x v="0"/>
  </r>
  <r>
    <x v="803"/>
    <x v="484"/>
    <x v="634"/>
    <x v="3"/>
    <x v="10"/>
    <x v="11"/>
    <x v="3"/>
    <n v="1"/>
    <n v="40.479999999999997"/>
    <n v="10"/>
    <x v="801"/>
    <x v="1"/>
    <x v="1"/>
  </r>
  <r>
    <x v="804"/>
    <x v="309"/>
    <x v="635"/>
    <x v="3"/>
    <x v="16"/>
    <x v="11"/>
    <x v="3"/>
    <n v="1"/>
    <n v="36.97"/>
    <n v="0"/>
    <x v="802"/>
    <x v="0"/>
    <x v="1"/>
  </r>
  <r>
    <x v="805"/>
    <x v="485"/>
    <x v="636"/>
    <x v="0"/>
    <x v="14"/>
    <x v="11"/>
    <x v="3"/>
    <n v="1"/>
    <n v="37.020000000000003"/>
    <n v="0"/>
    <x v="803"/>
    <x v="1"/>
    <x v="0"/>
  </r>
  <r>
    <x v="806"/>
    <x v="370"/>
    <x v="637"/>
    <x v="0"/>
    <x v="17"/>
    <x v="11"/>
    <x v="3"/>
    <n v="2"/>
    <n v="41.01"/>
    <n v="10"/>
    <x v="804"/>
    <x v="2"/>
    <x v="0"/>
  </r>
  <r>
    <x v="807"/>
    <x v="189"/>
    <x v="638"/>
    <x v="1"/>
    <x v="19"/>
    <x v="11"/>
    <x v="3"/>
    <n v="3"/>
    <n v="29.14"/>
    <n v="10"/>
    <x v="805"/>
    <x v="0"/>
    <x v="0"/>
  </r>
  <r>
    <x v="808"/>
    <x v="377"/>
    <x v="639"/>
    <x v="2"/>
    <x v="15"/>
    <x v="11"/>
    <x v="3"/>
    <n v="5"/>
    <n v="47.02"/>
    <n v="10"/>
    <x v="806"/>
    <x v="3"/>
    <x v="0"/>
  </r>
  <r>
    <x v="809"/>
    <x v="265"/>
    <x v="465"/>
    <x v="1"/>
    <x v="9"/>
    <x v="11"/>
    <x v="3"/>
    <n v="4"/>
    <n v="69.52"/>
    <n v="10"/>
    <x v="807"/>
    <x v="4"/>
    <x v="0"/>
  </r>
  <r>
    <x v="810"/>
    <x v="441"/>
    <x v="640"/>
    <x v="3"/>
    <x v="10"/>
    <x v="11"/>
    <x v="3"/>
    <n v="10"/>
    <n v="32.840000000000003"/>
    <n v="10"/>
    <x v="808"/>
    <x v="1"/>
    <x v="0"/>
  </r>
  <r>
    <x v="811"/>
    <x v="486"/>
    <x v="641"/>
    <x v="3"/>
    <x v="4"/>
    <x v="11"/>
    <x v="3"/>
    <n v="6"/>
    <n v="68.040000000000006"/>
    <n v="20"/>
    <x v="809"/>
    <x v="3"/>
    <x v="1"/>
  </r>
  <r>
    <x v="812"/>
    <x v="487"/>
    <x v="607"/>
    <x v="3"/>
    <x v="4"/>
    <x v="11"/>
    <x v="3"/>
    <n v="18"/>
    <n v="26.65"/>
    <n v="10"/>
    <x v="810"/>
    <x v="4"/>
    <x v="0"/>
  </r>
  <r>
    <x v="813"/>
    <x v="318"/>
    <x v="642"/>
    <x v="3"/>
    <x v="16"/>
    <x v="11"/>
    <x v="3"/>
    <n v="11"/>
    <n v="54.47"/>
    <n v="5"/>
    <x v="811"/>
    <x v="2"/>
    <x v="0"/>
  </r>
  <r>
    <x v="814"/>
    <x v="160"/>
    <x v="143"/>
    <x v="1"/>
    <x v="9"/>
    <x v="11"/>
    <x v="3"/>
    <n v="16"/>
    <n v="35.79"/>
    <n v="0"/>
    <x v="812"/>
    <x v="1"/>
    <x v="0"/>
  </r>
  <r>
    <x v="815"/>
    <x v="266"/>
    <x v="643"/>
    <x v="2"/>
    <x v="12"/>
    <x v="11"/>
    <x v="3"/>
    <n v="17"/>
    <n v="34.25"/>
    <n v="0"/>
    <x v="813"/>
    <x v="4"/>
    <x v="0"/>
  </r>
  <r>
    <x v="816"/>
    <x v="488"/>
    <x v="264"/>
    <x v="1"/>
    <x v="2"/>
    <x v="11"/>
    <x v="3"/>
    <n v="18"/>
    <n v="40.07"/>
    <n v="10"/>
    <x v="814"/>
    <x v="0"/>
    <x v="0"/>
  </r>
  <r>
    <x v="817"/>
    <x v="489"/>
    <x v="289"/>
    <x v="3"/>
    <x v="4"/>
    <x v="11"/>
    <x v="3"/>
    <n v="13"/>
    <n v="53.27"/>
    <n v="0"/>
    <x v="815"/>
    <x v="4"/>
    <x v="0"/>
  </r>
  <r>
    <x v="818"/>
    <x v="54"/>
    <x v="644"/>
    <x v="2"/>
    <x v="3"/>
    <x v="11"/>
    <x v="3"/>
    <n v="16"/>
    <n v="55.14"/>
    <n v="20"/>
    <x v="816"/>
    <x v="2"/>
    <x v="0"/>
  </r>
  <r>
    <x v="819"/>
    <x v="210"/>
    <x v="645"/>
    <x v="2"/>
    <x v="3"/>
    <x v="11"/>
    <x v="3"/>
    <n v="24"/>
    <n v="37.840000000000003"/>
    <n v="20"/>
    <x v="817"/>
    <x v="0"/>
    <x v="0"/>
  </r>
  <r>
    <x v="820"/>
    <x v="490"/>
    <x v="646"/>
    <x v="0"/>
    <x v="17"/>
    <x v="11"/>
    <x v="3"/>
    <n v="14"/>
    <n v="56.99"/>
    <n v="5"/>
    <x v="818"/>
    <x v="0"/>
    <x v="0"/>
  </r>
  <r>
    <x v="821"/>
    <x v="387"/>
    <x v="647"/>
    <x v="0"/>
    <x v="1"/>
    <x v="11"/>
    <x v="3"/>
    <n v="24"/>
    <n v="31.83"/>
    <n v="0"/>
    <x v="819"/>
    <x v="0"/>
    <x v="0"/>
  </r>
  <r>
    <x v="822"/>
    <x v="371"/>
    <x v="307"/>
    <x v="0"/>
    <x v="0"/>
    <x v="11"/>
    <x v="3"/>
    <n v="10"/>
    <n v="79.69"/>
    <n v="0"/>
    <x v="820"/>
    <x v="3"/>
    <x v="1"/>
  </r>
  <r>
    <x v="823"/>
    <x v="288"/>
    <x v="648"/>
    <x v="2"/>
    <x v="3"/>
    <x v="11"/>
    <x v="3"/>
    <n v="22"/>
    <n v="38.549999999999997"/>
    <n v="5"/>
    <x v="821"/>
    <x v="0"/>
    <x v="1"/>
  </r>
  <r>
    <x v="824"/>
    <x v="491"/>
    <x v="446"/>
    <x v="1"/>
    <x v="9"/>
    <x v="11"/>
    <x v="3"/>
    <n v="13"/>
    <n v="65.83"/>
    <n v="0"/>
    <x v="822"/>
    <x v="0"/>
    <x v="0"/>
  </r>
  <r>
    <x v="825"/>
    <x v="481"/>
    <x v="649"/>
    <x v="2"/>
    <x v="13"/>
    <x v="11"/>
    <x v="3"/>
    <n v="24"/>
    <n v="47.71"/>
    <n v="20"/>
    <x v="823"/>
    <x v="2"/>
    <x v="1"/>
  </r>
  <r>
    <x v="826"/>
    <x v="428"/>
    <x v="650"/>
    <x v="0"/>
    <x v="14"/>
    <x v="11"/>
    <x v="3"/>
    <n v="16"/>
    <n v="61.48"/>
    <n v="5"/>
    <x v="824"/>
    <x v="3"/>
    <x v="0"/>
  </r>
  <r>
    <x v="827"/>
    <x v="22"/>
    <x v="651"/>
    <x v="0"/>
    <x v="0"/>
    <x v="11"/>
    <x v="3"/>
    <n v="31"/>
    <n v="36.51"/>
    <n v="10"/>
    <x v="825"/>
    <x v="4"/>
    <x v="1"/>
  </r>
  <r>
    <x v="828"/>
    <x v="123"/>
    <x v="652"/>
    <x v="3"/>
    <x v="7"/>
    <x v="11"/>
    <x v="3"/>
    <n v="15"/>
    <n v="78.209999999999994"/>
    <n v="5"/>
    <x v="826"/>
    <x v="3"/>
    <x v="1"/>
  </r>
  <r>
    <x v="829"/>
    <x v="419"/>
    <x v="107"/>
    <x v="2"/>
    <x v="15"/>
    <x v="11"/>
    <x v="3"/>
    <n v="16"/>
    <n v="78.27"/>
    <n v="10"/>
    <x v="827"/>
    <x v="1"/>
    <x v="1"/>
  </r>
  <r>
    <x v="830"/>
    <x v="307"/>
    <x v="254"/>
    <x v="3"/>
    <x v="16"/>
    <x v="11"/>
    <x v="3"/>
    <n v="35"/>
    <n v="35.79"/>
    <n v="5"/>
    <x v="828"/>
    <x v="3"/>
    <x v="1"/>
  </r>
  <r>
    <x v="831"/>
    <x v="492"/>
    <x v="653"/>
    <x v="0"/>
    <x v="14"/>
    <x v="11"/>
    <x v="3"/>
    <n v="30"/>
    <n v="43.97"/>
    <n v="5"/>
    <x v="829"/>
    <x v="0"/>
    <x v="0"/>
  </r>
  <r>
    <x v="832"/>
    <x v="493"/>
    <x v="654"/>
    <x v="0"/>
    <x v="1"/>
    <x v="11"/>
    <x v="3"/>
    <n v="38"/>
    <n v="34.840000000000003"/>
    <n v="5"/>
    <x v="830"/>
    <x v="4"/>
    <x v="0"/>
  </r>
  <r>
    <x v="833"/>
    <x v="467"/>
    <x v="655"/>
    <x v="1"/>
    <x v="2"/>
    <x v="11"/>
    <x v="3"/>
    <n v="17"/>
    <n v="74.180000000000007"/>
    <n v="0"/>
    <x v="831"/>
    <x v="3"/>
    <x v="1"/>
  </r>
  <r>
    <x v="834"/>
    <x v="16"/>
    <x v="656"/>
    <x v="3"/>
    <x v="7"/>
    <x v="11"/>
    <x v="3"/>
    <n v="39"/>
    <n v="36.21"/>
    <n v="10"/>
    <x v="832"/>
    <x v="4"/>
    <x v="0"/>
  </r>
  <r>
    <x v="835"/>
    <x v="410"/>
    <x v="410"/>
    <x v="2"/>
    <x v="15"/>
    <x v="11"/>
    <x v="3"/>
    <n v="25"/>
    <n v="51.16"/>
    <n v="0"/>
    <x v="833"/>
    <x v="0"/>
    <x v="0"/>
  </r>
  <r>
    <x v="836"/>
    <x v="494"/>
    <x v="657"/>
    <x v="0"/>
    <x v="11"/>
    <x v="11"/>
    <x v="3"/>
    <n v="28"/>
    <n v="57.94"/>
    <n v="20"/>
    <x v="834"/>
    <x v="1"/>
    <x v="0"/>
  </r>
  <r>
    <x v="837"/>
    <x v="285"/>
    <x v="658"/>
    <x v="2"/>
    <x v="15"/>
    <x v="11"/>
    <x v="3"/>
    <n v="30"/>
    <n v="49.53"/>
    <n v="10"/>
    <x v="835"/>
    <x v="1"/>
    <x v="1"/>
  </r>
  <r>
    <x v="838"/>
    <x v="480"/>
    <x v="659"/>
    <x v="1"/>
    <x v="9"/>
    <x v="11"/>
    <x v="3"/>
    <n v="32"/>
    <n v="45.15"/>
    <n v="5"/>
    <x v="836"/>
    <x v="4"/>
    <x v="0"/>
  </r>
  <r>
    <x v="839"/>
    <x v="489"/>
    <x v="660"/>
    <x v="1"/>
    <x v="9"/>
    <x v="11"/>
    <x v="3"/>
    <n v="36"/>
    <n v="42.5"/>
    <n v="10"/>
    <x v="837"/>
    <x v="0"/>
    <x v="0"/>
  </r>
  <r>
    <x v="840"/>
    <x v="373"/>
    <x v="421"/>
    <x v="3"/>
    <x v="6"/>
    <x v="11"/>
    <x v="3"/>
    <n v="33"/>
    <n v="45.36"/>
    <n v="5"/>
    <x v="838"/>
    <x v="0"/>
    <x v="0"/>
  </r>
  <r>
    <x v="841"/>
    <x v="495"/>
    <x v="98"/>
    <x v="0"/>
    <x v="1"/>
    <x v="11"/>
    <x v="3"/>
    <n v="50"/>
    <n v="34.21"/>
    <n v="15"/>
    <x v="839"/>
    <x v="0"/>
    <x v="0"/>
  </r>
  <r>
    <x v="842"/>
    <x v="185"/>
    <x v="661"/>
    <x v="0"/>
    <x v="17"/>
    <x v="11"/>
    <x v="3"/>
    <n v="29"/>
    <n v="53.16"/>
    <n v="5"/>
    <x v="840"/>
    <x v="2"/>
    <x v="0"/>
  </r>
  <r>
    <x v="843"/>
    <x v="496"/>
    <x v="662"/>
    <x v="3"/>
    <x v="16"/>
    <x v="11"/>
    <x v="3"/>
    <n v="37"/>
    <n v="49.64"/>
    <n v="20"/>
    <x v="841"/>
    <x v="0"/>
    <x v="0"/>
  </r>
  <r>
    <x v="844"/>
    <x v="70"/>
    <x v="663"/>
    <x v="2"/>
    <x v="15"/>
    <x v="11"/>
    <x v="3"/>
    <n v="26"/>
    <n v="63.33"/>
    <n v="10"/>
    <x v="842"/>
    <x v="3"/>
    <x v="0"/>
  </r>
  <r>
    <x v="845"/>
    <x v="326"/>
    <x v="88"/>
    <x v="1"/>
    <x v="5"/>
    <x v="11"/>
    <x v="3"/>
    <n v="28"/>
    <n v="53.14"/>
    <n v="0"/>
    <x v="843"/>
    <x v="3"/>
    <x v="0"/>
  </r>
  <r>
    <x v="846"/>
    <x v="497"/>
    <x v="664"/>
    <x v="3"/>
    <x v="4"/>
    <x v="11"/>
    <x v="3"/>
    <n v="45"/>
    <n v="34.86"/>
    <n v="5"/>
    <x v="844"/>
    <x v="1"/>
    <x v="0"/>
  </r>
  <r>
    <x v="847"/>
    <x v="139"/>
    <x v="665"/>
    <x v="3"/>
    <x v="10"/>
    <x v="11"/>
    <x v="3"/>
    <n v="44"/>
    <n v="36.85"/>
    <n v="5"/>
    <x v="845"/>
    <x v="2"/>
    <x v="0"/>
  </r>
  <r>
    <x v="848"/>
    <x v="478"/>
    <x v="351"/>
    <x v="0"/>
    <x v="17"/>
    <x v="11"/>
    <x v="3"/>
    <n v="33"/>
    <n v="53.39"/>
    <n v="5"/>
    <x v="846"/>
    <x v="3"/>
    <x v="0"/>
  </r>
  <r>
    <x v="849"/>
    <x v="498"/>
    <x v="666"/>
    <x v="1"/>
    <x v="18"/>
    <x v="11"/>
    <x v="3"/>
    <n v="29"/>
    <n v="72.930000000000007"/>
    <n v="20"/>
    <x v="847"/>
    <x v="4"/>
    <x v="0"/>
  </r>
  <r>
    <x v="850"/>
    <x v="499"/>
    <x v="658"/>
    <x v="0"/>
    <x v="17"/>
    <x v="11"/>
    <x v="3"/>
    <n v="24"/>
    <n v="79.900000000000006"/>
    <n v="10"/>
    <x v="848"/>
    <x v="1"/>
    <x v="1"/>
  </r>
  <r>
    <x v="851"/>
    <x v="500"/>
    <x v="667"/>
    <x v="0"/>
    <x v="0"/>
    <x v="11"/>
    <x v="3"/>
    <n v="28"/>
    <n v="67.16"/>
    <n v="5"/>
    <x v="849"/>
    <x v="2"/>
    <x v="1"/>
  </r>
  <r>
    <x v="852"/>
    <x v="304"/>
    <x v="242"/>
    <x v="2"/>
    <x v="3"/>
    <x v="11"/>
    <x v="3"/>
    <n v="34"/>
    <n v="56.53"/>
    <n v="5"/>
    <x v="850"/>
    <x v="3"/>
    <x v="0"/>
  </r>
  <r>
    <x v="853"/>
    <x v="296"/>
    <x v="532"/>
    <x v="0"/>
    <x v="11"/>
    <x v="11"/>
    <x v="3"/>
    <n v="34"/>
    <n v="67.02"/>
    <n v="15"/>
    <x v="851"/>
    <x v="1"/>
    <x v="0"/>
  </r>
  <r>
    <x v="854"/>
    <x v="140"/>
    <x v="668"/>
    <x v="1"/>
    <x v="18"/>
    <x v="11"/>
    <x v="3"/>
    <n v="46"/>
    <n v="50.31"/>
    <n v="10"/>
    <x v="852"/>
    <x v="3"/>
    <x v="0"/>
  </r>
  <r>
    <x v="855"/>
    <x v="366"/>
    <x v="669"/>
    <x v="2"/>
    <x v="15"/>
    <x v="11"/>
    <x v="3"/>
    <n v="37"/>
    <n v="63.98"/>
    <n v="10"/>
    <x v="853"/>
    <x v="4"/>
    <x v="1"/>
  </r>
  <r>
    <x v="856"/>
    <x v="288"/>
    <x v="75"/>
    <x v="0"/>
    <x v="11"/>
    <x v="11"/>
    <x v="3"/>
    <n v="35"/>
    <n v="64.849999999999994"/>
    <n v="5"/>
    <x v="854"/>
    <x v="2"/>
    <x v="0"/>
  </r>
  <r>
    <x v="857"/>
    <x v="494"/>
    <x v="670"/>
    <x v="1"/>
    <x v="18"/>
    <x v="11"/>
    <x v="3"/>
    <n v="37"/>
    <n v="65.87"/>
    <n v="10"/>
    <x v="855"/>
    <x v="0"/>
    <x v="0"/>
  </r>
  <r>
    <x v="858"/>
    <x v="204"/>
    <x v="671"/>
    <x v="0"/>
    <x v="0"/>
    <x v="11"/>
    <x v="3"/>
    <n v="38"/>
    <n v="73.22"/>
    <n v="20"/>
    <x v="856"/>
    <x v="4"/>
    <x v="0"/>
  </r>
  <r>
    <x v="859"/>
    <x v="57"/>
    <x v="353"/>
    <x v="1"/>
    <x v="5"/>
    <x v="11"/>
    <x v="3"/>
    <n v="34"/>
    <n v="75.25"/>
    <n v="10"/>
    <x v="857"/>
    <x v="4"/>
    <x v="0"/>
  </r>
  <r>
    <x v="860"/>
    <x v="225"/>
    <x v="672"/>
    <x v="1"/>
    <x v="19"/>
    <x v="11"/>
    <x v="3"/>
    <n v="37"/>
    <n v="70.73"/>
    <n v="10"/>
    <x v="858"/>
    <x v="1"/>
    <x v="0"/>
  </r>
  <r>
    <x v="861"/>
    <x v="47"/>
    <x v="670"/>
    <x v="0"/>
    <x v="11"/>
    <x v="11"/>
    <x v="3"/>
    <n v="45"/>
    <n v="66.099999999999994"/>
    <n v="20"/>
    <x v="859"/>
    <x v="3"/>
    <x v="1"/>
  </r>
  <r>
    <x v="862"/>
    <x v="152"/>
    <x v="298"/>
    <x v="2"/>
    <x v="13"/>
    <x v="11"/>
    <x v="3"/>
    <n v="32"/>
    <n v="76.89"/>
    <n v="0"/>
    <x v="860"/>
    <x v="3"/>
    <x v="0"/>
  </r>
  <r>
    <x v="863"/>
    <x v="287"/>
    <x v="539"/>
    <x v="2"/>
    <x v="8"/>
    <x v="11"/>
    <x v="3"/>
    <n v="37"/>
    <n v="66.59"/>
    <n v="0"/>
    <x v="861"/>
    <x v="3"/>
    <x v="0"/>
  </r>
  <r>
    <x v="864"/>
    <x v="379"/>
    <x v="673"/>
    <x v="3"/>
    <x v="10"/>
    <x v="11"/>
    <x v="3"/>
    <n v="35"/>
    <n v="72.040000000000006"/>
    <n v="0"/>
    <x v="862"/>
    <x v="0"/>
    <x v="0"/>
  </r>
  <r>
    <x v="865"/>
    <x v="362"/>
    <x v="674"/>
    <x v="3"/>
    <x v="16"/>
    <x v="11"/>
    <x v="3"/>
    <n v="44"/>
    <n v="68.2"/>
    <n v="10"/>
    <x v="863"/>
    <x v="2"/>
    <x v="0"/>
  </r>
  <r>
    <x v="866"/>
    <x v="501"/>
    <x v="675"/>
    <x v="1"/>
    <x v="18"/>
    <x v="11"/>
    <x v="3"/>
    <n v="49"/>
    <n v="77.010000000000005"/>
    <n v="0"/>
    <x v="864"/>
    <x v="1"/>
    <x v="0"/>
  </r>
  <r>
    <x v="867"/>
    <x v="12"/>
    <x v="676"/>
    <x v="0"/>
    <x v="14"/>
    <x v="12"/>
    <x v="3"/>
    <n v="1"/>
    <n v="29.21"/>
    <n v="15"/>
    <x v="865"/>
    <x v="3"/>
    <x v="0"/>
  </r>
  <r>
    <x v="868"/>
    <x v="316"/>
    <x v="677"/>
    <x v="0"/>
    <x v="11"/>
    <x v="12"/>
    <x v="3"/>
    <n v="1"/>
    <n v="27.61"/>
    <n v="0"/>
    <x v="866"/>
    <x v="4"/>
    <x v="0"/>
  </r>
  <r>
    <x v="869"/>
    <x v="293"/>
    <x v="678"/>
    <x v="3"/>
    <x v="16"/>
    <x v="12"/>
    <x v="3"/>
    <n v="2"/>
    <n v="27.32"/>
    <n v="10"/>
    <x v="867"/>
    <x v="0"/>
    <x v="0"/>
  </r>
  <r>
    <x v="870"/>
    <x v="180"/>
    <x v="679"/>
    <x v="1"/>
    <x v="9"/>
    <x v="12"/>
    <x v="3"/>
    <n v="2"/>
    <n v="31.76"/>
    <n v="10"/>
    <x v="868"/>
    <x v="1"/>
    <x v="0"/>
  </r>
  <r>
    <x v="871"/>
    <x v="243"/>
    <x v="680"/>
    <x v="3"/>
    <x v="4"/>
    <x v="12"/>
    <x v="3"/>
    <n v="7"/>
    <n v="16.32"/>
    <n v="20"/>
    <x v="869"/>
    <x v="3"/>
    <x v="1"/>
  </r>
  <r>
    <x v="872"/>
    <x v="79"/>
    <x v="681"/>
    <x v="2"/>
    <x v="8"/>
    <x v="12"/>
    <x v="3"/>
    <n v="5"/>
    <n v="24.69"/>
    <n v="20"/>
    <x v="870"/>
    <x v="3"/>
    <x v="0"/>
  </r>
  <r>
    <x v="873"/>
    <x v="322"/>
    <x v="682"/>
    <x v="3"/>
    <x v="16"/>
    <x v="12"/>
    <x v="3"/>
    <n v="9"/>
    <n v="15.36"/>
    <n v="0"/>
    <x v="871"/>
    <x v="0"/>
    <x v="0"/>
  </r>
  <r>
    <x v="874"/>
    <x v="104"/>
    <x v="683"/>
    <x v="1"/>
    <x v="2"/>
    <x v="12"/>
    <x v="3"/>
    <n v="5"/>
    <n v="34.11"/>
    <n v="5"/>
    <x v="872"/>
    <x v="0"/>
    <x v="0"/>
  </r>
  <r>
    <x v="875"/>
    <x v="410"/>
    <x v="684"/>
    <x v="0"/>
    <x v="14"/>
    <x v="12"/>
    <x v="3"/>
    <n v="6"/>
    <n v="34.479999999999997"/>
    <n v="10"/>
    <x v="873"/>
    <x v="1"/>
    <x v="0"/>
  </r>
  <r>
    <x v="876"/>
    <x v="213"/>
    <x v="685"/>
    <x v="2"/>
    <x v="8"/>
    <x v="12"/>
    <x v="3"/>
    <n v="7"/>
    <n v="39.840000000000003"/>
    <n v="10"/>
    <x v="874"/>
    <x v="1"/>
    <x v="0"/>
  </r>
  <r>
    <x v="877"/>
    <x v="502"/>
    <x v="435"/>
    <x v="0"/>
    <x v="0"/>
    <x v="12"/>
    <x v="3"/>
    <n v="14"/>
    <n v="22.43"/>
    <n v="20"/>
    <x v="875"/>
    <x v="4"/>
    <x v="1"/>
  </r>
  <r>
    <x v="878"/>
    <x v="503"/>
    <x v="686"/>
    <x v="0"/>
    <x v="17"/>
    <x v="12"/>
    <x v="3"/>
    <n v="9"/>
    <n v="29.81"/>
    <n v="0"/>
    <x v="876"/>
    <x v="4"/>
    <x v="0"/>
  </r>
  <r>
    <x v="879"/>
    <x v="432"/>
    <x v="687"/>
    <x v="2"/>
    <x v="15"/>
    <x v="12"/>
    <x v="3"/>
    <n v="6"/>
    <n v="45.59"/>
    <n v="0"/>
    <x v="877"/>
    <x v="4"/>
    <x v="0"/>
  </r>
  <r>
    <x v="880"/>
    <x v="137"/>
    <x v="435"/>
    <x v="2"/>
    <x v="12"/>
    <x v="12"/>
    <x v="3"/>
    <n v="12"/>
    <n v="24.64"/>
    <n v="0"/>
    <x v="878"/>
    <x v="4"/>
    <x v="0"/>
  </r>
  <r>
    <x v="881"/>
    <x v="284"/>
    <x v="688"/>
    <x v="0"/>
    <x v="0"/>
    <x v="12"/>
    <x v="3"/>
    <n v="18"/>
    <n v="17.809999999999999"/>
    <n v="5"/>
    <x v="879"/>
    <x v="0"/>
    <x v="1"/>
  </r>
  <r>
    <x v="882"/>
    <x v="504"/>
    <x v="396"/>
    <x v="1"/>
    <x v="9"/>
    <x v="12"/>
    <x v="3"/>
    <n v="9"/>
    <n v="49.57"/>
    <n v="20"/>
    <x v="880"/>
    <x v="1"/>
    <x v="1"/>
  </r>
  <r>
    <x v="883"/>
    <x v="70"/>
    <x v="493"/>
    <x v="1"/>
    <x v="9"/>
    <x v="12"/>
    <x v="3"/>
    <n v="16"/>
    <n v="26.31"/>
    <n v="10"/>
    <x v="881"/>
    <x v="0"/>
    <x v="1"/>
  </r>
  <r>
    <x v="884"/>
    <x v="505"/>
    <x v="604"/>
    <x v="0"/>
    <x v="11"/>
    <x v="12"/>
    <x v="3"/>
    <n v="11"/>
    <n v="35.03"/>
    <n v="0"/>
    <x v="882"/>
    <x v="0"/>
    <x v="1"/>
  </r>
  <r>
    <x v="885"/>
    <x v="312"/>
    <x v="33"/>
    <x v="0"/>
    <x v="14"/>
    <x v="12"/>
    <x v="3"/>
    <n v="9"/>
    <n v="43.04"/>
    <n v="0"/>
    <x v="883"/>
    <x v="2"/>
    <x v="1"/>
  </r>
  <r>
    <x v="886"/>
    <x v="249"/>
    <x v="689"/>
    <x v="0"/>
    <x v="11"/>
    <x v="12"/>
    <x v="3"/>
    <n v="14"/>
    <n v="31.76"/>
    <n v="10"/>
    <x v="884"/>
    <x v="4"/>
    <x v="0"/>
  </r>
  <r>
    <x v="887"/>
    <x v="428"/>
    <x v="303"/>
    <x v="2"/>
    <x v="3"/>
    <x v="12"/>
    <x v="3"/>
    <n v="16"/>
    <n v="28.48"/>
    <n v="10"/>
    <x v="885"/>
    <x v="2"/>
    <x v="0"/>
  </r>
  <r>
    <x v="888"/>
    <x v="366"/>
    <x v="690"/>
    <x v="2"/>
    <x v="15"/>
    <x v="12"/>
    <x v="3"/>
    <n v="10"/>
    <n v="45.93"/>
    <n v="10"/>
    <x v="886"/>
    <x v="2"/>
    <x v="0"/>
  </r>
  <r>
    <x v="889"/>
    <x v="272"/>
    <x v="691"/>
    <x v="2"/>
    <x v="12"/>
    <x v="12"/>
    <x v="3"/>
    <n v="23"/>
    <n v="18.940000000000001"/>
    <n v="5"/>
    <x v="887"/>
    <x v="4"/>
    <x v="0"/>
  </r>
  <r>
    <x v="890"/>
    <x v="482"/>
    <x v="445"/>
    <x v="2"/>
    <x v="3"/>
    <x v="12"/>
    <x v="3"/>
    <n v="27"/>
    <n v="15.98"/>
    <n v="0"/>
    <x v="888"/>
    <x v="0"/>
    <x v="0"/>
  </r>
  <r>
    <x v="891"/>
    <x v="50"/>
    <x v="494"/>
    <x v="0"/>
    <x v="1"/>
    <x v="12"/>
    <x v="3"/>
    <n v="22"/>
    <n v="25.84"/>
    <n v="15"/>
    <x v="889"/>
    <x v="3"/>
    <x v="0"/>
  </r>
  <r>
    <x v="892"/>
    <x v="214"/>
    <x v="480"/>
    <x v="3"/>
    <x v="4"/>
    <x v="12"/>
    <x v="3"/>
    <n v="17"/>
    <n v="31.91"/>
    <n v="10"/>
    <x v="890"/>
    <x v="4"/>
    <x v="0"/>
  </r>
  <r>
    <x v="893"/>
    <x v="258"/>
    <x v="692"/>
    <x v="3"/>
    <x v="7"/>
    <x v="12"/>
    <x v="3"/>
    <n v="21"/>
    <n v="26.95"/>
    <n v="10"/>
    <x v="891"/>
    <x v="4"/>
    <x v="0"/>
  </r>
  <r>
    <x v="894"/>
    <x v="244"/>
    <x v="693"/>
    <x v="3"/>
    <x v="4"/>
    <x v="12"/>
    <x v="3"/>
    <n v="17"/>
    <n v="37.71"/>
    <n v="20"/>
    <x v="892"/>
    <x v="1"/>
    <x v="0"/>
  </r>
  <r>
    <x v="895"/>
    <x v="78"/>
    <x v="694"/>
    <x v="2"/>
    <x v="12"/>
    <x v="12"/>
    <x v="3"/>
    <n v="30"/>
    <n v="17.690000000000001"/>
    <n v="0"/>
    <x v="893"/>
    <x v="0"/>
    <x v="0"/>
  </r>
  <r>
    <x v="896"/>
    <x v="247"/>
    <x v="695"/>
    <x v="3"/>
    <x v="6"/>
    <x v="12"/>
    <x v="3"/>
    <n v="31"/>
    <n v="19.77"/>
    <n v="0"/>
    <x v="894"/>
    <x v="2"/>
    <x v="0"/>
  </r>
  <r>
    <x v="897"/>
    <x v="506"/>
    <x v="617"/>
    <x v="0"/>
    <x v="0"/>
    <x v="12"/>
    <x v="3"/>
    <n v="27"/>
    <n v="23.16"/>
    <n v="0"/>
    <x v="895"/>
    <x v="1"/>
    <x v="0"/>
  </r>
  <r>
    <x v="898"/>
    <x v="436"/>
    <x v="118"/>
    <x v="0"/>
    <x v="14"/>
    <x v="12"/>
    <x v="3"/>
    <n v="15"/>
    <n v="42.02"/>
    <n v="0"/>
    <x v="896"/>
    <x v="3"/>
    <x v="0"/>
  </r>
  <r>
    <x v="899"/>
    <x v="507"/>
    <x v="696"/>
    <x v="2"/>
    <x v="13"/>
    <x v="12"/>
    <x v="3"/>
    <n v="29"/>
    <n v="25.35"/>
    <n v="10"/>
    <x v="897"/>
    <x v="4"/>
    <x v="0"/>
  </r>
  <r>
    <x v="900"/>
    <x v="183"/>
    <x v="697"/>
    <x v="2"/>
    <x v="8"/>
    <x v="12"/>
    <x v="3"/>
    <n v="38"/>
    <n v="21.77"/>
    <n v="15"/>
    <x v="898"/>
    <x v="0"/>
    <x v="0"/>
  </r>
  <r>
    <x v="901"/>
    <x v="508"/>
    <x v="194"/>
    <x v="0"/>
    <x v="14"/>
    <x v="12"/>
    <x v="3"/>
    <n v="27"/>
    <n v="27.68"/>
    <n v="5"/>
    <x v="899"/>
    <x v="2"/>
    <x v="0"/>
  </r>
  <r>
    <x v="902"/>
    <x v="454"/>
    <x v="698"/>
    <x v="2"/>
    <x v="8"/>
    <x v="12"/>
    <x v="3"/>
    <n v="40"/>
    <n v="18.350000000000001"/>
    <n v="0"/>
    <x v="900"/>
    <x v="1"/>
    <x v="0"/>
  </r>
  <r>
    <x v="903"/>
    <x v="66"/>
    <x v="73"/>
    <x v="0"/>
    <x v="11"/>
    <x v="12"/>
    <x v="3"/>
    <n v="29"/>
    <n v="27.82"/>
    <n v="5"/>
    <x v="901"/>
    <x v="3"/>
    <x v="1"/>
  </r>
  <r>
    <x v="904"/>
    <x v="490"/>
    <x v="699"/>
    <x v="3"/>
    <x v="10"/>
    <x v="12"/>
    <x v="3"/>
    <n v="50"/>
    <n v="15.48"/>
    <n v="0"/>
    <x v="902"/>
    <x v="3"/>
    <x v="1"/>
  </r>
  <r>
    <x v="905"/>
    <x v="509"/>
    <x v="143"/>
    <x v="2"/>
    <x v="12"/>
    <x v="12"/>
    <x v="3"/>
    <n v="17"/>
    <n v="49.43"/>
    <n v="0"/>
    <x v="903"/>
    <x v="2"/>
    <x v="0"/>
  </r>
  <r>
    <x v="906"/>
    <x v="85"/>
    <x v="700"/>
    <x v="0"/>
    <x v="14"/>
    <x v="12"/>
    <x v="3"/>
    <n v="36"/>
    <n v="26.24"/>
    <n v="10"/>
    <x v="904"/>
    <x v="0"/>
    <x v="1"/>
  </r>
  <r>
    <x v="907"/>
    <x v="510"/>
    <x v="701"/>
    <x v="0"/>
    <x v="11"/>
    <x v="12"/>
    <x v="3"/>
    <n v="45"/>
    <n v="24.38"/>
    <n v="20"/>
    <x v="905"/>
    <x v="2"/>
    <x v="0"/>
  </r>
  <r>
    <x v="908"/>
    <x v="28"/>
    <x v="702"/>
    <x v="0"/>
    <x v="17"/>
    <x v="12"/>
    <x v="3"/>
    <n v="40"/>
    <n v="22.75"/>
    <n v="0"/>
    <x v="906"/>
    <x v="1"/>
    <x v="0"/>
  </r>
  <r>
    <x v="909"/>
    <x v="188"/>
    <x v="703"/>
    <x v="3"/>
    <x v="16"/>
    <x v="12"/>
    <x v="3"/>
    <n v="19"/>
    <n v="49.36"/>
    <n v="0"/>
    <x v="907"/>
    <x v="0"/>
    <x v="0"/>
  </r>
  <r>
    <x v="910"/>
    <x v="385"/>
    <x v="704"/>
    <x v="3"/>
    <x v="6"/>
    <x v="12"/>
    <x v="3"/>
    <n v="39"/>
    <n v="30.3"/>
    <n v="15"/>
    <x v="908"/>
    <x v="4"/>
    <x v="0"/>
  </r>
  <r>
    <x v="911"/>
    <x v="47"/>
    <x v="167"/>
    <x v="3"/>
    <x v="4"/>
    <x v="12"/>
    <x v="3"/>
    <n v="35"/>
    <n v="28.89"/>
    <n v="0"/>
    <x v="909"/>
    <x v="4"/>
    <x v="1"/>
  </r>
  <r>
    <x v="912"/>
    <x v="54"/>
    <x v="101"/>
    <x v="1"/>
    <x v="9"/>
    <x v="12"/>
    <x v="3"/>
    <n v="31"/>
    <n v="32.93"/>
    <n v="0"/>
    <x v="910"/>
    <x v="4"/>
    <x v="1"/>
  </r>
  <r>
    <x v="913"/>
    <x v="49"/>
    <x v="705"/>
    <x v="2"/>
    <x v="8"/>
    <x v="12"/>
    <x v="3"/>
    <n v="25"/>
    <n v="40.89"/>
    <n v="0"/>
    <x v="911"/>
    <x v="2"/>
    <x v="1"/>
  </r>
  <r>
    <x v="914"/>
    <x v="154"/>
    <x v="30"/>
    <x v="3"/>
    <x v="4"/>
    <x v="12"/>
    <x v="3"/>
    <n v="50"/>
    <n v="20.6"/>
    <n v="0"/>
    <x v="912"/>
    <x v="3"/>
    <x v="0"/>
  </r>
  <r>
    <x v="915"/>
    <x v="266"/>
    <x v="208"/>
    <x v="2"/>
    <x v="13"/>
    <x v="12"/>
    <x v="3"/>
    <n v="33"/>
    <n v="33.409999999999997"/>
    <n v="5"/>
    <x v="913"/>
    <x v="2"/>
    <x v="1"/>
  </r>
  <r>
    <x v="916"/>
    <x v="259"/>
    <x v="212"/>
    <x v="2"/>
    <x v="8"/>
    <x v="12"/>
    <x v="3"/>
    <n v="26"/>
    <n v="41.19"/>
    <n v="0"/>
    <x v="914"/>
    <x v="0"/>
    <x v="0"/>
  </r>
  <r>
    <x v="917"/>
    <x v="476"/>
    <x v="702"/>
    <x v="2"/>
    <x v="8"/>
    <x v="12"/>
    <x v="3"/>
    <n v="47"/>
    <n v="24.28"/>
    <n v="5"/>
    <x v="915"/>
    <x v="1"/>
    <x v="0"/>
  </r>
  <r>
    <x v="918"/>
    <x v="143"/>
    <x v="706"/>
    <x v="2"/>
    <x v="3"/>
    <x v="12"/>
    <x v="3"/>
    <n v="48"/>
    <n v="29.37"/>
    <n v="20"/>
    <x v="916"/>
    <x v="4"/>
    <x v="0"/>
  </r>
  <r>
    <x v="919"/>
    <x v="511"/>
    <x v="707"/>
    <x v="1"/>
    <x v="19"/>
    <x v="12"/>
    <x v="3"/>
    <n v="28"/>
    <n v="42.43"/>
    <n v="0"/>
    <x v="917"/>
    <x v="3"/>
    <x v="0"/>
  </r>
  <r>
    <x v="920"/>
    <x v="180"/>
    <x v="708"/>
    <x v="0"/>
    <x v="1"/>
    <x v="12"/>
    <x v="3"/>
    <n v="41"/>
    <n v="36.479999999999997"/>
    <n v="20"/>
    <x v="918"/>
    <x v="3"/>
    <x v="0"/>
  </r>
  <r>
    <x v="921"/>
    <x v="512"/>
    <x v="709"/>
    <x v="3"/>
    <x v="10"/>
    <x v="12"/>
    <x v="3"/>
    <n v="33"/>
    <n v="38.200000000000003"/>
    <n v="5"/>
    <x v="919"/>
    <x v="2"/>
    <x v="0"/>
  </r>
  <r>
    <x v="922"/>
    <x v="41"/>
    <x v="151"/>
    <x v="3"/>
    <x v="7"/>
    <x v="12"/>
    <x v="3"/>
    <n v="34"/>
    <n v="44.07"/>
    <n v="10"/>
    <x v="920"/>
    <x v="1"/>
    <x v="0"/>
  </r>
  <r>
    <x v="923"/>
    <x v="171"/>
    <x v="710"/>
    <x v="2"/>
    <x v="8"/>
    <x v="12"/>
    <x v="3"/>
    <n v="43"/>
    <n v="34.79"/>
    <n v="5"/>
    <x v="921"/>
    <x v="3"/>
    <x v="0"/>
  </r>
  <r>
    <x v="924"/>
    <x v="513"/>
    <x v="711"/>
    <x v="3"/>
    <x v="6"/>
    <x v="12"/>
    <x v="3"/>
    <n v="39"/>
    <n v="39.200000000000003"/>
    <n v="5"/>
    <x v="922"/>
    <x v="0"/>
    <x v="0"/>
  </r>
  <r>
    <x v="925"/>
    <x v="514"/>
    <x v="413"/>
    <x v="0"/>
    <x v="14"/>
    <x v="12"/>
    <x v="3"/>
    <n v="32"/>
    <n v="45.39"/>
    <n v="0"/>
    <x v="923"/>
    <x v="0"/>
    <x v="1"/>
  </r>
  <r>
    <x v="926"/>
    <x v="515"/>
    <x v="712"/>
    <x v="1"/>
    <x v="5"/>
    <x v="12"/>
    <x v="3"/>
    <n v="34"/>
    <n v="48.24"/>
    <n v="0"/>
    <x v="924"/>
    <x v="1"/>
    <x v="0"/>
  </r>
  <r>
    <x v="927"/>
    <x v="375"/>
    <x v="336"/>
    <x v="2"/>
    <x v="13"/>
    <x v="12"/>
    <x v="3"/>
    <n v="47"/>
    <n v="35.04"/>
    <n v="0"/>
    <x v="925"/>
    <x v="2"/>
    <x v="0"/>
  </r>
  <r>
    <x v="928"/>
    <x v="239"/>
    <x v="713"/>
    <x v="3"/>
    <x v="6"/>
    <x v="12"/>
    <x v="3"/>
    <n v="44"/>
    <n v="46.78"/>
    <n v="10"/>
    <x v="926"/>
    <x v="3"/>
    <x v="0"/>
  </r>
  <r>
    <x v="929"/>
    <x v="44"/>
    <x v="284"/>
    <x v="2"/>
    <x v="12"/>
    <x v="13"/>
    <x v="3"/>
    <n v="1"/>
    <n v="62.8"/>
    <n v="5"/>
    <x v="927"/>
    <x v="2"/>
    <x v="0"/>
  </r>
  <r>
    <x v="930"/>
    <x v="396"/>
    <x v="249"/>
    <x v="1"/>
    <x v="9"/>
    <x v="13"/>
    <x v="3"/>
    <n v="3"/>
    <n v="54.83"/>
    <n v="20"/>
    <x v="928"/>
    <x v="4"/>
    <x v="0"/>
  </r>
  <r>
    <x v="931"/>
    <x v="127"/>
    <x v="714"/>
    <x v="1"/>
    <x v="5"/>
    <x v="13"/>
    <x v="3"/>
    <n v="3"/>
    <n v="53.83"/>
    <n v="5"/>
    <x v="929"/>
    <x v="4"/>
    <x v="1"/>
  </r>
  <r>
    <x v="932"/>
    <x v="516"/>
    <x v="715"/>
    <x v="3"/>
    <x v="6"/>
    <x v="13"/>
    <x v="3"/>
    <n v="5"/>
    <n v="50.89"/>
    <n v="5"/>
    <x v="930"/>
    <x v="3"/>
    <x v="1"/>
  </r>
  <r>
    <x v="933"/>
    <x v="517"/>
    <x v="162"/>
    <x v="3"/>
    <x v="7"/>
    <x v="13"/>
    <x v="3"/>
    <n v="10"/>
    <n v="42.74"/>
    <n v="20"/>
    <x v="931"/>
    <x v="0"/>
    <x v="0"/>
  </r>
  <r>
    <x v="934"/>
    <x v="485"/>
    <x v="716"/>
    <x v="3"/>
    <x v="7"/>
    <x v="13"/>
    <x v="3"/>
    <n v="5"/>
    <n v="72.37"/>
    <n v="5"/>
    <x v="932"/>
    <x v="1"/>
    <x v="0"/>
  </r>
  <r>
    <x v="935"/>
    <x v="437"/>
    <x v="47"/>
    <x v="1"/>
    <x v="2"/>
    <x v="13"/>
    <x v="3"/>
    <n v="7"/>
    <n v="50.64"/>
    <n v="0"/>
    <x v="933"/>
    <x v="4"/>
    <x v="1"/>
  </r>
  <r>
    <x v="936"/>
    <x v="314"/>
    <x v="717"/>
    <x v="0"/>
    <x v="1"/>
    <x v="13"/>
    <x v="3"/>
    <n v="10"/>
    <n v="44.06"/>
    <n v="15"/>
    <x v="934"/>
    <x v="1"/>
    <x v="0"/>
  </r>
  <r>
    <x v="937"/>
    <x v="287"/>
    <x v="602"/>
    <x v="3"/>
    <x v="10"/>
    <x v="13"/>
    <x v="3"/>
    <n v="16"/>
    <n v="44.92"/>
    <n v="20"/>
    <x v="935"/>
    <x v="1"/>
    <x v="0"/>
  </r>
  <r>
    <x v="938"/>
    <x v="518"/>
    <x v="68"/>
    <x v="0"/>
    <x v="11"/>
    <x v="13"/>
    <x v="3"/>
    <n v="7"/>
    <n v="104.55"/>
    <n v="5"/>
    <x v="936"/>
    <x v="4"/>
    <x v="0"/>
  </r>
  <r>
    <x v="939"/>
    <x v="24"/>
    <x v="718"/>
    <x v="0"/>
    <x v="17"/>
    <x v="13"/>
    <x v="3"/>
    <n v="14"/>
    <n v="50.92"/>
    <n v="0"/>
    <x v="937"/>
    <x v="2"/>
    <x v="0"/>
  </r>
  <r>
    <x v="940"/>
    <x v="519"/>
    <x v="504"/>
    <x v="1"/>
    <x v="9"/>
    <x v="13"/>
    <x v="3"/>
    <n v="10"/>
    <n v="91.1"/>
    <n v="20"/>
    <x v="938"/>
    <x v="0"/>
    <x v="1"/>
  </r>
  <r>
    <x v="941"/>
    <x v="480"/>
    <x v="719"/>
    <x v="1"/>
    <x v="9"/>
    <x v="13"/>
    <x v="3"/>
    <n v="8"/>
    <n v="100.35"/>
    <n v="0"/>
    <x v="939"/>
    <x v="4"/>
    <x v="0"/>
  </r>
  <r>
    <x v="942"/>
    <x v="473"/>
    <x v="495"/>
    <x v="1"/>
    <x v="2"/>
    <x v="13"/>
    <x v="3"/>
    <n v="21"/>
    <n v="43.09"/>
    <n v="10"/>
    <x v="940"/>
    <x v="2"/>
    <x v="0"/>
  </r>
  <r>
    <x v="943"/>
    <x v="79"/>
    <x v="667"/>
    <x v="3"/>
    <x v="6"/>
    <x v="13"/>
    <x v="3"/>
    <n v="21"/>
    <n v="46.51"/>
    <n v="15"/>
    <x v="941"/>
    <x v="1"/>
    <x v="0"/>
  </r>
  <r>
    <x v="944"/>
    <x v="71"/>
    <x v="720"/>
    <x v="2"/>
    <x v="12"/>
    <x v="13"/>
    <x v="3"/>
    <n v="11"/>
    <n v="83.49"/>
    <n v="0"/>
    <x v="942"/>
    <x v="2"/>
    <x v="0"/>
  </r>
  <r>
    <x v="945"/>
    <x v="520"/>
    <x v="721"/>
    <x v="2"/>
    <x v="15"/>
    <x v="13"/>
    <x v="3"/>
    <n v="12"/>
    <n v="92.37"/>
    <n v="15"/>
    <x v="943"/>
    <x v="2"/>
    <x v="0"/>
  </r>
  <r>
    <x v="946"/>
    <x v="338"/>
    <x v="477"/>
    <x v="2"/>
    <x v="3"/>
    <x v="13"/>
    <x v="3"/>
    <n v="21"/>
    <n v="45.77"/>
    <n v="0"/>
    <x v="944"/>
    <x v="1"/>
    <x v="0"/>
  </r>
  <r>
    <x v="947"/>
    <x v="521"/>
    <x v="195"/>
    <x v="2"/>
    <x v="8"/>
    <x v="13"/>
    <x v="3"/>
    <n v="22"/>
    <n v="55.03"/>
    <n v="20"/>
    <x v="945"/>
    <x v="4"/>
    <x v="0"/>
  </r>
  <r>
    <x v="948"/>
    <x v="113"/>
    <x v="722"/>
    <x v="3"/>
    <x v="7"/>
    <x v="13"/>
    <x v="3"/>
    <n v="13"/>
    <n v="78.92"/>
    <n v="0"/>
    <x v="946"/>
    <x v="4"/>
    <x v="0"/>
  </r>
  <r>
    <x v="949"/>
    <x v="282"/>
    <x v="196"/>
    <x v="1"/>
    <x v="18"/>
    <x v="13"/>
    <x v="3"/>
    <n v="16"/>
    <n v="81.290000000000006"/>
    <n v="15"/>
    <x v="947"/>
    <x v="4"/>
    <x v="1"/>
  </r>
  <r>
    <x v="950"/>
    <x v="50"/>
    <x v="723"/>
    <x v="0"/>
    <x v="0"/>
    <x v="13"/>
    <x v="3"/>
    <n v="27"/>
    <n v="60.57"/>
    <n v="20"/>
    <x v="948"/>
    <x v="0"/>
    <x v="1"/>
  </r>
  <r>
    <x v="951"/>
    <x v="512"/>
    <x v="625"/>
    <x v="0"/>
    <x v="14"/>
    <x v="13"/>
    <x v="3"/>
    <n v="14"/>
    <n v="99.27"/>
    <n v="5"/>
    <x v="949"/>
    <x v="1"/>
    <x v="1"/>
  </r>
  <r>
    <x v="952"/>
    <x v="332"/>
    <x v="724"/>
    <x v="1"/>
    <x v="5"/>
    <x v="13"/>
    <x v="3"/>
    <n v="32"/>
    <n v="41.47"/>
    <n v="0"/>
    <x v="950"/>
    <x v="2"/>
    <x v="0"/>
  </r>
  <r>
    <x v="953"/>
    <x v="374"/>
    <x v="15"/>
    <x v="2"/>
    <x v="3"/>
    <x v="13"/>
    <x v="3"/>
    <n v="34"/>
    <n v="41.92"/>
    <n v="5"/>
    <x v="951"/>
    <x v="1"/>
    <x v="0"/>
  </r>
  <r>
    <x v="954"/>
    <x v="13"/>
    <x v="725"/>
    <x v="2"/>
    <x v="13"/>
    <x v="13"/>
    <x v="3"/>
    <n v="17"/>
    <n v="88.77"/>
    <n v="5"/>
    <x v="952"/>
    <x v="2"/>
    <x v="0"/>
  </r>
  <r>
    <x v="955"/>
    <x v="89"/>
    <x v="384"/>
    <x v="0"/>
    <x v="17"/>
    <x v="13"/>
    <x v="3"/>
    <n v="33"/>
    <n v="45.28"/>
    <n v="0"/>
    <x v="953"/>
    <x v="1"/>
    <x v="0"/>
  </r>
  <r>
    <x v="956"/>
    <x v="522"/>
    <x v="726"/>
    <x v="3"/>
    <x v="10"/>
    <x v="13"/>
    <x v="3"/>
    <n v="14"/>
    <n v="119.23"/>
    <n v="10"/>
    <x v="954"/>
    <x v="1"/>
    <x v="0"/>
  </r>
  <r>
    <x v="957"/>
    <x v="523"/>
    <x v="727"/>
    <x v="2"/>
    <x v="15"/>
    <x v="13"/>
    <x v="3"/>
    <n v="25"/>
    <n v="61.35"/>
    <n v="0"/>
    <x v="955"/>
    <x v="3"/>
    <x v="0"/>
  </r>
  <r>
    <x v="958"/>
    <x v="467"/>
    <x v="728"/>
    <x v="1"/>
    <x v="19"/>
    <x v="13"/>
    <x v="3"/>
    <n v="25"/>
    <n v="78.510000000000005"/>
    <n v="20"/>
    <x v="956"/>
    <x v="4"/>
    <x v="0"/>
  </r>
  <r>
    <x v="959"/>
    <x v="143"/>
    <x v="379"/>
    <x v="3"/>
    <x v="10"/>
    <x v="13"/>
    <x v="3"/>
    <n v="23"/>
    <n v="73.03"/>
    <n v="5"/>
    <x v="957"/>
    <x v="0"/>
    <x v="0"/>
  </r>
  <r>
    <x v="960"/>
    <x v="125"/>
    <x v="729"/>
    <x v="1"/>
    <x v="19"/>
    <x v="13"/>
    <x v="3"/>
    <n v="18"/>
    <n v="94.82"/>
    <n v="5"/>
    <x v="958"/>
    <x v="1"/>
    <x v="0"/>
  </r>
  <r>
    <x v="961"/>
    <x v="254"/>
    <x v="477"/>
    <x v="3"/>
    <x v="4"/>
    <x v="13"/>
    <x v="3"/>
    <n v="20"/>
    <n v="97.14"/>
    <n v="15"/>
    <x v="959"/>
    <x v="1"/>
    <x v="1"/>
  </r>
  <r>
    <x v="962"/>
    <x v="352"/>
    <x v="730"/>
    <x v="3"/>
    <x v="6"/>
    <x v="13"/>
    <x v="3"/>
    <n v="30"/>
    <n v="59.43"/>
    <n v="5"/>
    <x v="960"/>
    <x v="3"/>
    <x v="0"/>
  </r>
  <r>
    <x v="963"/>
    <x v="371"/>
    <x v="478"/>
    <x v="3"/>
    <x v="4"/>
    <x v="13"/>
    <x v="3"/>
    <n v="34"/>
    <n v="50.69"/>
    <n v="0"/>
    <x v="961"/>
    <x v="3"/>
    <x v="1"/>
  </r>
  <r>
    <x v="964"/>
    <x v="244"/>
    <x v="572"/>
    <x v="2"/>
    <x v="8"/>
    <x v="13"/>
    <x v="3"/>
    <n v="23"/>
    <n v="78.56"/>
    <n v="0"/>
    <x v="962"/>
    <x v="1"/>
    <x v="0"/>
  </r>
  <r>
    <x v="965"/>
    <x v="27"/>
    <x v="731"/>
    <x v="2"/>
    <x v="12"/>
    <x v="13"/>
    <x v="3"/>
    <n v="19"/>
    <n v="102.04"/>
    <n v="5"/>
    <x v="963"/>
    <x v="3"/>
    <x v="1"/>
  </r>
  <r>
    <x v="966"/>
    <x v="443"/>
    <x v="434"/>
    <x v="2"/>
    <x v="12"/>
    <x v="13"/>
    <x v="3"/>
    <n v="22"/>
    <n v="100.57"/>
    <n v="10"/>
    <x v="964"/>
    <x v="0"/>
    <x v="0"/>
  </r>
  <r>
    <x v="967"/>
    <x v="524"/>
    <x v="732"/>
    <x v="2"/>
    <x v="8"/>
    <x v="13"/>
    <x v="3"/>
    <n v="30"/>
    <n v="66.64"/>
    <n v="0"/>
    <x v="965"/>
    <x v="3"/>
    <x v="0"/>
  </r>
  <r>
    <x v="968"/>
    <x v="525"/>
    <x v="151"/>
    <x v="3"/>
    <x v="6"/>
    <x v="13"/>
    <x v="3"/>
    <n v="29"/>
    <n v="72.61"/>
    <n v="0"/>
    <x v="966"/>
    <x v="3"/>
    <x v="0"/>
  </r>
  <r>
    <x v="969"/>
    <x v="495"/>
    <x v="733"/>
    <x v="2"/>
    <x v="13"/>
    <x v="13"/>
    <x v="3"/>
    <n v="26"/>
    <n v="91"/>
    <n v="10"/>
    <x v="967"/>
    <x v="3"/>
    <x v="0"/>
  </r>
  <r>
    <x v="970"/>
    <x v="124"/>
    <x v="734"/>
    <x v="0"/>
    <x v="11"/>
    <x v="13"/>
    <x v="3"/>
    <n v="43"/>
    <n v="63.19"/>
    <n v="20"/>
    <x v="968"/>
    <x v="4"/>
    <x v="0"/>
  </r>
  <r>
    <x v="971"/>
    <x v="451"/>
    <x v="735"/>
    <x v="0"/>
    <x v="11"/>
    <x v="13"/>
    <x v="3"/>
    <n v="44"/>
    <n v="55.8"/>
    <n v="10"/>
    <x v="969"/>
    <x v="3"/>
    <x v="0"/>
  </r>
  <r>
    <x v="972"/>
    <x v="526"/>
    <x v="47"/>
    <x v="1"/>
    <x v="18"/>
    <x v="13"/>
    <x v="3"/>
    <n v="38"/>
    <n v="70.099999999999994"/>
    <n v="15"/>
    <x v="970"/>
    <x v="2"/>
    <x v="0"/>
  </r>
  <r>
    <x v="973"/>
    <x v="3"/>
    <x v="736"/>
    <x v="3"/>
    <x v="4"/>
    <x v="13"/>
    <x v="3"/>
    <n v="26"/>
    <n v="97.89"/>
    <n v="10"/>
    <x v="971"/>
    <x v="2"/>
    <x v="0"/>
  </r>
  <r>
    <x v="974"/>
    <x v="59"/>
    <x v="178"/>
    <x v="2"/>
    <x v="3"/>
    <x v="13"/>
    <x v="3"/>
    <n v="42"/>
    <n v="55.48"/>
    <n v="0"/>
    <x v="972"/>
    <x v="4"/>
    <x v="0"/>
  </r>
  <r>
    <x v="975"/>
    <x v="289"/>
    <x v="737"/>
    <x v="3"/>
    <x v="7"/>
    <x v="13"/>
    <x v="3"/>
    <n v="21"/>
    <n v="113.63"/>
    <n v="0"/>
    <x v="973"/>
    <x v="0"/>
    <x v="1"/>
  </r>
  <r>
    <x v="976"/>
    <x v="319"/>
    <x v="738"/>
    <x v="3"/>
    <x v="7"/>
    <x v="13"/>
    <x v="3"/>
    <n v="37"/>
    <n v="70.95"/>
    <n v="5"/>
    <x v="974"/>
    <x v="0"/>
    <x v="1"/>
  </r>
  <r>
    <x v="977"/>
    <x v="260"/>
    <x v="618"/>
    <x v="2"/>
    <x v="13"/>
    <x v="13"/>
    <x v="3"/>
    <n v="33"/>
    <n v="98.23"/>
    <n v="20"/>
    <x v="975"/>
    <x v="0"/>
    <x v="0"/>
  </r>
  <r>
    <x v="978"/>
    <x v="358"/>
    <x v="739"/>
    <x v="1"/>
    <x v="19"/>
    <x v="13"/>
    <x v="3"/>
    <n v="28"/>
    <n v="96.43"/>
    <n v="0"/>
    <x v="976"/>
    <x v="2"/>
    <x v="0"/>
  </r>
  <r>
    <x v="979"/>
    <x v="430"/>
    <x v="740"/>
    <x v="0"/>
    <x v="0"/>
    <x v="13"/>
    <x v="3"/>
    <n v="44"/>
    <n v="67.94"/>
    <n v="5"/>
    <x v="977"/>
    <x v="1"/>
    <x v="0"/>
  </r>
  <r>
    <x v="980"/>
    <x v="527"/>
    <x v="741"/>
    <x v="2"/>
    <x v="13"/>
    <x v="13"/>
    <x v="3"/>
    <n v="31"/>
    <n v="118.96"/>
    <n v="20"/>
    <x v="978"/>
    <x v="0"/>
    <x v="0"/>
  </r>
  <r>
    <x v="981"/>
    <x v="528"/>
    <x v="639"/>
    <x v="0"/>
    <x v="11"/>
    <x v="13"/>
    <x v="3"/>
    <n v="31"/>
    <n v="96.35"/>
    <n v="0"/>
    <x v="979"/>
    <x v="3"/>
    <x v="0"/>
  </r>
  <r>
    <x v="982"/>
    <x v="19"/>
    <x v="252"/>
    <x v="1"/>
    <x v="18"/>
    <x v="13"/>
    <x v="3"/>
    <n v="30"/>
    <n v="105"/>
    <n v="5"/>
    <x v="980"/>
    <x v="1"/>
    <x v="1"/>
  </r>
  <r>
    <x v="983"/>
    <x v="529"/>
    <x v="742"/>
    <x v="1"/>
    <x v="18"/>
    <x v="13"/>
    <x v="3"/>
    <n v="36"/>
    <n v="84.11"/>
    <n v="0"/>
    <x v="981"/>
    <x v="4"/>
    <x v="1"/>
  </r>
  <r>
    <x v="984"/>
    <x v="530"/>
    <x v="710"/>
    <x v="1"/>
    <x v="2"/>
    <x v="13"/>
    <x v="3"/>
    <n v="49"/>
    <n v="63.26"/>
    <n v="0"/>
    <x v="982"/>
    <x v="1"/>
    <x v="0"/>
  </r>
  <r>
    <x v="985"/>
    <x v="215"/>
    <x v="220"/>
    <x v="0"/>
    <x v="1"/>
    <x v="13"/>
    <x v="3"/>
    <n v="42"/>
    <n v="74.099999999999994"/>
    <n v="0"/>
    <x v="983"/>
    <x v="3"/>
    <x v="0"/>
  </r>
  <r>
    <x v="986"/>
    <x v="411"/>
    <x v="743"/>
    <x v="3"/>
    <x v="10"/>
    <x v="13"/>
    <x v="3"/>
    <n v="37"/>
    <n v="92.54"/>
    <n v="5"/>
    <x v="984"/>
    <x v="1"/>
    <x v="0"/>
  </r>
  <r>
    <x v="987"/>
    <x v="117"/>
    <x v="525"/>
    <x v="1"/>
    <x v="19"/>
    <x v="13"/>
    <x v="3"/>
    <n v="40"/>
    <n v="85.84"/>
    <n v="5"/>
    <x v="985"/>
    <x v="4"/>
    <x v="0"/>
  </r>
  <r>
    <x v="988"/>
    <x v="290"/>
    <x v="744"/>
    <x v="3"/>
    <x v="16"/>
    <x v="13"/>
    <x v="3"/>
    <n v="35"/>
    <n v="96.63"/>
    <n v="0"/>
    <x v="986"/>
    <x v="0"/>
    <x v="1"/>
  </r>
  <r>
    <x v="989"/>
    <x v="49"/>
    <x v="745"/>
    <x v="1"/>
    <x v="18"/>
    <x v="13"/>
    <x v="3"/>
    <n v="37"/>
    <n v="98.32"/>
    <n v="5"/>
    <x v="987"/>
    <x v="1"/>
    <x v="0"/>
  </r>
  <r>
    <x v="990"/>
    <x v="289"/>
    <x v="746"/>
    <x v="3"/>
    <x v="10"/>
    <x v="13"/>
    <x v="3"/>
    <n v="40"/>
    <n v="101.95"/>
    <n v="15"/>
    <x v="988"/>
    <x v="2"/>
    <x v="0"/>
  </r>
  <r>
    <x v="991"/>
    <x v="294"/>
    <x v="391"/>
    <x v="0"/>
    <x v="14"/>
    <x v="13"/>
    <x v="3"/>
    <n v="41"/>
    <n v="102.97"/>
    <n v="15"/>
    <x v="989"/>
    <x v="0"/>
    <x v="0"/>
  </r>
  <r>
    <x v="992"/>
    <x v="335"/>
    <x v="747"/>
    <x v="0"/>
    <x v="11"/>
    <x v="13"/>
    <x v="3"/>
    <n v="39"/>
    <n v="104.76"/>
    <n v="10"/>
    <x v="990"/>
    <x v="0"/>
    <x v="1"/>
  </r>
  <r>
    <x v="993"/>
    <x v="469"/>
    <x v="560"/>
    <x v="2"/>
    <x v="12"/>
    <x v="13"/>
    <x v="3"/>
    <n v="47"/>
    <n v="79.760000000000005"/>
    <n v="0"/>
    <x v="991"/>
    <x v="3"/>
    <x v="1"/>
  </r>
  <r>
    <x v="994"/>
    <x v="531"/>
    <x v="748"/>
    <x v="3"/>
    <x v="6"/>
    <x v="13"/>
    <x v="3"/>
    <n v="50"/>
    <n v="82.8"/>
    <n v="0"/>
    <x v="992"/>
    <x v="3"/>
    <x v="1"/>
  </r>
  <r>
    <x v="995"/>
    <x v="368"/>
    <x v="749"/>
    <x v="2"/>
    <x v="15"/>
    <x v="13"/>
    <x v="3"/>
    <n v="39"/>
    <n v="119.39"/>
    <n v="5"/>
    <x v="993"/>
    <x v="0"/>
    <x v="1"/>
  </r>
  <r>
    <x v="996"/>
    <x v="532"/>
    <x v="750"/>
    <x v="3"/>
    <x v="7"/>
    <x v="13"/>
    <x v="3"/>
    <n v="47"/>
    <n v="95.56"/>
    <n v="0"/>
    <x v="994"/>
    <x v="4"/>
    <x v="1"/>
  </r>
  <r>
    <x v="997"/>
    <x v="243"/>
    <x v="751"/>
    <x v="0"/>
    <x v="1"/>
    <x v="13"/>
    <x v="3"/>
    <n v="49"/>
    <n v="93.2"/>
    <n v="0"/>
    <x v="995"/>
    <x v="1"/>
    <x v="0"/>
  </r>
  <r>
    <x v="998"/>
    <x v="169"/>
    <x v="361"/>
    <x v="1"/>
    <x v="5"/>
    <x v="13"/>
    <x v="3"/>
    <n v="48"/>
    <n v="108.02"/>
    <n v="10"/>
    <x v="996"/>
    <x v="1"/>
    <x v="0"/>
  </r>
  <r>
    <x v="999"/>
    <x v="533"/>
    <x v="752"/>
    <x v="3"/>
    <x v="4"/>
    <x v="13"/>
    <x v="3"/>
    <n v="50"/>
    <n v="109.67"/>
    <n v="0"/>
    <x v="997"/>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AE444A-F171-4FD2-9B30-83ABBA79DD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6">
    <pivotField showAll="0"/>
    <pivotField numFmtId="14" showAll="0">
      <items count="535">
        <item x="434"/>
        <item x="495"/>
        <item x="31"/>
        <item x="120"/>
        <item x="0"/>
        <item x="320"/>
        <item x="10"/>
        <item x="389"/>
        <item x="286"/>
        <item x="341"/>
        <item x="27"/>
        <item x="148"/>
        <item x="145"/>
        <item x="103"/>
        <item x="445"/>
        <item x="347"/>
        <item x="182"/>
        <item x="115"/>
        <item x="211"/>
        <item x="238"/>
        <item x="502"/>
        <item x="319"/>
        <item x="305"/>
        <item x="504"/>
        <item x="293"/>
        <item x="433"/>
        <item x="104"/>
        <item x="205"/>
        <item x="264"/>
        <item x="277"/>
        <item x="231"/>
        <item x="111"/>
        <item x="268"/>
        <item x="287"/>
        <item x="525"/>
        <item x="367"/>
        <item x="508"/>
        <item x="362"/>
        <item x="130"/>
        <item x="57"/>
        <item x="323"/>
        <item x="523"/>
        <item x="257"/>
        <item x="260"/>
        <item x="387"/>
        <item x="379"/>
        <item x="464"/>
        <item x="221"/>
        <item x="33"/>
        <item x="483"/>
        <item x="247"/>
        <item x="503"/>
        <item x="359"/>
        <item x="521"/>
        <item x="42"/>
        <item x="290"/>
        <item x="364"/>
        <item x="192"/>
        <item x="89"/>
        <item x="85"/>
        <item x="444"/>
        <item x="248"/>
        <item x="383"/>
        <item x="96"/>
        <item x="345"/>
        <item x="371"/>
        <item x="299"/>
        <item x="278"/>
        <item x="242"/>
        <item x="300"/>
        <item x="259"/>
        <item x="88"/>
        <item x="289"/>
        <item x="235"/>
        <item x="198"/>
        <item x="316"/>
        <item x="6"/>
        <item x="318"/>
        <item x="462"/>
        <item x="527"/>
        <item x="3"/>
        <item x="441"/>
        <item x="532"/>
        <item x="38"/>
        <item x="292"/>
        <item x="236"/>
        <item x="391"/>
        <item x="169"/>
        <item x="380"/>
        <item x="163"/>
        <item x="482"/>
        <item x="174"/>
        <item x="71"/>
        <item x="494"/>
        <item x="302"/>
        <item x="510"/>
        <item x="184"/>
        <item x="78"/>
        <item x="531"/>
        <item x="472"/>
        <item x="136"/>
        <item x="332"/>
        <item x="325"/>
        <item x="270"/>
        <item x="461"/>
        <item x="307"/>
        <item x="358"/>
        <item x="519"/>
        <item x="142"/>
        <item x="30"/>
        <item x="467"/>
        <item x="317"/>
        <item x="331"/>
        <item x="24"/>
        <item x="16"/>
        <item x="79"/>
        <item x="398"/>
        <item x="162"/>
        <item x="476"/>
        <item x="126"/>
        <item x="69"/>
        <item x="365"/>
        <item x="475"/>
        <item x="84"/>
        <item x="86"/>
        <item x="376"/>
        <item x="282"/>
        <item x="496"/>
        <item x="239"/>
        <item x="321"/>
        <item x="520"/>
        <item x="186"/>
        <item x="51"/>
        <item x="453"/>
        <item x="64"/>
        <item x="338"/>
        <item x="312"/>
        <item x="81"/>
        <item x="406"/>
        <item x="363"/>
        <item x="430"/>
        <item x="334"/>
        <item x="301"/>
        <item x="397"/>
        <item x="1"/>
        <item x="160"/>
        <item x="140"/>
        <item x="83"/>
        <item x="357"/>
        <item x="400"/>
        <item x="222"/>
        <item x="353"/>
        <item x="274"/>
        <item x="443"/>
        <item x="421"/>
        <item x="500"/>
        <item x="116"/>
        <item x="417"/>
        <item x="73"/>
        <item x="234"/>
        <item x="498"/>
        <item x="95"/>
        <item x="168"/>
        <item x="355"/>
        <item x="135"/>
        <item x="143"/>
        <item x="20"/>
        <item x="46"/>
        <item x="266"/>
        <item x="480"/>
        <item x="468"/>
        <item x="505"/>
        <item x="291"/>
        <item x="533"/>
        <item x="273"/>
        <item x="165"/>
        <item x="275"/>
        <item x="50"/>
        <item x="427"/>
        <item x="333"/>
        <item x="193"/>
        <item x="155"/>
        <item x="416"/>
        <item x="474"/>
        <item x="294"/>
        <item x="378"/>
        <item x="187"/>
        <item x="455"/>
        <item x="429"/>
        <item x="41"/>
        <item x="172"/>
        <item x="366"/>
        <item x="439"/>
        <item x="390"/>
        <item x="324"/>
        <item x="393"/>
        <item x="108"/>
        <item x="327"/>
        <item x="415"/>
        <item x="507"/>
        <item x="372"/>
        <item x="340"/>
        <item x="87"/>
        <item x="15"/>
        <item x="109"/>
        <item x="218"/>
        <item x="206"/>
        <item x="5"/>
        <item x="438"/>
        <item x="466"/>
        <item x="119"/>
        <item x="285"/>
        <item x="177"/>
        <item x="144"/>
        <item x="344"/>
        <item x="407"/>
        <item x="394"/>
        <item x="175"/>
        <item x="204"/>
        <item x="210"/>
        <item x="11"/>
        <item x="401"/>
        <item x="375"/>
        <item x="304"/>
        <item x="217"/>
        <item x="189"/>
        <item x="167"/>
        <item x="511"/>
        <item x="197"/>
        <item x="422"/>
        <item x="39"/>
        <item x="200"/>
        <item x="288"/>
        <item x="70"/>
        <item x="420"/>
        <item x="255"/>
        <item x="139"/>
        <item x="34"/>
        <item x="37"/>
        <item x="207"/>
        <item x="131"/>
        <item x="18"/>
        <item x="306"/>
        <item x="414"/>
        <item x="22"/>
        <item x="93"/>
        <item x="129"/>
        <item x="243"/>
        <item x="164"/>
        <item x="308"/>
        <item x="423"/>
        <item x="82"/>
        <item x="249"/>
        <item x="437"/>
        <item x="530"/>
        <item x="528"/>
        <item x="442"/>
        <item x="369"/>
        <item x="213"/>
        <item x="452"/>
        <item x="402"/>
        <item x="251"/>
        <item x="29"/>
        <item x="256"/>
        <item x="436"/>
        <item x="63"/>
        <item x="522"/>
        <item x="158"/>
        <item x="212"/>
        <item x="377"/>
        <item x="60"/>
        <item x="190"/>
        <item x="67"/>
        <item x="76"/>
        <item x="269"/>
        <item x="435"/>
        <item x="382"/>
        <item x="124"/>
        <item x="2"/>
        <item x="59"/>
        <item x="32"/>
        <item x="122"/>
        <item x="181"/>
        <item x="65"/>
        <item x="171"/>
        <item x="183"/>
        <item x="506"/>
        <item x="66"/>
        <item x="92"/>
        <item x="113"/>
        <item x="428"/>
        <item x="349"/>
        <item x="352"/>
        <item x="395"/>
        <item x="465"/>
        <item x="412"/>
        <item x="223"/>
        <item x="28"/>
        <item x="215"/>
        <item x="151"/>
        <item x="106"/>
        <item x="97"/>
        <item x="361"/>
        <item x="350"/>
        <item x="216"/>
        <item x="62"/>
        <item x="194"/>
        <item x="405"/>
        <item x="137"/>
        <item x="410"/>
        <item x="497"/>
        <item x="170"/>
        <item x="220"/>
        <item x="396"/>
        <item x="336"/>
        <item x="295"/>
        <item x="425"/>
        <item x="419"/>
        <item x="233"/>
        <item x="166"/>
        <item x="484"/>
        <item x="388"/>
        <item x="296"/>
        <item x="23"/>
        <item x="385"/>
        <item x="524"/>
        <item x="202"/>
        <item x="17"/>
        <item x="101"/>
        <item x="518"/>
        <item x="179"/>
        <item x="47"/>
        <item x="447"/>
        <item x="314"/>
        <item x="146"/>
        <item x="529"/>
        <item x="199"/>
        <item x="516"/>
        <item x="271"/>
        <item x="280"/>
        <item x="424"/>
        <item x="469"/>
        <item x="156"/>
        <item x="75"/>
        <item x="451"/>
        <item x="446"/>
        <item x="44"/>
        <item x="458"/>
        <item x="311"/>
        <item x="488"/>
        <item x="14"/>
        <item x="432"/>
        <item x="224"/>
        <item x="118"/>
        <item x="4"/>
        <item x="237"/>
        <item x="450"/>
        <item x="384"/>
        <item x="55"/>
        <item x="493"/>
        <item x="54"/>
        <item x="25"/>
        <item x="456"/>
        <item x="360"/>
        <item x="261"/>
        <item x="426"/>
        <item x="431"/>
        <item x="499"/>
        <item x="232"/>
        <item x="35"/>
        <item x="185"/>
        <item x="77"/>
        <item x="225"/>
        <item x="309"/>
        <item x="403"/>
        <item x="373"/>
        <item x="188"/>
        <item x="13"/>
        <item x="149"/>
        <item x="265"/>
        <item x="348"/>
        <item x="80"/>
        <item x="310"/>
        <item x="512"/>
        <item x="490"/>
        <item x="112"/>
        <item x="128"/>
        <item x="330"/>
        <item x="53"/>
        <item x="368"/>
        <item x="374"/>
        <item x="98"/>
        <item x="56"/>
        <item x="150"/>
        <item x="196"/>
        <item x="209"/>
        <item x="195"/>
        <item x="284"/>
        <item x="454"/>
        <item x="61"/>
        <item x="227"/>
        <item x="253"/>
        <item x="48"/>
        <item x="526"/>
        <item x="509"/>
        <item x="36"/>
        <item x="491"/>
        <item x="473"/>
        <item x="342"/>
        <item x="201"/>
        <item x="413"/>
        <item x="152"/>
        <item x="121"/>
        <item x="322"/>
        <item x="313"/>
        <item x="241"/>
        <item x="267"/>
        <item x="100"/>
        <item x="486"/>
        <item x="481"/>
        <item x="459"/>
        <item x="501"/>
        <item x="346"/>
        <item x="471"/>
        <item x="134"/>
        <item x="52"/>
        <item x="386"/>
        <item x="191"/>
        <item x="229"/>
        <item x="258"/>
        <item x="254"/>
        <item x="154"/>
        <item x="252"/>
        <item x="94"/>
        <item x="448"/>
        <item x="515"/>
        <item x="279"/>
        <item x="91"/>
        <item x="335"/>
        <item x="7"/>
        <item x="492"/>
        <item x="463"/>
        <item x="114"/>
        <item x="49"/>
        <item x="263"/>
        <item x="440"/>
        <item x="123"/>
        <item x="219"/>
        <item x="485"/>
        <item x="245"/>
        <item x="226"/>
        <item x="173"/>
        <item x="161"/>
        <item x="460"/>
        <item x="40"/>
        <item x="326"/>
        <item x="102"/>
        <item x="45"/>
        <item x="230"/>
        <item x="517"/>
        <item x="228"/>
        <item x="107"/>
        <item x="214"/>
        <item x="147"/>
        <item x="339"/>
        <item x="12"/>
        <item x="470"/>
        <item x="276"/>
        <item x="26"/>
        <item x="449"/>
        <item x="8"/>
        <item x="138"/>
        <item x="351"/>
        <item x="262"/>
        <item x="176"/>
        <item x="489"/>
        <item x="514"/>
        <item x="297"/>
        <item x="418"/>
        <item x="72"/>
        <item x="99"/>
        <item x="328"/>
        <item x="159"/>
        <item x="457"/>
        <item x="133"/>
        <item x="411"/>
        <item x="141"/>
        <item x="354"/>
        <item x="178"/>
        <item x="9"/>
        <item x="283"/>
        <item x="90"/>
        <item x="244"/>
        <item x="203"/>
        <item x="315"/>
        <item x="513"/>
        <item x="356"/>
        <item x="117"/>
        <item x="127"/>
        <item x="240"/>
        <item x="392"/>
        <item x="125"/>
        <item x="110"/>
        <item x="303"/>
        <item x="21"/>
        <item x="399"/>
        <item x="208"/>
        <item x="404"/>
        <item x="132"/>
        <item x="409"/>
        <item x="105"/>
        <item x="153"/>
        <item x="74"/>
        <item x="337"/>
        <item x="157"/>
        <item x="272"/>
        <item x="281"/>
        <item x="477"/>
        <item x="43"/>
        <item x="487"/>
        <item x="58"/>
        <item x="343"/>
        <item x="180"/>
        <item x="250"/>
        <item x="246"/>
        <item x="381"/>
        <item x="68"/>
        <item x="370"/>
        <item x="408"/>
        <item x="329"/>
        <item x="19"/>
        <item x="478"/>
        <item x="298"/>
        <item x="479"/>
        <item t="default"/>
      </items>
    </pivotField>
    <pivotField showAll="0"/>
    <pivotField axis="axisRow" showAll="0">
      <items count="5">
        <item x="2"/>
        <item x="3"/>
        <item x="1"/>
        <item x="0"/>
        <item t="default"/>
      </items>
    </pivotField>
    <pivotField showAll="0"/>
    <pivotField showAll="0">
      <items count="15">
        <item x="0"/>
        <item x="1"/>
        <item x="9"/>
        <item x="2"/>
        <item x="11"/>
        <item x="5"/>
        <item x="12"/>
        <item x="6"/>
        <item x="7"/>
        <item x="10"/>
        <item x="3"/>
        <item x="8"/>
        <item x="4"/>
        <item x="13"/>
        <item t="default"/>
      </items>
    </pivotField>
    <pivotField showAll="0">
      <items count="5">
        <item x="0"/>
        <item x="1"/>
        <item x="2"/>
        <item x="3"/>
        <item t="default"/>
      </items>
    </pivotField>
    <pivotField showAll="0"/>
    <pivotField numFmtId="164" showAll="0"/>
    <pivotField showAll="0"/>
    <pivotField dataField="1"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Total Amount" fld="10" baseField="0" baseItem="0" numFmtId="164"/>
  </dataField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FE821B-CF59-478E-966E-20A0053ADE9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10:K15" firstHeaderRow="0" firstDataRow="1" firstDataCol="1"/>
  <pivotFields count="16">
    <pivotField showAll="0"/>
    <pivotField numFmtId="14" showAll="0">
      <items count="535">
        <item x="434"/>
        <item x="495"/>
        <item x="31"/>
        <item x="120"/>
        <item x="0"/>
        <item x="320"/>
        <item x="10"/>
        <item x="389"/>
        <item x="286"/>
        <item x="341"/>
        <item x="27"/>
        <item x="148"/>
        <item x="145"/>
        <item x="103"/>
        <item x="445"/>
        <item x="347"/>
        <item x="182"/>
        <item x="115"/>
        <item x="211"/>
        <item x="238"/>
        <item x="502"/>
        <item x="319"/>
        <item x="305"/>
        <item x="504"/>
        <item x="293"/>
        <item x="433"/>
        <item x="104"/>
        <item x="205"/>
        <item x="264"/>
        <item x="277"/>
        <item x="231"/>
        <item x="111"/>
        <item x="268"/>
        <item x="287"/>
        <item x="525"/>
        <item x="367"/>
        <item x="508"/>
        <item x="362"/>
        <item x="130"/>
        <item x="57"/>
        <item x="323"/>
        <item x="523"/>
        <item x="257"/>
        <item x="260"/>
        <item x="387"/>
        <item x="379"/>
        <item x="464"/>
        <item x="221"/>
        <item x="33"/>
        <item x="483"/>
        <item x="247"/>
        <item x="503"/>
        <item x="359"/>
        <item x="521"/>
        <item x="42"/>
        <item x="290"/>
        <item x="364"/>
        <item x="192"/>
        <item x="89"/>
        <item x="85"/>
        <item x="444"/>
        <item x="248"/>
        <item x="383"/>
        <item x="96"/>
        <item x="345"/>
        <item x="371"/>
        <item x="299"/>
        <item x="278"/>
        <item x="242"/>
        <item x="300"/>
        <item x="259"/>
        <item x="88"/>
        <item x="289"/>
        <item x="235"/>
        <item x="198"/>
        <item x="316"/>
        <item x="6"/>
        <item x="318"/>
        <item x="462"/>
        <item x="527"/>
        <item x="3"/>
        <item x="441"/>
        <item x="532"/>
        <item x="38"/>
        <item x="292"/>
        <item x="236"/>
        <item x="391"/>
        <item x="169"/>
        <item x="380"/>
        <item x="163"/>
        <item x="482"/>
        <item x="174"/>
        <item x="71"/>
        <item x="494"/>
        <item x="302"/>
        <item x="510"/>
        <item x="184"/>
        <item x="78"/>
        <item x="531"/>
        <item x="472"/>
        <item x="136"/>
        <item x="332"/>
        <item x="325"/>
        <item x="270"/>
        <item x="461"/>
        <item x="307"/>
        <item x="358"/>
        <item x="519"/>
        <item x="142"/>
        <item x="30"/>
        <item x="467"/>
        <item x="317"/>
        <item x="331"/>
        <item x="24"/>
        <item x="16"/>
        <item x="79"/>
        <item x="398"/>
        <item x="162"/>
        <item x="476"/>
        <item x="126"/>
        <item x="69"/>
        <item x="365"/>
        <item x="475"/>
        <item x="84"/>
        <item x="86"/>
        <item x="376"/>
        <item x="282"/>
        <item x="496"/>
        <item x="239"/>
        <item x="321"/>
        <item x="520"/>
        <item x="186"/>
        <item x="51"/>
        <item x="453"/>
        <item x="64"/>
        <item x="338"/>
        <item x="312"/>
        <item x="81"/>
        <item x="406"/>
        <item x="363"/>
        <item x="430"/>
        <item x="334"/>
        <item x="301"/>
        <item x="397"/>
        <item x="1"/>
        <item x="160"/>
        <item x="140"/>
        <item x="83"/>
        <item x="357"/>
        <item x="400"/>
        <item x="222"/>
        <item x="353"/>
        <item x="274"/>
        <item x="443"/>
        <item x="421"/>
        <item x="500"/>
        <item x="116"/>
        <item x="417"/>
        <item x="73"/>
        <item x="234"/>
        <item x="498"/>
        <item x="95"/>
        <item x="168"/>
        <item x="355"/>
        <item x="135"/>
        <item x="143"/>
        <item x="20"/>
        <item x="46"/>
        <item x="266"/>
        <item x="480"/>
        <item x="468"/>
        <item x="505"/>
        <item x="291"/>
        <item x="533"/>
        <item x="273"/>
        <item x="165"/>
        <item x="275"/>
        <item x="50"/>
        <item x="427"/>
        <item x="333"/>
        <item x="193"/>
        <item x="155"/>
        <item x="416"/>
        <item x="474"/>
        <item x="294"/>
        <item x="378"/>
        <item x="187"/>
        <item x="455"/>
        <item x="429"/>
        <item x="41"/>
        <item x="172"/>
        <item x="366"/>
        <item x="439"/>
        <item x="390"/>
        <item x="324"/>
        <item x="393"/>
        <item x="108"/>
        <item x="327"/>
        <item x="415"/>
        <item x="507"/>
        <item x="372"/>
        <item x="340"/>
        <item x="87"/>
        <item x="15"/>
        <item x="109"/>
        <item x="218"/>
        <item x="206"/>
        <item x="5"/>
        <item x="438"/>
        <item x="466"/>
        <item x="119"/>
        <item x="285"/>
        <item x="177"/>
        <item x="144"/>
        <item x="344"/>
        <item x="407"/>
        <item x="394"/>
        <item x="175"/>
        <item x="204"/>
        <item x="210"/>
        <item x="11"/>
        <item x="401"/>
        <item x="375"/>
        <item x="304"/>
        <item x="217"/>
        <item x="189"/>
        <item x="167"/>
        <item x="511"/>
        <item x="197"/>
        <item x="422"/>
        <item x="39"/>
        <item x="200"/>
        <item x="288"/>
        <item x="70"/>
        <item x="420"/>
        <item x="255"/>
        <item x="139"/>
        <item x="34"/>
        <item x="37"/>
        <item x="207"/>
        <item x="131"/>
        <item x="18"/>
        <item x="306"/>
        <item x="414"/>
        <item x="22"/>
        <item x="93"/>
        <item x="129"/>
        <item x="243"/>
        <item x="164"/>
        <item x="308"/>
        <item x="423"/>
        <item x="82"/>
        <item x="249"/>
        <item x="437"/>
        <item x="530"/>
        <item x="528"/>
        <item x="442"/>
        <item x="369"/>
        <item x="213"/>
        <item x="452"/>
        <item x="402"/>
        <item x="251"/>
        <item x="29"/>
        <item x="256"/>
        <item x="436"/>
        <item x="63"/>
        <item x="522"/>
        <item x="158"/>
        <item x="212"/>
        <item x="377"/>
        <item x="60"/>
        <item x="190"/>
        <item x="67"/>
        <item x="76"/>
        <item x="269"/>
        <item x="435"/>
        <item x="382"/>
        <item x="124"/>
        <item x="2"/>
        <item x="59"/>
        <item x="32"/>
        <item x="122"/>
        <item x="181"/>
        <item x="65"/>
        <item x="171"/>
        <item x="183"/>
        <item x="506"/>
        <item x="66"/>
        <item x="92"/>
        <item x="113"/>
        <item x="428"/>
        <item x="349"/>
        <item x="352"/>
        <item x="395"/>
        <item x="465"/>
        <item x="412"/>
        <item x="223"/>
        <item x="28"/>
        <item x="215"/>
        <item x="151"/>
        <item x="106"/>
        <item x="97"/>
        <item x="361"/>
        <item x="350"/>
        <item x="216"/>
        <item x="62"/>
        <item x="194"/>
        <item x="405"/>
        <item x="137"/>
        <item x="410"/>
        <item x="497"/>
        <item x="170"/>
        <item x="220"/>
        <item x="396"/>
        <item x="336"/>
        <item x="295"/>
        <item x="425"/>
        <item x="419"/>
        <item x="233"/>
        <item x="166"/>
        <item x="484"/>
        <item x="388"/>
        <item x="296"/>
        <item x="23"/>
        <item x="385"/>
        <item x="524"/>
        <item x="202"/>
        <item x="17"/>
        <item x="101"/>
        <item x="518"/>
        <item x="179"/>
        <item x="47"/>
        <item x="447"/>
        <item x="314"/>
        <item x="146"/>
        <item x="529"/>
        <item x="199"/>
        <item x="516"/>
        <item x="271"/>
        <item x="280"/>
        <item x="424"/>
        <item x="469"/>
        <item x="156"/>
        <item x="75"/>
        <item x="451"/>
        <item x="446"/>
        <item x="44"/>
        <item x="458"/>
        <item x="311"/>
        <item x="488"/>
        <item x="14"/>
        <item x="432"/>
        <item x="224"/>
        <item x="118"/>
        <item x="4"/>
        <item x="237"/>
        <item x="450"/>
        <item x="384"/>
        <item x="55"/>
        <item x="493"/>
        <item x="54"/>
        <item x="25"/>
        <item x="456"/>
        <item x="360"/>
        <item x="261"/>
        <item x="426"/>
        <item x="431"/>
        <item x="499"/>
        <item x="232"/>
        <item x="35"/>
        <item x="185"/>
        <item x="77"/>
        <item x="225"/>
        <item x="309"/>
        <item x="403"/>
        <item x="373"/>
        <item x="188"/>
        <item x="13"/>
        <item x="149"/>
        <item x="265"/>
        <item x="348"/>
        <item x="80"/>
        <item x="310"/>
        <item x="512"/>
        <item x="490"/>
        <item x="112"/>
        <item x="128"/>
        <item x="330"/>
        <item x="53"/>
        <item x="368"/>
        <item x="374"/>
        <item x="98"/>
        <item x="56"/>
        <item x="150"/>
        <item x="196"/>
        <item x="209"/>
        <item x="195"/>
        <item x="284"/>
        <item x="454"/>
        <item x="61"/>
        <item x="227"/>
        <item x="253"/>
        <item x="48"/>
        <item x="526"/>
        <item x="509"/>
        <item x="36"/>
        <item x="491"/>
        <item x="473"/>
        <item x="342"/>
        <item x="201"/>
        <item x="413"/>
        <item x="152"/>
        <item x="121"/>
        <item x="322"/>
        <item x="313"/>
        <item x="241"/>
        <item x="267"/>
        <item x="100"/>
        <item x="486"/>
        <item x="481"/>
        <item x="459"/>
        <item x="501"/>
        <item x="346"/>
        <item x="471"/>
        <item x="134"/>
        <item x="52"/>
        <item x="386"/>
        <item x="191"/>
        <item x="229"/>
        <item x="258"/>
        <item x="254"/>
        <item x="154"/>
        <item x="252"/>
        <item x="94"/>
        <item x="448"/>
        <item x="515"/>
        <item x="279"/>
        <item x="91"/>
        <item x="335"/>
        <item x="7"/>
        <item x="492"/>
        <item x="463"/>
        <item x="114"/>
        <item x="49"/>
        <item x="263"/>
        <item x="440"/>
        <item x="123"/>
        <item x="219"/>
        <item x="485"/>
        <item x="245"/>
        <item x="226"/>
        <item x="173"/>
        <item x="161"/>
        <item x="460"/>
        <item x="40"/>
        <item x="326"/>
        <item x="102"/>
        <item x="45"/>
        <item x="230"/>
        <item x="517"/>
        <item x="228"/>
        <item x="107"/>
        <item x="214"/>
        <item x="147"/>
        <item x="339"/>
        <item x="12"/>
        <item x="470"/>
        <item x="276"/>
        <item x="26"/>
        <item x="449"/>
        <item x="8"/>
        <item x="138"/>
        <item x="351"/>
        <item x="262"/>
        <item x="176"/>
        <item x="489"/>
        <item x="514"/>
        <item x="297"/>
        <item x="418"/>
        <item x="72"/>
        <item x="99"/>
        <item x="328"/>
        <item x="159"/>
        <item x="457"/>
        <item x="133"/>
        <item x="411"/>
        <item x="141"/>
        <item x="354"/>
        <item x="178"/>
        <item x="9"/>
        <item x="283"/>
        <item x="90"/>
        <item x="244"/>
        <item x="203"/>
        <item x="315"/>
        <item x="513"/>
        <item x="356"/>
        <item x="117"/>
        <item x="127"/>
        <item x="240"/>
        <item x="392"/>
        <item x="125"/>
        <item x="110"/>
        <item x="303"/>
        <item x="21"/>
        <item x="399"/>
        <item x="208"/>
        <item x="404"/>
        <item x="132"/>
        <item x="409"/>
        <item x="105"/>
        <item x="153"/>
        <item x="74"/>
        <item x="337"/>
        <item x="157"/>
        <item x="272"/>
        <item x="281"/>
        <item x="477"/>
        <item x="43"/>
        <item x="487"/>
        <item x="58"/>
        <item x="343"/>
        <item x="180"/>
        <item x="250"/>
        <item x="246"/>
        <item x="381"/>
        <item x="68"/>
        <item x="370"/>
        <item x="408"/>
        <item x="329"/>
        <item x="19"/>
        <item x="478"/>
        <item x="298"/>
        <item x="479"/>
        <item t="default"/>
      </items>
    </pivotField>
    <pivotField showAll="0"/>
    <pivotField showAll="0">
      <items count="5">
        <item x="2"/>
        <item x="3"/>
        <item x="1"/>
        <item x="0"/>
        <item t="default"/>
      </items>
    </pivotField>
    <pivotField showAll="0"/>
    <pivotField showAll="0">
      <items count="15">
        <item x="0"/>
        <item x="1"/>
        <item x="9"/>
        <item x="2"/>
        <item x="11"/>
        <item x="5"/>
        <item x="12"/>
        <item x="6"/>
        <item x="7"/>
        <item x="10"/>
        <item x="3"/>
        <item x="8"/>
        <item x="4"/>
        <item x="13"/>
        <item t="default"/>
      </items>
    </pivotField>
    <pivotField axis="axisRow" showAll="0">
      <items count="5">
        <item x="0"/>
        <item x="1"/>
        <item x="2"/>
        <item x="3"/>
        <item t="default"/>
      </items>
    </pivotField>
    <pivotField dataField="1" showAll="0"/>
    <pivotField numFmtId="164" showAll="0"/>
    <pivotField dataField="1" showAll="0"/>
    <pivotField dataField="1" numFmtId="164" showAll="0"/>
    <pivotField showAll="0"/>
    <pivotField showAll="0"/>
    <pivotField showAll="0" defaultSubtotal="0"/>
    <pivotField showAll="0" defaultSubtotal="0"/>
    <pivotField showAll="0" defaultSubtotal="0">
      <items count="5">
        <item x="0"/>
        <item x="1"/>
        <item x="2"/>
        <item x="3"/>
        <item x="4"/>
      </items>
    </pivotField>
  </pivotFields>
  <rowFields count="1">
    <field x="6"/>
  </rowFields>
  <rowItems count="5">
    <i>
      <x/>
    </i>
    <i>
      <x v="1"/>
    </i>
    <i>
      <x v="2"/>
    </i>
    <i>
      <x v="3"/>
    </i>
    <i t="grand">
      <x/>
    </i>
  </rowItems>
  <colFields count="1">
    <field x="-2"/>
  </colFields>
  <colItems count="3">
    <i>
      <x/>
    </i>
    <i i="1">
      <x v="1"/>
    </i>
    <i i="2">
      <x v="2"/>
    </i>
  </colItems>
  <dataFields count="3">
    <dataField name="Average of Discount (%)" fld="9" subtotal="average" baseField="6" baseItem="0"/>
    <dataField name="Sum of Total Amount" fld="10" baseField="0" baseItem="0" numFmtId="164"/>
    <dataField name="Sum of Quantity" fld="7" baseField="0" baseItem="0"/>
  </dataFields>
  <formats count="1">
    <format dxfId="0">
      <pivotArea collapsedLevelsAreSubtotals="1" fieldPosition="0">
        <references count="1">
          <reference field="6" count="0"/>
        </references>
      </pivotArea>
    </format>
  </formats>
  <chartFormats count="32">
    <chartFormat chart="12"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6" count="1" selected="0">
            <x v="0"/>
          </reference>
        </references>
      </pivotArea>
    </chartFormat>
    <chartFormat chart="22" format="14">
      <pivotArea type="data" outline="0" fieldPosition="0">
        <references count="2">
          <reference field="4294967294" count="1" selected="0">
            <x v="0"/>
          </reference>
          <reference field="6" count="1" selected="0">
            <x v="1"/>
          </reference>
        </references>
      </pivotArea>
    </chartFormat>
    <chartFormat chart="22" format="15">
      <pivotArea type="data" outline="0" fieldPosition="0">
        <references count="2">
          <reference field="4294967294" count="1" selected="0">
            <x v="0"/>
          </reference>
          <reference field="6" count="1" selected="0">
            <x v="2"/>
          </reference>
        </references>
      </pivotArea>
    </chartFormat>
    <chartFormat chart="22" format="16">
      <pivotArea type="data" outline="0" fieldPosition="0">
        <references count="2">
          <reference field="4294967294" count="1" selected="0">
            <x v="0"/>
          </reference>
          <reference field="6" count="1" selected="0">
            <x v="3"/>
          </reference>
        </references>
      </pivotArea>
    </chartFormat>
    <chartFormat chart="22" format="17" series="1">
      <pivotArea type="data" outline="0" fieldPosition="0">
        <references count="1">
          <reference field="4294967294" count="1" selected="0">
            <x v="1"/>
          </reference>
        </references>
      </pivotArea>
    </chartFormat>
    <chartFormat chart="22" format="18">
      <pivotArea type="data" outline="0" fieldPosition="0">
        <references count="2">
          <reference field="4294967294" count="1" selected="0">
            <x v="1"/>
          </reference>
          <reference field="6" count="1" selected="0">
            <x v="0"/>
          </reference>
        </references>
      </pivotArea>
    </chartFormat>
    <chartFormat chart="22" format="19">
      <pivotArea type="data" outline="0" fieldPosition="0">
        <references count="2">
          <reference field="4294967294" count="1" selected="0">
            <x v="1"/>
          </reference>
          <reference field="6" count="1" selected="0">
            <x v="1"/>
          </reference>
        </references>
      </pivotArea>
    </chartFormat>
    <chartFormat chart="22" format="20">
      <pivotArea type="data" outline="0" fieldPosition="0">
        <references count="2">
          <reference field="4294967294" count="1" selected="0">
            <x v="1"/>
          </reference>
          <reference field="6" count="1" selected="0">
            <x v="2"/>
          </reference>
        </references>
      </pivotArea>
    </chartFormat>
    <chartFormat chart="22" format="21">
      <pivotArea type="data" outline="0" fieldPosition="0">
        <references count="2">
          <reference field="4294967294" count="1" selected="0">
            <x v="1"/>
          </reference>
          <reference field="6" count="1" selected="0">
            <x v="3"/>
          </reference>
        </references>
      </pivotArea>
    </chartFormat>
    <chartFormat chart="26" format="32" series="1">
      <pivotArea type="data" outline="0" fieldPosition="0">
        <references count="1">
          <reference field="4294967294" count="1" selected="0">
            <x v="0"/>
          </reference>
        </references>
      </pivotArea>
    </chartFormat>
    <chartFormat chart="26" format="33">
      <pivotArea type="data" outline="0" fieldPosition="0">
        <references count="2">
          <reference field="4294967294" count="1" selected="0">
            <x v="0"/>
          </reference>
          <reference field="6" count="1" selected="0">
            <x v="0"/>
          </reference>
        </references>
      </pivotArea>
    </chartFormat>
    <chartFormat chart="26" format="34">
      <pivotArea type="data" outline="0" fieldPosition="0">
        <references count="2">
          <reference field="4294967294" count="1" selected="0">
            <x v="0"/>
          </reference>
          <reference field="6" count="1" selected="0">
            <x v="1"/>
          </reference>
        </references>
      </pivotArea>
    </chartFormat>
    <chartFormat chart="26" format="35">
      <pivotArea type="data" outline="0" fieldPosition="0">
        <references count="2">
          <reference field="4294967294" count="1" selected="0">
            <x v="0"/>
          </reference>
          <reference field="6" count="1" selected="0">
            <x v="2"/>
          </reference>
        </references>
      </pivotArea>
    </chartFormat>
    <chartFormat chart="26" format="36">
      <pivotArea type="data" outline="0" fieldPosition="0">
        <references count="2">
          <reference field="4294967294" count="1" selected="0">
            <x v="0"/>
          </reference>
          <reference field="6" count="1" selected="0">
            <x v="3"/>
          </reference>
        </references>
      </pivotArea>
    </chartFormat>
    <chartFormat chart="26" format="37" series="1">
      <pivotArea type="data" outline="0" fieldPosition="0">
        <references count="1">
          <reference field="4294967294" count="1" selected="0">
            <x v="1"/>
          </reference>
        </references>
      </pivotArea>
    </chartFormat>
    <chartFormat chart="26" format="38">
      <pivotArea type="data" outline="0" fieldPosition="0">
        <references count="2">
          <reference field="4294967294" count="1" selected="0">
            <x v="1"/>
          </reference>
          <reference field="6" count="1" selected="0">
            <x v="0"/>
          </reference>
        </references>
      </pivotArea>
    </chartFormat>
    <chartFormat chart="26" format="39">
      <pivotArea type="data" outline="0" fieldPosition="0">
        <references count="2">
          <reference field="4294967294" count="1" selected="0">
            <x v="1"/>
          </reference>
          <reference field="6" count="1" selected="0">
            <x v="1"/>
          </reference>
        </references>
      </pivotArea>
    </chartFormat>
    <chartFormat chart="26" format="40">
      <pivotArea type="data" outline="0" fieldPosition="0">
        <references count="2">
          <reference field="4294967294" count="1" selected="0">
            <x v="1"/>
          </reference>
          <reference field="6" count="1" selected="0">
            <x v="2"/>
          </reference>
        </references>
      </pivotArea>
    </chartFormat>
    <chartFormat chart="26" format="41">
      <pivotArea type="data" outline="0" fieldPosition="0">
        <references count="2">
          <reference field="4294967294" count="1" selected="0">
            <x v="1"/>
          </reference>
          <reference field="6" count="1" selected="0">
            <x v="3"/>
          </reference>
        </references>
      </pivotArea>
    </chartFormat>
    <chartFormat chart="26" format="42" series="1">
      <pivotArea type="data" outline="0" fieldPosition="0">
        <references count="1">
          <reference field="4294967294" count="1" selected="0">
            <x v="2"/>
          </reference>
        </references>
      </pivotArea>
    </chartFormat>
    <chartFormat chart="22" format="22" series="1">
      <pivotArea type="data" outline="0" fieldPosition="0">
        <references count="1">
          <reference field="4294967294" count="1" selected="0">
            <x v="2"/>
          </reference>
        </references>
      </pivotArea>
    </chartFormat>
    <chartFormat chart="22" format="23">
      <pivotArea type="data" outline="0" fieldPosition="0">
        <references count="2">
          <reference field="4294967294" count="1" selected="0">
            <x v="2"/>
          </reference>
          <reference field="6" count="1" selected="0">
            <x v="0"/>
          </reference>
        </references>
      </pivotArea>
    </chartFormat>
    <chartFormat chart="22" format="24">
      <pivotArea type="data" outline="0" fieldPosition="0">
        <references count="2">
          <reference field="4294967294" count="1" selected="0">
            <x v="2"/>
          </reference>
          <reference field="6" count="1" selected="0">
            <x v="1"/>
          </reference>
        </references>
      </pivotArea>
    </chartFormat>
    <chartFormat chart="22" format="25">
      <pivotArea type="data" outline="0" fieldPosition="0">
        <references count="2">
          <reference field="4294967294" count="1" selected="0">
            <x v="2"/>
          </reference>
          <reference field="6" count="1" selected="0">
            <x v="2"/>
          </reference>
        </references>
      </pivotArea>
    </chartFormat>
    <chartFormat chart="22" format="26">
      <pivotArea type="data" outline="0" fieldPosition="0">
        <references count="2">
          <reference field="4294967294" count="1" selected="0">
            <x v="2"/>
          </reference>
          <reference field="6" count="1" selected="0">
            <x v="3"/>
          </reference>
        </references>
      </pivotArea>
    </chartFormat>
    <chartFormat chart="26" format="43">
      <pivotArea type="data" outline="0" fieldPosition="0">
        <references count="2">
          <reference field="4294967294" count="1" selected="0">
            <x v="2"/>
          </reference>
          <reference field="6" count="1" selected="0">
            <x v="0"/>
          </reference>
        </references>
      </pivotArea>
    </chartFormat>
    <chartFormat chart="26" format="44">
      <pivotArea type="data" outline="0" fieldPosition="0">
        <references count="2">
          <reference field="4294967294" count="1" selected="0">
            <x v="2"/>
          </reference>
          <reference field="6" count="1" selected="0">
            <x v="1"/>
          </reference>
        </references>
      </pivotArea>
    </chartFormat>
    <chartFormat chart="26" format="45">
      <pivotArea type="data" outline="0" fieldPosition="0">
        <references count="2">
          <reference field="4294967294" count="1" selected="0">
            <x v="2"/>
          </reference>
          <reference field="6" count="1" selected="0">
            <x v="2"/>
          </reference>
        </references>
      </pivotArea>
    </chartFormat>
    <chartFormat chart="26" format="46">
      <pivotArea type="data" outline="0" fieldPosition="0">
        <references count="2">
          <reference field="4294967294" count="1" selected="0">
            <x v="2"/>
          </reference>
          <reference field="6"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2F3310-B771-4E96-8112-EB7D25E2B3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F13:G24" firstHeaderRow="1" firstDataRow="1" firstDataCol="1"/>
  <pivotFields count="16">
    <pivotField showAll="0"/>
    <pivotField numFmtId="14" showAll="0">
      <items count="535">
        <item x="434"/>
        <item x="495"/>
        <item x="31"/>
        <item x="120"/>
        <item x="0"/>
        <item x="320"/>
        <item x="10"/>
        <item x="389"/>
        <item x="286"/>
        <item x="341"/>
        <item x="27"/>
        <item x="148"/>
        <item x="145"/>
        <item x="103"/>
        <item x="445"/>
        <item x="347"/>
        <item x="182"/>
        <item x="115"/>
        <item x="211"/>
        <item x="238"/>
        <item x="502"/>
        <item x="319"/>
        <item x="305"/>
        <item x="504"/>
        <item x="293"/>
        <item x="433"/>
        <item x="104"/>
        <item x="205"/>
        <item x="264"/>
        <item x="277"/>
        <item x="231"/>
        <item x="111"/>
        <item x="268"/>
        <item x="287"/>
        <item x="525"/>
        <item x="367"/>
        <item x="508"/>
        <item x="362"/>
        <item x="130"/>
        <item x="57"/>
        <item x="323"/>
        <item x="523"/>
        <item x="257"/>
        <item x="260"/>
        <item x="387"/>
        <item x="379"/>
        <item x="464"/>
        <item x="221"/>
        <item x="33"/>
        <item x="483"/>
        <item x="247"/>
        <item x="503"/>
        <item x="359"/>
        <item x="521"/>
        <item x="42"/>
        <item x="290"/>
        <item x="364"/>
        <item x="192"/>
        <item x="89"/>
        <item x="85"/>
        <item x="444"/>
        <item x="248"/>
        <item x="383"/>
        <item x="96"/>
        <item x="345"/>
        <item x="371"/>
        <item x="299"/>
        <item x="278"/>
        <item x="242"/>
        <item x="300"/>
        <item x="259"/>
        <item x="88"/>
        <item x="289"/>
        <item x="235"/>
        <item x="198"/>
        <item x="316"/>
        <item x="6"/>
        <item x="318"/>
        <item x="462"/>
        <item x="527"/>
        <item x="3"/>
        <item x="441"/>
        <item x="532"/>
        <item x="38"/>
        <item x="292"/>
        <item x="236"/>
        <item x="391"/>
        <item x="169"/>
        <item x="380"/>
        <item x="163"/>
        <item x="482"/>
        <item x="174"/>
        <item x="71"/>
        <item x="494"/>
        <item x="302"/>
        <item x="510"/>
        <item x="184"/>
        <item x="78"/>
        <item x="531"/>
        <item x="472"/>
        <item x="136"/>
        <item x="332"/>
        <item x="325"/>
        <item x="270"/>
        <item x="461"/>
        <item x="307"/>
        <item x="358"/>
        <item x="519"/>
        <item x="142"/>
        <item x="30"/>
        <item x="467"/>
        <item x="317"/>
        <item x="331"/>
        <item x="24"/>
        <item x="16"/>
        <item x="79"/>
        <item x="398"/>
        <item x="162"/>
        <item x="476"/>
        <item x="126"/>
        <item x="69"/>
        <item x="365"/>
        <item x="475"/>
        <item x="84"/>
        <item x="86"/>
        <item x="376"/>
        <item x="282"/>
        <item x="496"/>
        <item x="239"/>
        <item x="321"/>
        <item x="520"/>
        <item x="186"/>
        <item x="51"/>
        <item x="453"/>
        <item x="64"/>
        <item x="338"/>
        <item x="312"/>
        <item x="81"/>
        <item x="406"/>
        <item x="363"/>
        <item x="430"/>
        <item x="334"/>
        <item x="301"/>
        <item x="397"/>
        <item x="1"/>
        <item x="160"/>
        <item x="140"/>
        <item x="83"/>
        <item x="357"/>
        <item x="400"/>
        <item x="222"/>
        <item x="353"/>
        <item x="274"/>
        <item x="443"/>
        <item x="421"/>
        <item x="500"/>
        <item x="116"/>
        <item x="417"/>
        <item x="73"/>
        <item x="234"/>
        <item x="498"/>
        <item x="95"/>
        <item x="168"/>
        <item x="355"/>
        <item x="135"/>
        <item x="143"/>
        <item x="20"/>
        <item x="46"/>
        <item x="266"/>
        <item x="480"/>
        <item x="468"/>
        <item x="505"/>
        <item x="291"/>
        <item x="533"/>
        <item x="273"/>
        <item x="165"/>
        <item x="275"/>
        <item x="50"/>
        <item x="427"/>
        <item x="333"/>
        <item x="193"/>
        <item x="155"/>
        <item x="416"/>
        <item x="474"/>
        <item x="294"/>
        <item x="378"/>
        <item x="187"/>
        <item x="455"/>
        <item x="429"/>
        <item x="41"/>
        <item x="172"/>
        <item x="366"/>
        <item x="439"/>
        <item x="390"/>
        <item x="324"/>
        <item x="393"/>
        <item x="108"/>
        <item x="327"/>
        <item x="415"/>
        <item x="507"/>
        <item x="372"/>
        <item x="340"/>
        <item x="87"/>
        <item x="15"/>
        <item x="109"/>
        <item x="218"/>
        <item x="206"/>
        <item x="5"/>
        <item x="438"/>
        <item x="466"/>
        <item x="119"/>
        <item x="285"/>
        <item x="177"/>
        <item x="144"/>
        <item x="344"/>
        <item x="407"/>
        <item x="394"/>
        <item x="175"/>
        <item x="204"/>
        <item x="210"/>
        <item x="11"/>
        <item x="401"/>
        <item x="375"/>
        <item x="304"/>
        <item x="217"/>
        <item x="189"/>
        <item x="167"/>
        <item x="511"/>
        <item x="197"/>
        <item x="422"/>
        <item x="39"/>
        <item x="200"/>
        <item x="288"/>
        <item x="70"/>
        <item x="420"/>
        <item x="255"/>
        <item x="139"/>
        <item x="34"/>
        <item x="37"/>
        <item x="207"/>
        <item x="131"/>
        <item x="18"/>
        <item x="306"/>
        <item x="414"/>
        <item x="22"/>
        <item x="93"/>
        <item x="129"/>
        <item x="243"/>
        <item x="164"/>
        <item x="308"/>
        <item x="423"/>
        <item x="82"/>
        <item x="249"/>
        <item x="437"/>
        <item x="530"/>
        <item x="528"/>
        <item x="442"/>
        <item x="369"/>
        <item x="213"/>
        <item x="452"/>
        <item x="402"/>
        <item x="251"/>
        <item x="29"/>
        <item x="256"/>
        <item x="436"/>
        <item x="63"/>
        <item x="522"/>
        <item x="158"/>
        <item x="212"/>
        <item x="377"/>
        <item x="60"/>
        <item x="190"/>
        <item x="67"/>
        <item x="76"/>
        <item x="269"/>
        <item x="435"/>
        <item x="382"/>
        <item x="124"/>
        <item x="2"/>
        <item x="59"/>
        <item x="32"/>
        <item x="122"/>
        <item x="181"/>
        <item x="65"/>
        <item x="171"/>
        <item x="183"/>
        <item x="506"/>
        <item x="66"/>
        <item x="92"/>
        <item x="113"/>
        <item x="428"/>
        <item x="349"/>
        <item x="352"/>
        <item x="395"/>
        <item x="465"/>
        <item x="412"/>
        <item x="223"/>
        <item x="28"/>
        <item x="215"/>
        <item x="151"/>
        <item x="106"/>
        <item x="97"/>
        <item x="361"/>
        <item x="350"/>
        <item x="216"/>
        <item x="62"/>
        <item x="194"/>
        <item x="405"/>
        <item x="137"/>
        <item x="410"/>
        <item x="497"/>
        <item x="170"/>
        <item x="220"/>
        <item x="396"/>
        <item x="336"/>
        <item x="295"/>
        <item x="425"/>
        <item x="419"/>
        <item x="233"/>
        <item x="166"/>
        <item x="484"/>
        <item x="388"/>
        <item x="296"/>
        <item x="23"/>
        <item x="385"/>
        <item x="524"/>
        <item x="202"/>
        <item x="17"/>
        <item x="101"/>
        <item x="518"/>
        <item x="179"/>
        <item x="47"/>
        <item x="447"/>
        <item x="314"/>
        <item x="146"/>
        <item x="529"/>
        <item x="199"/>
        <item x="516"/>
        <item x="271"/>
        <item x="280"/>
        <item x="424"/>
        <item x="469"/>
        <item x="156"/>
        <item x="75"/>
        <item x="451"/>
        <item x="446"/>
        <item x="44"/>
        <item x="458"/>
        <item x="311"/>
        <item x="488"/>
        <item x="14"/>
        <item x="432"/>
        <item x="224"/>
        <item x="118"/>
        <item x="4"/>
        <item x="237"/>
        <item x="450"/>
        <item x="384"/>
        <item x="55"/>
        <item x="493"/>
        <item x="54"/>
        <item x="25"/>
        <item x="456"/>
        <item x="360"/>
        <item x="261"/>
        <item x="426"/>
        <item x="431"/>
        <item x="499"/>
        <item x="232"/>
        <item x="35"/>
        <item x="185"/>
        <item x="77"/>
        <item x="225"/>
        <item x="309"/>
        <item x="403"/>
        <item x="373"/>
        <item x="188"/>
        <item x="13"/>
        <item x="149"/>
        <item x="265"/>
        <item x="348"/>
        <item x="80"/>
        <item x="310"/>
        <item x="512"/>
        <item x="490"/>
        <item x="112"/>
        <item x="128"/>
        <item x="330"/>
        <item x="53"/>
        <item x="368"/>
        <item x="374"/>
        <item x="98"/>
        <item x="56"/>
        <item x="150"/>
        <item x="196"/>
        <item x="209"/>
        <item x="195"/>
        <item x="284"/>
        <item x="454"/>
        <item x="61"/>
        <item x="227"/>
        <item x="253"/>
        <item x="48"/>
        <item x="526"/>
        <item x="509"/>
        <item x="36"/>
        <item x="491"/>
        <item x="473"/>
        <item x="342"/>
        <item x="201"/>
        <item x="413"/>
        <item x="152"/>
        <item x="121"/>
        <item x="322"/>
        <item x="313"/>
        <item x="241"/>
        <item x="267"/>
        <item x="100"/>
        <item x="486"/>
        <item x="481"/>
        <item x="459"/>
        <item x="501"/>
        <item x="346"/>
        <item x="471"/>
        <item x="134"/>
        <item x="52"/>
        <item x="386"/>
        <item x="191"/>
        <item x="229"/>
        <item x="258"/>
        <item x="254"/>
        <item x="154"/>
        <item x="252"/>
        <item x="94"/>
        <item x="448"/>
        <item x="515"/>
        <item x="279"/>
        <item x="91"/>
        <item x="335"/>
        <item x="7"/>
        <item x="492"/>
        <item x="463"/>
        <item x="114"/>
        <item x="49"/>
        <item x="263"/>
        <item x="440"/>
        <item x="123"/>
        <item x="219"/>
        <item x="485"/>
        <item x="245"/>
        <item x="226"/>
        <item x="173"/>
        <item x="161"/>
        <item x="460"/>
        <item x="40"/>
        <item x="326"/>
        <item x="102"/>
        <item x="45"/>
        <item x="230"/>
        <item x="517"/>
        <item x="228"/>
        <item x="107"/>
        <item x="214"/>
        <item x="147"/>
        <item x="339"/>
        <item x="12"/>
        <item x="470"/>
        <item x="276"/>
        <item x="26"/>
        <item x="449"/>
        <item x="8"/>
        <item x="138"/>
        <item x="351"/>
        <item x="262"/>
        <item x="176"/>
        <item x="489"/>
        <item x="514"/>
        <item x="297"/>
        <item x="418"/>
        <item x="72"/>
        <item x="99"/>
        <item x="328"/>
        <item x="159"/>
        <item x="457"/>
        <item x="133"/>
        <item x="411"/>
        <item x="141"/>
        <item x="354"/>
        <item x="178"/>
        <item x="9"/>
        <item x="283"/>
        <item x="90"/>
        <item x="244"/>
        <item x="203"/>
        <item x="315"/>
        <item x="513"/>
        <item x="356"/>
        <item x="117"/>
        <item x="127"/>
        <item x="240"/>
        <item x="392"/>
        <item x="125"/>
        <item x="110"/>
        <item x="303"/>
        <item x="21"/>
        <item x="399"/>
        <item x="208"/>
        <item x="404"/>
        <item x="132"/>
        <item x="409"/>
        <item x="105"/>
        <item x="153"/>
        <item x="74"/>
        <item x="337"/>
        <item x="157"/>
        <item x="272"/>
        <item x="281"/>
        <item x="477"/>
        <item x="43"/>
        <item x="487"/>
        <item x="58"/>
        <item x="343"/>
        <item x="180"/>
        <item x="250"/>
        <item x="246"/>
        <item x="381"/>
        <item x="68"/>
        <item x="370"/>
        <item x="408"/>
        <item x="329"/>
        <item x="19"/>
        <item x="478"/>
        <item x="298"/>
        <item x="479"/>
        <item t="default"/>
      </items>
    </pivotField>
    <pivotField showAll="0"/>
    <pivotField showAll="0">
      <items count="5">
        <item x="2"/>
        <item x="3"/>
        <item x="1"/>
        <item x="0"/>
        <item t="default"/>
      </items>
    </pivotField>
    <pivotField axis="axisRow" showAll="0" measureFilter="1">
      <items count="21">
        <item x="10"/>
        <item x="4"/>
        <item x="16"/>
        <item x="6"/>
        <item x="7"/>
        <item x="19"/>
        <item x="5"/>
        <item x="2"/>
        <item x="18"/>
        <item x="9"/>
        <item x="12"/>
        <item x="8"/>
        <item x="3"/>
        <item x="13"/>
        <item x="15"/>
        <item x="17"/>
        <item x="11"/>
        <item x="1"/>
        <item x="14"/>
        <item x="0"/>
        <item t="default"/>
      </items>
    </pivotField>
    <pivotField showAll="0">
      <items count="15">
        <item x="0"/>
        <item x="1"/>
        <item x="9"/>
        <item x="2"/>
        <item x="11"/>
        <item x="5"/>
        <item x="12"/>
        <item x="6"/>
        <item x="7"/>
        <item x="10"/>
        <item x="3"/>
        <item x="8"/>
        <item x="4"/>
        <item x="13"/>
        <item t="default"/>
      </items>
    </pivotField>
    <pivotField showAll="0">
      <items count="5">
        <item x="0"/>
        <item x="1"/>
        <item x="2"/>
        <item x="3"/>
        <item t="default"/>
      </items>
    </pivotField>
    <pivotField showAll="0"/>
    <pivotField numFmtId="164" showAll="0"/>
    <pivotField showAll="0"/>
    <pivotField dataField="1" numFmtId="164" showAll="0"/>
    <pivotField showAll="0"/>
    <pivotField showAll="0">
      <items count="3">
        <item x="0"/>
        <item x="1"/>
        <item t="default"/>
      </items>
    </pivotField>
    <pivotField showAll="0" defaultSubtotal="0"/>
    <pivotField showAll="0" defaultSubtotal="0"/>
    <pivotField showAll="0" defaultSubtotal="0">
      <items count="5">
        <item x="0"/>
        <item x="1"/>
        <item x="2"/>
        <item x="3"/>
        <item x="4"/>
      </items>
    </pivotField>
  </pivotFields>
  <rowFields count="1">
    <field x="4"/>
  </rowFields>
  <rowItems count="11">
    <i>
      <x/>
    </i>
    <i>
      <x v="1"/>
    </i>
    <i>
      <x v="2"/>
    </i>
    <i>
      <x v="4"/>
    </i>
    <i>
      <x v="5"/>
    </i>
    <i>
      <x v="11"/>
    </i>
    <i>
      <x v="13"/>
    </i>
    <i>
      <x v="16"/>
    </i>
    <i>
      <x v="18"/>
    </i>
    <i>
      <x v="19"/>
    </i>
    <i t="grand">
      <x/>
    </i>
  </rowItems>
  <colItems count="1">
    <i/>
  </colItems>
  <dataFields count="1">
    <dataField name="Sum of Total Amount" fld="10" baseField="0" baseItem="0" numFmtId="164"/>
  </dataFields>
  <chartFormats count="14">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4" count="1" selected="0">
            <x v="0"/>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4" count="1" selected="0">
            <x v="0"/>
          </reference>
        </references>
      </pivotArea>
    </chartFormat>
    <chartFormat chart="32" format="8">
      <pivotArea type="data" outline="0" fieldPosition="0">
        <references count="2">
          <reference field="4294967294" count="1" selected="0">
            <x v="0"/>
          </reference>
          <reference field="4" count="1" selected="0">
            <x v="2"/>
          </reference>
        </references>
      </pivotArea>
    </chartFormat>
    <chartFormat chart="32" format="9">
      <pivotArea type="data" outline="0" fieldPosition="0">
        <references count="2">
          <reference field="4294967294" count="1" selected="0">
            <x v="0"/>
          </reference>
          <reference field="4" count="1" selected="0">
            <x v="1"/>
          </reference>
        </references>
      </pivotArea>
    </chartFormat>
    <chartFormat chart="32" format="10">
      <pivotArea type="data" outline="0" fieldPosition="0">
        <references count="2">
          <reference field="4294967294" count="1" selected="0">
            <x v="0"/>
          </reference>
          <reference field="4" count="1" selected="0">
            <x v="4"/>
          </reference>
        </references>
      </pivotArea>
    </chartFormat>
    <chartFormat chart="32" format="11">
      <pivotArea type="data" outline="0" fieldPosition="0">
        <references count="2">
          <reference field="4294967294" count="1" selected="0">
            <x v="0"/>
          </reference>
          <reference field="4" count="1" selected="0">
            <x v="13"/>
          </reference>
        </references>
      </pivotArea>
    </chartFormat>
    <chartFormat chart="32" format="12">
      <pivotArea type="data" outline="0" fieldPosition="0">
        <references count="2">
          <reference field="4294967294" count="1" selected="0">
            <x v="0"/>
          </reference>
          <reference field="4" count="1" selected="0">
            <x v="19"/>
          </reference>
        </references>
      </pivotArea>
    </chartFormat>
    <chartFormat chart="32" format="13">
      <pivotArea type="data" outline="0" fieldPosition="0">
        <references count="2">
          <reference field="4294967294" count="1" selected="0">
            <x v="0"/>
          </reference>
          <reference field="4" count="1" selected="0">
            <x v="16"/>
          </reference>
        </references>
      </pivotArea>
    </chartFormat>
    <chartFormat chart="32" format="14">
      <pivotArea type="data" outline="0" fieldPosition="0">
        <references count="2">
          <reference field="4294967294" count="1" selected="0">
            <x v="0"/>
          </reference>
          <reference field="4" count="1" selected="0">
            <x v="5"/>
          </reference>
        </references>
      </pivotArea>
    </chartFormat>
  </chartFormats>
  <pivotTableStyleInfo name="PivotStyleMedium4"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4D9CC4-025E-46B5-9405-CE504289FC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G9" firstHeaderRow="1" firstDataRow="1" firstDataCol="1"/>
  <pivotFields count="16">
    <pivotField showAll="0">
      <items count="1001">
        <item x="980"/>
        <item x="326"/>
        <item x="318"/>
        <item x="580"/>
        <item x="13"/>
        <item x="162"/>
        <item x="465"/>
        <item x="418"/>
        <item x="813"/>
        <item x="478"/>
        <item x="680"/>
        <item x="851"/>
        <item x="744"/>
        <item x="473"/>
        <item x="197"/>
        <item x="439"/>
        <item x="115"/>
        <item x="621"/>
        <item x="644"/>
        <item x="497"/>
        <item x="17"/>
        <item x="866"/>
        <item x="991"/>
        <item x="868"/>
        <item x="175"/>
        <item x="468"/>
        <item x="459"/>
        <item x="526"/>
        <item x="719"/>
        <item x="573"/>
        <item x="955"/>
        <item x="961"/>
        <item x="627"/>
        <item x="606"/>
        <item x="312"/>
        <item x="666"/>
        <item x="461"/>
        <item x="809"/>
        <item x="785"/>
        <item x="351"/>
        <item x="372"/>
        <item x="263"/>
        <item x="311"/>
        <item x="760"/>
        <item x="631"/>
        <item x="273"/>
        <item x="204"/>
        <item x="51"/>
        <item x="992"/>
        <item x="950"/>
        <item x="916"/>
        <item x="4"/>
        <item x="446"/>
        <item x="576"/>
        <item x="839"/>
        <item x="287"/>
        <item x="551"/>
        <item x="165"/>
        <item x="652"/>
        <item x="579"/>
        <item x="334"/>
        <item x="877"/>
        <item x="887"/>
        <item x="481"/>
        <item x="2"/>
        <item x="787"/>
        <item x="212"/>
        <item x="697"/>
        <item x="1"/>
        <item x="39"/>
        <item x="545"/>
        <item x="444"/>
        <item x="925"/>
        <item x="317"/>
        <item x="759"/>
        <item x="95"/>
        <item x="195"/>
        <item x="426"/>
        <item x="169"/>
        <item x="433"/>
        <item x="629"/>
        <item x="831"/>
        <item x="915"/>
        <item x="645"/>
        <item x="88"/>
        <item x="177"/>
        <item x="989"/>
        <item x="420"/>
        <item x="949"/>
        <item x="157"/>
        <item x="466"/>
        <item x="337"/>
        <item x="804"/>
        <item x="791"/>
        <item x="854"/>
        <item x="6"/>
        <item x="638"/>
        <item x="985"/>
        <item x="248"/>
        <item x="133"/>
        <item x="55"/>
        <item x="411"/>
        <item x="65"/>
        <item x="922"/>
        <item x="254"/>
        <item x="109"/>
        <item x="146"/>
        <item x="611"/>
        <item x="392"/>
        <item x="641"/>
        <item x="278"/>
        <item x="74"/>
        <item x="966"/>
        <item x="371"/>
        <item x="859"/>
        <item x="78"/>
        <item x="547"/>
        <item x="342"/>
        <item x="876"/>
        <item x="731"/>
        <item x="205"/>
        <item x="293"/>
        <item x="983"/>
        <item x="842"/>
        <item x="120"/>
        <item x="10"/>
        <item x="176"/>
        <item x="771"/>
        <item x="924"/>
        <item x="528"/>
        <item x="907"/>
        <item x="253"/>
        <item x="370"/>
        <item x="315"/>
        <item x="825"/>
        <item x="862"/>
        <item x="690"/>
        <item x="91"/>
        <item x="717"/>
        <item x="383"/>
        <item x="647"/>
        <item x="422"/>
        <item x="739"/>
        <item x="397"/>
        <item x="884"/>
        <item x="414"/>
        <item x="188"/>
        <item x="264"/>
        <item x="200"/>
        <item x="75"/>
        <item x="472"/>
        <item x="870"/>
        <item x="356"/>
        <item x="480"/>
        <item x="460"/>
        <item x="962"/>
        <item x="824"/>
        <item x="341"/>
        <item x="593"/>
        <item x="612"/>
        <item x="108"/>
        <item x="979"/>
        <item x="310"/>
        <item x="491"/>
        <item x="742"/>
        <item x="706"/>
        <item x="678"/>
        <item x="128"/>
        <item x="153"/>
        <item x="812"/>
        <item x="724"/>
        <item x="170"/>
        <item x="549"/>
        <item x="76"/>
        <item x="27"/>
        <item x="843"/>
        <item x="138"/>
        <item x="715"/>
        <item x="338"/>
        <item x="995"/>
        <item x="304"/>
        <item x="260"/>
        <item x="52"/>
        <item x="896"/>
        <item x="716"/>
        <item x="704"/>
        <item x="990"/>
        <item x="976"/>
        <item x="182"/>
        <item x="398"/>
        <item x="455"/>
        <item x="836"/>
        <item x="377"/>
        <item x="84"/>
        <item x="130"/>
        <item x="897"/>
        <item x="80"/>
        <item x="758"/>
        <item x="307"/>
        <item x="149"/>
        <item x="788"/>
        <item x="507"/>
        <item x="199"/>
        <item x="485"/>
        <item x="366"/>
        <item x="947"/>
        <item x="994"/>
        <item x="24"/>
        <item x="308"/>
        <item x="228"/>
        <item x="626"/>
        <item x="667"/>
        <item x="564"/>
        <item x="711"/>
        <item x="325"/>
        <item x="57"/>
        <item x="783"/>
        <item x="110"/>
        <item x="100"/>
        <item x="244"/>
        <item x="167"/>
        <item x="608"/>
        <item x="29"/>
        <item x="137"/>
        <item x="775"/>
        <item x="671"/>
        <item x="83"/>
        <item x="114"/>
        <item x="327"/>
        <item x="702"/>
        <item x="648"/>
        <item x="552"/>
        <item x="770"/>
        <item x="105"/>
        <item x="536"/>
        <item x="111"/>
        <item x="437"/>
        <item x="53"/>
        <item x="20"/>
        <item x="490"/>
        <item x="35"/>
        <item x="777"/>
        <item x="630"/>
        <item x="361"/>
        <item x="752"/>
        <item x="214"/>
        <item x="596"/>
        <item x="524"/>
        <item x="911"/>
        <item x="599"/>
        <item x="914"/>
        <item x="856"/>
        <item x="556"/>
        <item x="344"/>
        <item x="413"/>
        <item x="695"/>
        <item x="642"/>
        <item x="425"/>
        <item x="975"/>
        <item x="951"/>
        <item x="703"/>
        <item x="415"/>
        <item x="646"/>
        <item x="41"/>
        <item x="360"/>
        <item x="156"/>
        <item x="568"/>
        <item x="931"/>
        <item x="792"/>
        <item x="789"/>
        <item x="145"/>
        <item x="226"/>
        <item x="382"/>
        <item x="653"/>
        <item x="773"/>
        <item x="208"/>
        <item x="232"/>
        <item x="467"/>
        <item x="286"/>
        <item x="710"/>
        <item x="899"/>
        <item x="811"/>
        <item x="506"/>
        <item x="67"/>
        <item x="299"/>
        <item x="367"/>
        <item x="34"/>
        <item x="457"/>
        <item x="297"/>
        <item x="454"/>
        <item x="522"/>
        <item x="728"/>
        <item x="548"/>
        <item x="511"/>
        <item x="14"/>
        <item x="684"/>
        <item x="381"/>
        <item x="601"/>
        <item x="68"/>
        <item x="984"/>
        <item x="837"/>
        <item x="202"/>
        <item x="969"/>
        <item x="301"/>
        <item x="82"/>
        <item x="830"/>
        <item x="194"/>
        <item x="8"/>
        <item x="615"/>
        <item x="741"/>
        <item x="797"/>
        <item x="295"/>
        <item x="844"/>
        <item x="63"/>
        <item x="479"/>
        <item x="12"/>
        <item x="981"/>
        <item x="553"/>
        <item x="302"/>
        <item x="510"/>
        <item x="352"/>
        <item x="898"/>
        <item x="917"/>
        <item x="243"/>
        <item x="725"/>
        <item x="746"/>
        <item x="910"/>
        <item x="30"/>
        <item x="409"/>
        <item x="126"/>
        <item x="607"/>
        <item x="912"/>
        <item x="429"/>
        <item x="23"/>
        <item x="987"/>
        <item x="875"/>
        <item x="171"/>
        <item x="378"/>
        <item x="443"/>
        <item x="635"/>
        <item x="512"/>
        <item x="560"/>
        <item x="324"/>
        <item x="193"/>
        <item x="107"/>
        <item x="871"/>
        <item x="656"/>
        <item x="699"/>
        <item x="476"/>
        <item x="428"/>
        <item x="736"/>
        <item x="829"/>
        <item x="525"/>
        <item x="941"/>
        <item x="827"/>
        <item x="954"/>
        <item x="517"/>
        <item x="594"/>
        <item x="79"/>
        <item x="784"/>
        <item x="280"/>
        <item x="348"/>
        <item x="336"/>
        <item x="938"/>
        <item x="474"/>
        <item x="508"/>
        <item x="387"/>
        <item x="533"/>
        <item x="732"/>
        <item x="191"/>
        <item x="891"/>
        <item x="750"/>
        <item x="71"/>
        <item x="436"/>
        <item x="881"/>
        <item x="179"/>
        <item x="379"/>
        <item x="362"/>
        <item x="59"/>
        <item x="26"/>
        <item x="973"/>
        <item x="913"/>
        <item x="423"/>
        <item x="882"/>
        <item x="677"/>
        <item x="215"/>
        <item x="803"/>
        <item x="643"/>
        <item x="322"/>
        <item x="796"/>
        <item x="583"/>
        <item x="566"/>
        <item x="498"/>
        <item x="800"/>
        <item x="670"/>
        <item x="257"/>
        <item x="144"/>
        <item x="597"/>
        <item x="494"/>
        <item x="928"/>
        <item x="625"/>
        <item x="270"/>
        <item x="953"/>
        <item x="609"/>
        <item x="192"/>
        <item x="848"/>
        <item x="69"/>
        <item x="314"/>
        <item x="769"/>
        <item x="410"/>
        <item x="482"/>
        <item x="590"/>
        <item x="321"/>
        <item x="245"/>
        <item x="32"/>
        <item x="374"/>
        <item x="152"/>
        <item x="385"/>
        <item x="223"/>
        <item x="923"/>
        <item x="520"/>
        <item x="330"/>
        <item x="266"/>
        <item x="544"/>
        <item x="346"/>
        <item x="401"/>
        <item x="406"/>
        <item x="958"/>
        <item x="252"/>
        <item x="584"/>
        <item x="806"/>
        <item x="77"/>
        <item x="885"/>
        <item x="749"/>
        <item x="860"/>
        <item x="340"/>
        <item x="116"/>
        <item x="895"/>
        <item x="216"/>
        <item x="944"/>
        <item x="72"/>
        <item x="73"/>
        <item x="219"/>
        <item x="242"/>
        <item x="470"/>
        <item x="658"/>
        <item x="764"/>
        <item x="561"/>
        <item x="357"/>
        <item x="246"/>
        <item x="598"/>
        <item x="952"/>
        <item x="722"/>
        <item x="571"/>
        <item x="542"/>
        <item x="442"/>
        <item x="636"/>
        <item x="781"/>
        <item x="235"/>
        <item x="873"/>
        <item x="136"/>
        <item x="920"/>
        <item x="412"/>
        <item x="735"/>
        <item x="880"/>
        <item x="908"/>
        <item x="539"/>
        <item x="201"/>
        <item x="124"/>
        <item x="633"/>
        <item x="376"/>
        <item x="400"/>
        <item x="530"/>
        <item x="475"/>
        <item x="139"/>
        <item x="343"/>
        <item x="747"/>
        <item x="487"/>
        <item x="726"/>
        <item x="846"/>
        <item x="256"/>
        <item x="238"/>
        <item x="893"/>
        <item x="363"/>
        <item x="64"/>
        <item x="93"/>
        <item x="589"/>
        <item x="997"/>
        <item x="407"/>
        <item x="503"/>
        <item x="682"/>
        <item x="863"/>
        <item x="448"/>
        <item x="828"/>
        <item x="43"/>
        <item x="233"/>
        <item x="906"/>
        <item x="15"/>
        <item x="816"/>
        <item x="543"/>
        <item x="687"/>
        <item x="489"/>
        <item x="888"/>
        <item x="614"/>
        <item x="399"/>
        <item x="696"/>
        <item x="707"/>
        <item x="284"/>
        <item x="117"/>
        <item x="970"/>
        <item x="934"/>
        <item x="483"/>
        <item x="818"/>
        <item x="313"/>
        <item x="814"/>
        <item x="104"/>
        <item x="659"/>
        <item x="721"/>
        <item x="864"/>
        <item x="225"/>
        <item x="664"/>
        <item x="748"/>
        <item x="613"/>
        <item x="227"/>
        <item x="496"/>
        <item x="203"/>
        <item x="186"/>
        <item x="298"/>
        <item x="450"/>
        <item x="469"/>
        <item x="691"/>
        <item x="509"/>
        <item x="531"/>
        <item x="532"/>
        <item x="368"/>
        <item x="755"/>
        <item x="234"/>
        <item x="417"/>
        <item x="331"/>
        <item x="405"/>
        <item x="713"/>
        <item x="940"/>
        <item x="513"/>
        <item x="676"/>
        <item x="943"/>
        <item x="230"/>
        <item x="793"/>
        <item x="619"/>
        <item x="42"/>
        <item x="395"/>
        <item x="305"/>
        <item x="602"/>
        <item x="780"/>
        <item x="85"/>
        <item x="637"/>
        <item x="628"/>
        <item x="833"/>
        <item x="158"/>
        <item x="869"/>
        <item x="60"/>
        <item x="279"/>
        <item x="886"/>
        <item x="624"/>
        <item x="892"/>
        <item x="519"/>
        <item x="499"/>
        <item x="92"/>
        <item x="620"/>
        <item x="151"/>
        <item x="390"/>
        <item x="982"/>
        <item x="516"/>
        <item x="698"/>
        <item x="805"/>
        <item x="665"/>
        <item x="577"/>
        <item x="740"/>
        <item x="147"/>
        <item x="438"/>
        <item x="761"/>
        <item x="693"/>
        <item x="878"/>
        <item x="558"/>
        <item x="323"/>
        <item x="33"/>
        <item x="236"/>
        <item x="213"/>
        <item x="562"/>
        <item x="790"/>
        <item x="605"/>
        <item x="857"/>
        <item x="66"/>
        <item x="150"/>
        <item x="523"/>
        <item x="588"/>
        <item x="968"/>
        <item x="861"/>
        <item x="714"/>
        <item x="396"/>
        <item x="971"/>
        <item x="819"/>
        <item x="534"/>
        <item x="403"/>
        <item x="683"/>
        <item x="435"/>
        <item x="847"/>
        <item x="651"/>
        <item x="290"/>
        <item x="350"/>
        <item x="276"/>
        <item x="610"/>
        <item x="672"/>
        <item x="231"/>
        <item x="705"/>
        <item x="965"/>
        <item x="87"/>
        <item x="28"/>
        <item x="319"/>
        <item x="559"/>
        <item x="217"/>
        <item x="335"/>
        <item x="603"/>
        <item x="688"/>
        <item x="909"/>
        <item x="527"/>
        <item x="986"/>
        <item x="945"/>
        <item x="668"/>
        <item x="269"/>
        <item x="616"/>
        <item x="821"/>
        <item x="185"/>
        <item x="529"/>
        <item x="224"/>
        <item x="826"/>
        <item x="883"/>
        <item x="521"/>
        <item x="267"/>
        <item x="9"/>
        <item x="261"/>
        <item x="904"/>
        <item x="22"/>
        <item x="113"/>
        <item x="681"/>
        <item x="540"/>
        <item x="555"/>
        <item x="734"/>
        <item x="36"/>
        <item x="838"/>
        <item x="140"/>
        <item x="96"/>
        <item x="927"/>
        <item x="840"/>
        <item x="458"/>
        <item x="798"/>
        <item x="44"/>
        <item x="537"/>
        <item x="919"/>
        <item x="393"/>
        <item x="251"/>
        <item x="129"/>
        <item x="259"/>
        <item x="815"/>
        <item x="391"/>
        <item x="618"/>
        <item x="799"/>
        <item x="600"/>
        <item x="339"/>
        <item x="155"/>
        <item x="40"/>
        <item x="768"/>
        <item x="277"/>
        <item x="689"/>
        <item x="743"/>
        <item x="292"/>
        <item x="845"/>
        <item x="434"/>
        <item x="168"/>
        <item x="820"/>
        <item x="132"/>
        <item x="585"/>
        <item x="570"/>
        <item x="712"/>
        <item x="211"/>
        <item x="220"/>
        <item x="303"/>
        <item x="416"/>
        <item x="45"/>
        <item x="575"/>
        <item x="853"/>
        <item x="306"/>
        <item x="365"/>
        <item x="872"/>
        <item x="5"/>
        <item x="424"/>
        <item x="929"/>
        <item x="31"/>
        <item x="774"/>
        <item x="477"/>
        <item x="751"/>
        <item x="48"/>
        <item x="37"/>
        <item x="141"/>
        <item x="535"/>
        <item x="427"/>
        <item x="832"/>
        <item x="550"/>
        <item x="102"/>
        <item x="471"/>
        <item x="595"/>
        <item x="890"/>
        <item x="464"/>
        <item x="978"/>
        <item x="779"/>
        <item x="240"/>
        <item x="255"/>
        <item x="757"/>
        <item x="974"/>
        <item x="7"/>
        <item x="86"/>
        <item x="720"/>
        <item x="708"/>
        <item x="807"/>
        <item x="181"/>
        <item x="384"/>
        <item x="578"/>
        <item x="823"/>
        <item x="786"/>
        <item x="754"/>
        <item x="858"/>
        <item x="835"/>
        <item x="154"/>
        <item x="347"/>
        <item x="282"/>
        <item x="161"/>
        <item x="349"/>
        <item x="639"/>
        <item x="46"/>
        <item x="841"/>
        <item x="723"/>
        <item x="686"/>
        <item x="730"/>
        <item x="452"/>
        <item x="654"/>
        <item x="122"/>
        <item x="701"/>
        <item x="794"/>
        <item x="462"/>
        <item x="56"/>
        <item x="650"/>
        <item x="332"/>
        <item x="660"/>
        <item x="375"/>
        <item x="388"/>
        <item x="239"/>
        <item x="268"/>
        <item x="778"/>
        <item x="184"/>
        <item x="285"/>
        <item x="718"/>
        <item x="685"/>
        <item x="782"/>
        <item x="90"/>
        <item x="538"/>
        <item x="369"/>
        <item x="808"/>
        <item x="198"/>
        <item x="237"/>
        <item x="142"/>
        <item x="119"/>
        <item x="591"/>
        <item x="675"/>
        <item x="960"/>
        <item x="451"/>
        <item x="767"/>
        <item x="172"/>
        <item x="572"/>
        <item x="258"/>
        <item x="554"/>
        <item x="316"/>
        <item x="189"/>
        <item x="946"/>
        <item x="936"/>
        <item x="222"/>
        <item x="98"/>
        <item x="123"/>
        <item x="492"/>
        <item x="972"/>
        <item x="291"/>
        <item x="737"/>
        <item x="463"/>
        <item x="801"/>
        <item x="106"/>
        <item x="209"/>
        <item x="604"/>
        <item x="49"/>
        <item x="300"/>
        <item x="408"/>
        <item x="679"/>
        <item x="196"/>
        <item x="592"/>
        <item x="173"/>
        <item x="662"/>
        <item x="822"/>
        <item x="3"/>
        <item x="795"/>
        <item x="977"/>
        <item x="271"/>
        <item x="112"/>
        <item x="921"/>
        <item x="103"/>
        <item x="948"/>
        <item x="160"/>
        <item x="373"/>
        <item x="453"/>
        <item x="999"/>
        <item x="998"/>
        <item x="655"/>
        <item x="402"/>
        <item x="274"/>
        <item x="515"/>
        <item x="449"/>
        <item x="281"/>
        <item x="486"/>
        <item x="959"/>
        <item x="70"/>
        <item x="900"/>
        <item x="11"/>
        <item x="131"/>
        <item x="166"/>
        <item x="874"/>
        <item x="700"/>
        <item x="942"/>
        <item x="939"/>
        <item x="218"/>
        <item x="121"/>
        <item x="58"/>
        <item x="727"/>
        <item x="38"/>
        <item x="802"/>
        <item x="159"/>
        <item x="358"/>
        <item x="329"/>
        <item x="447"/>
        <item x="125"/>
        <item x="504"/>
        <item x="389"/>
        <item x="94"/>
        <item x="587"/>
        <item x="640"/>
        <item x="738"/>
        <item x="0"/>
        <item x="99"/>
        <item x="54"/>
        <item x="586"/>
        <item x="733"/>
        <item x="247"/>
        <item x="354"/>
        <item x="505"/>
        <item x="501"/>
        <item x="957"/>
        <item x="288"/>
        <item x="440"/>
        <item x="850"/>
        <item x="894"/>
        <item x="404"/>
        <item x="210"/>
        <item x="967"/>
        <item x="889"/>
        <item x="926"/>
        <item x="441"/>
        <item x="932"/>
        <item x="249"/>
        <item x="493"/>
        <item x="272"/>
        <item x="753"/>
        <item x="89"/>
        <item x="127"/>
        <item x="262"/>
        <item x="62"/>
        <item x="622"/>
        <item x="353"/>
        <item x="134"/>
        <item x="294"/>
        <item x="673"/>
        <item x="190"/>
        <item x="574"/>
        <item x="661"/>
        <item x="421"/>
        <item x="328"/>
        <item x="178"/>
        <item x="345"/>
        <item x="993"/>
        <item x="118"/>
        <item x="996"/>
        <item x="937"/>
        <item x="502"/>
        <item x="964"/>
        <item x="582"/>
        <item x="852"/>
        <item x="143"/>
        <item x="445"/>
        <item x="221"/>
        <item x="207"/>
        <item x="135"/>
        <item x="663"/>
        <item x="557"/>
        <item x="518"/>
        <item x="47"/>
        <item x="456"/>
        <item x="632"/>
        <item x="674"/>
        <item x="333"/>
        <item x="296"/>
        <item x="320"/>
        <item x="956"/>
        <item x="50"/>
        <item x="772"/>
        <item x="563"/>
        <item x="250"/>
        <item x="101"/>
        <item x="901"/>
        <item x="97"/>
        <item x="514"/>
        <item x="762"/>
        <item x="359"/>
        <item x="174"/>
        <item x="265"/>
        <item x="918"/>
        <item x="364"/>
        <item x="419"/>
        <item x="729"/>
        <item x="380"/>
        <item x="765"/>
        <item x="756"/>
        <item x="879"/>
        <item x="692"/>
        <item x="18"/>
        <item x="309"/>
        <item x="21"/>
        <item x="935"/>
        <item x="709"/>
        <item x="902"/>
        <item x="865"/>
        <item x="241"/>
        <item x="488"/>
        <item x="669"/>
        <item x="431"/>
        <item x="855"/>
        <item x="394"/>
        <item x="569"/>
        <item x="148"/>
        <item x="988"/>
        <item x="623"/>
        <item x="386"/>
        <item x="766"/>
        <item x="657"/>
        <item x="617"/>
        <item x="905"/>
        <item x="355"/>
        <item x="25"/>
        <item x="163"/>
        <item x="776"/>
        <item x="289"/>
        <item x="187"/>
        <item x="930"/>
        <item x="581"/>
        <item x="849"/>
        <item x="183"/>
        <item x="745"/>
        <item x="567"/>
        <item x="500"/>
        <item x="541"/>
        <item x="16"/>
        <item x="19"/>
        <item x="81"/>
        <item x="867"/>
        <item x="763"/>
        <item x="834"/>
        <item x="484"/>
        <item x="180"/>
        <item x="963"/>
        <item x="546"/>
        <item x="275"/>
        <item x="61"/>
        <item x="432"/>
        <item x="903"/>
        <item x="634"/>
        <item x="694"/>
        <item x="649"/>
        <item x="495"/>
        <item x="430"/>
        <item x="565"/>
        <item x="817"/>
        <item x="206"/>
        <item x="283"/>
        <item x="933"/>
        <item x="164"/>
        <item x="229"/>
        <item x="810"/>
        <item t="default"/>
      </items>
    </pivotField>
    <pivotField numFmtId="14" showAll="0">
      <items count="535">
        <item x="434"/>
        <item x="495"/>
        <item x="31"/>
        <item x="120"/>
        <item x="0"/>
        <item x="320"/>
        <item x="10"/>
        <item x="389"/>
        <item x="286"/>
        <item x="341"/>
        <item x="27"/>
        <item x="148"/>
        <item x="145"/>
        <item x="103"/>
        <item x="445"/>
        <item x="347"/>
        <item x="182"/>
        <item x="115"/>
        <item x="211"/>
        <item x="238"/>
        <item x="502"/>
        <item x="319"/>
        <item x="305"/>
        <item x="504"/>
        <item x="293"/>
        <item x="433"/>
        <item x="104"/>
        <item x="205"/>
        <item x="264"/>
        <item x="277"/>
        <item x="231"/>
        <item x="111"/>
        <item x="268"/>
        <item x="287"/>
        <item x="525"/>
        <item x="367"/>
        <item x="508"/>
        <item x="362"/>
        <item x="130"/>
        <item x="57"/>
        <item x="323"/>
        <item x="523"/>
        <item x="257"/>
        <item x="260"/>
        <item x="387"/>
        <item x="379"/>
        <item x="464"/>
        <item x="221"/>
        <item x="33"/>
        <item x="483"/>
        <item x="247"/>
        <item x="503"/>
        <item x="359"/>
        <item x="521"/>
        <item x="42"/>
        <item x="290"/>
        <item x="364"/>
        <item x="192"/>
        <item x="89"/>
        <item x="85"/>
        <item x="444"/>
        <item x="248"/>
        <item x="383"/>
        <item x="96"/>
        <item x="345"/>
        <item x="371"/>
        <item x="299"/>
        <item x="278"/>
        <item x="242"/>
        <item x="300"/>
        <item x="259"/>
        <item x="88"/>
        <item x="289"/>
        <item x="235"/>
        <item x="198"/>
        <item x="316"/>
        <item x="6"/>
        <item x="318"/>
        <item x="462"/>
        <item x="527"/>
        <item x="3"/>
        <item x="441"/>
        <item x="532"/>
        <item x="38"/>
        <item x="292"/>
        <item x="236"/>
        <item x="391"/>
        <item x="169"/>
        <item x="380"/>
        <item x="163"/>
        <item x="482"/>
        <item x="174"/>
        <item x="71"/>
        <item x="494"/>
        <item x="302"/>
        <item x="510"/>
        <item x="184"/>
        <item x="78"/>
        <item x="531"/>
        <item x="472"/>
        <item x="136"/>
        <item x="332"/>
        <item x="325"/>
        <item x="270"/>
        <item x="461"/>
        <item x="307"/>
        <item x="358"/>
        <item x="519"/>
        <item x="142"/>
        <item x="30"/>
        <item x="467"/>
        <item x="317"/>
        <item x="331"/>
        <item x="24"/>
        <item x="16"/>
        <item x="79"/>
        <item x="398"/>
        <item x="162"/>
        <item x="476"/>
        <item x="126"/>
        <item x="69"/>
        <item x="365"/>
        <item x="475"/>
        <item x="84"/>
        <item x="86"/>
        <item x="376"/>
        <item x="282"/>
        <item x="496"/>
        <item x="239"/>
        <item x="321"/>
        <item x="520"/>
        <item x="186"/>
        <item x="51"/>
        <item x="453"/>
        <item x="64"/>
        <item x="338"/>
        <item x="312"/>
        <item x="81"/>
        <item x="406"/>
        <item x="363"/>
        <item x="430"/>
        <item x="334"/>
        <item x="301"/>
        <item x="397"/>
        <item x="1"/>
        <item x="160"/>
        <item x="140"/>
        <item x="83"/>
        <item x="357"/>
        <item x="400"/>
        <item x="222"/>
        <item x="353"/>
        <item x="274"/>
        <item x="443"/>
        <item x="421"/>
        <item x="500"/>
        <item x="116"/>
        <item x="417"/>
        <item x="73"/>
        <item x="234"/>
        <item x="498"/>
        <item x="95"/>
        <item x="168"/>
        <item x="355"/>
        <item x="135"/>
        <item x="143"/>
        <item x="20"/>
        <item x="46"/>
        <item x="266"/>
        <item x="480"/>
        <item x="468"/>
        <item x="505"/>
        <item x="291"/>
        <item x="533"/>
        <item x="273"/>
        <item x="165"/>
        <item x="275"/>
        <item x="50"/>
        <item x="427"/>
        <item x="333"/>
        <item x="193"/>
        <item x="155"/>
        <item x="416"/>
        <item x="474"/>
        <item x="294"/>
        <item x="378"/>
        <item x="187"/>
        <item x="455"/>
        <item x="429"/>
        <item x="41"/>
        <item x="172"/>
        <item x="366"/>
        <item x="439"/>
        <item x="390"/>
        <item x="324"/>
        <item x="393"/>
        <item x="108"/>
        <item x="327"/>
        <item x="415"/>
        <item x="507"/>
        <item x="372"/>
        <item x="340"/>
        <item x="87"/>
        <item x="15"/>
        <item x="109"/>
        <item x="218"/>
        <item x="206"/>
        <item x="5"/>
        <item x="438"/>
        <item x="466"/>
        <item x="119"/>
        <item x="285"/>
        <item x="177"/>
        <item x="144"/>
        <item x="344"/>
        <item x="407"/>
        <item x="394"/>
        <item x="175"/>
        <item x="204"/>
        <item x="210"/>
        <item x="11"/>
        <item x="401"/>
        <item x="375"/>
        <item x="304"/>
        <item x="217"/>
        <item x="189"/>
        <item x="167"/>
        <item x="511"/>
        <item x="197"/>
        <item x="422"/>
        <item x="39"/>
        <item x="200"/>
        <item x="288"/>
        <item x="70"/>
        <item x="420"/>
        <item x="255"/>
        <item x="139"/>
        <item x="34"/>
        <item x="37"/>
        <item x="207"/>
        <item x="131"/>
        <item x="18"/>
        <item x="306"/>
        <item x="414"/>
        <item x="22"/>
        <item x="93"/>
        <item x="129"/>
        <item x="243"/>
        <item x="164"/>
        <item x="308"/>
        <item x="423"/>
        <item x="82"/>
        <item x="249"/>
        <item x="437"/>
        <item x="530"/>
        <item x="528"/>
        <item x="442"/>
        <item x="369"/>
        <item x="213"/>
        <item x="452"/>
        <item x="402"/>
        <item x="251"/>
        <item x="29"/>
        <item x="256"/>
        <item x="436"/>
        <item x="63"/>
        <item x="522"/>
        <item x="158"/>
        <item x="212"/>
        <item x="377"/>
        <item x="60"/>
        <item x="190"/>
        <item x="67"/>
        <item x="76"/>
        <item x="269"/>
        <item x="435"/>
        <item x="382"/>
        <item x="124"/>
        <item x="2"/>
        <item x="59"/>
        <item x="32"/>
        <item x="122"/>
        <item x="181"/>
        <item x="65"/>
        <item x="171"/>
        <item x="183"/>
        <item x="506"/>
        <item x="66"/>
        <item x="92"/>
        <item x="113"/>
        <item x="428"/>
        <item x="349"/>
        <item x="352"/>
        <item x="395"/>
        <item x="465"/>
        <item x="412"/>
        <item x="223"/>
        <item x="28"/>
        <item x="215"/>
        <item x="151"/>
        <item x="106"/>
        <item x="97"/>
        <item x="361"/>
        <item x="350"/>
        <item x="216"/>
        <item x="62"/>
        <item x="194"/>
        <item x="405"/>
        <item x="137"/>
        <item x="410"/>
        <item x="497"/>
        <item x="170"/>
        <item x="220"/>
        <item x="396"/>
        <item x="336"/>
        <item x="295"/>
        <item x="425"/>
        <item x="419"/>
        <item x="233"/>
        <item x="166"/>
        <item x="484"/>
        <item x="388"/>
        <item x="296"/>
        <item x="23"/>
        <item x="385"/>
        <item x="524"/>
        <item x="202"/>
        <item x="17"/>
        <item x="101"/>
        <item x="518"/>
        <item x="179"/>
        <item x="47"/>
        <item x="447"/>
        <item x="314"/>
        <item x="146"/>
        <item x="529"/>
        <item x="199"/>
        <item x="516"/>
        <item x="271"/>
        <item x="280"/>
        <item x="424"/>
        <item x="469"/>
        <item x="156"/>
        <item x="75"/>
        <item x="451"/>
        <item x="446"/>
        <item x="44"/>
        <item x="458"/>
        <item x="311"/>
        <item x="488"/>
        <item x="14"/>
        <item x="432"/>
        <item x="224"/>
        <item x="118"/>
        <item x="4"/>
        <item x="237"/>
        <item x="450"/>
        <item x="384"/>
        <item x="55"/>
        <item x="493"/>
        <item x="54"/>
        <item x="25"/>
        <item x="456"/>
        <item x="360"/>
        <item x="261"/>
        <item x="426"/>
        <item x="431"/>
        <item x="499"/>
        <item x="232"/>
        <item x="35"/>
        <item x="185"/>
        <item x="77"/>
        <item x="225"/>
        <item x="309"/>
        <item x="403"/>
        <item x="373"/>
        <item x="188"/>
        <item x="13"/>
        <item x="149"/>
        <item x="265"/>
        <item x="348"/>
        <item x="80"/>
        <item x="310"/>
        <item x="512"/>
        <item x="490"/>
        <item x="112"/>
        <item x="128"/>
        <item x="330"/>
        <item x="53"/>
        <item x="368"/>
        <item x="374"/>
        <item x="98"/>
        <item x="56"/>
        <item x="150"/>
        <item x="196"/>
        <item x="209"/>
        <item x="195"/>
        <item x="284"/>
        <item x="454"/>
        <item x="61"/>
        <item x="227"/>
        <item x="253"/>
        <item x="48"/>
        <item x="526"/>
        <item x="509"/>
        <item x="36"/>
        <item x="491"/>
        <item x="473"/>
        <item x="342"/>
        <item x="201"/>
        <item x="413"/>
        <item x="152"/>
        <item x="121"/>
        <item x="322"/>
        <item x="313"/>
        <item x="241"/>
        <item x="267"/>
        <item x="100"/>
        <item x="486"/>
        <item x="481"/>
        <item x="459"/>
        <item x="501"/>
        <item x="346"/>
        <item x="471"/>
        <item x="134"/>
        <item x="52"/>
        <item x="386"/>
        <item x="191"/>
        <item x="229"/>
        <item x="258"/>
        <item x="254"/>
        <item x="154"/>
        <item x="252"/>
        <item x="94"/>
        <item x="448"/>
        <item x="515"/>
        <item x="279"/>
        <item x="91"/>
        <item x="335"/>
        <item x="7"/>
        <item x="492"/>
        <item x="463"/>
        <item x="114"/>
        <item x="49"/>
        <item x="263"/>
        <item x="440"/>
        <item x="123"/>
        <item x="219"/>
        <item x="485"/>
        <item x="245"/>
        <item x="226"/>
        <item x="173"/>
        <item x="161"/>
        <item x="460"/>
        <item x="40"/>
        <item x="326"/>
        <item x="102"/>
        <item x="45"/>
        <item x="230"/>
        <item x="517"/>
        <item x="228"/>
        <item x="107"/>
        <item x="214"/>
        <item x="147"/>
        <item x="339"/>
        <item x="12"/>
        <item x="470"/>
        <item x="276"/>
        <item x="26"/>
        <item x="449"/>
        <item x="8"/>
        <item x="138"/>
        <item x="351"/>
        <item x="262"/>
        <item x="176"/>
        <item x="489"/>
        <item x="514"/>
        <item x="297"/>
        <item x="418"/>
        <item x="72"/>
        <item x="99"/>
        <item x="328"/>
        <item x="159"/>
        <item x="457"/>
        <item x="133"/>
        <item x="411"/>
        <item x="141"/>
        <item x="354"/>
        <item x="178"/>
        <item x="9"/>
        <item x="283"/>
        <item x="90"/>
        <item x="244"/>
        <item x="203"/>
        <item x="315"/>
        <item x="513"/>
        <item x="356"/>
        <item x="117"/>
        <item x="127"/>
        <item x="240"/>
        <item x="392"/>
        <item x="125"/>
        <item x="110"/>
        <item x="303"/>
        <item x="21"/>
        <item x="399"/>
        <item x="208"/>
        <item x="404"/>
        <item x="132"/>
        <item x="409"/>
        <item x="105"/>
        <item x="153"/>
        <item x="74"/>
        <item x="337"/>
        <item x="157"/>
        <item x="272"/>
        <item x="281"/>
        <item x="477"/>
        <item x="43"/>
        <item x="487"/>
        <item x="58"/>
        <item x="343"/>
        <item x="180"/>
        <item x="250"/>
        <item x="246"/>
        <item x="381"/>
        <item x="68"/>
        <item x="370"/>
        <item x="408"/>
        <item x="329"/>
        <item x="19"/>
        <item x="478"/>
        <item x="298"/>
        <item x="479"/>
        <item t="default"/>
      </items>
    </pivotField>
    <pivotField showAll="0"/>
    <pivotField showAll="0">
      <items count="5">
        <item x="2"/>
        <item x="3"/>
        <item x="1"/>
        <item x="0"/>
        <item t="default"/>
      </items>
    </pivotField>
    <pivotField showAll="0">
      <items count="21">
        <item x="10"/>
        <item x="4"/>
        <item x="16"/>
        <item x="6"/>
        <item x="7"/>
        <item x="19"/>
        <item x="5"/>
        <item x="2"/>
        <item x="18"/>
        <item x="9"/>
        <item x="12"/>
        <item x="8"/>
        <item x="3"/>
        <item x="13"/>
        <item x="15"/>
        <item x="17"/>
        <item x="11"/>
        <item x="1"/>
        <item x="14"/>
        <item x="0"/>
        <item t="default"/>
      </items>
    </pivotField>
    <pivotField showAll="0">
      <items count="15">
        <item x="0"/>
        <item x="1"/>
        <item x="9"/>
        <item x="2"/>
        <item x="11"/>
        <item x="5"/>
        <item x="12"/>
        <item x="6"/>
        <item x="7"/>
        <item x="10"/>
        <item x="3"/>
        <item x="8"/>
        <item x="4"/>
        <item x="13"/>
        <item t="default"/>
      </items>
    </pivotField>
    <pivotField showAll="0">
      <items count="5">
        <item x="0"/>
        <item x="1"/>
        <item x="2"/>
        <item x="3"/>
        <item t="default"/>
      </items>
    </pivotField>
    <pivotField dataField="1" showAll="0"/>
    <pivotField numFmtId="164" showAll="0"/>
    <pivotField showAll="0"/>
    <pivotField numFmtId="164" showAll="0">
      <items count="999">
        <item x="64"/>
        <item x="865"/>
        <item x="65"/>
        <item x="66"/>
        <item x="273"/>
        <item x="866"/>
        <item x="67"/>
        <item x="274"/>
        <item x="801"/>
        <item x="802"/>
        <item x="803"/>
        <item x="275"/>
        <item x="189"/>
        <item x="190"/>
        <item x="867"/>
        <item x="868"/>
        <item x="927"/>
        <item x="276"/>
        <item x="68"/>
        <item x="69"/>
        <item x="191"/>
        <item x="125"/>
        <item x="70"/>
        <item x="804"/>
        <item x="805"/>
        <item x="71"/>
        <item x="72"/>
        <item x="126"/>
        <item x="869"/>
        <item x="73"/>
        <item x="192"/>
        <item x="277"/>
        <item x="278"/>
        <item x="74"/>
        <item x="870"/>
        <item x="0"/>
        <item x="127"/>
        <item x="75"/>
        <item x="76"/>
        <item x="128"/>
        <item x="193"/>
        <item x="194"/>
        <item x="1"/>
        <item x="195"/>
        <item x="279"/>
        <item x="129"/>
        <item x="280"/>
        <item x="928"/>
        <item x="196"/>
        <item x="871"/>
        <item x="197"/>
        <item x="130"/>
        <item x="77"/>
        <item x="2"/>
        <item x="3"/>
        <item x="929"/>
        <item x="131"/>
        <item x="198"/>
        <item x="132"/>
        <item x="872"/>
        <item x="281"/>
        <item x="282"/>
        <item x="873"/>
        <item x="199"/>
        <item x="133"/>
        <item x="200"/>
        <item x="201"/>
        <item x="806"/>
        <item x="78"/>
        <item x="79"/>
        <item x="202"/>
        <item x="80"/>
        <item x="331"/>
        <item x="203"/>
        <item x="81"/>
        <item x="930"/>
        <item x="204"/>
        <item x="283"/>
        <item x="284"/>
        <item x="807"/>
        <item x="874"/>
        <item x="875"/>
        <item x="205"/>
        <item x="285"/>
        <item x="876"/>
        <item x="877"/>
        <item x="286"/>
        <item x="808"/>
        <item x="878"/>
        <item x="206"/>
        <item x="82"/>
        <item x="4"/>
        <item x="134"/>
        <item x="83"/>
        <item x="287"/>
        <item x="879"/>
        <item x="671"/>
        <item x="672"/>
        <item x="207"/>
        <item x="288"/>
        <item x="809"/>
        <item x="84"/>
        <item x="85"/>
        <item x="931"/>
        <item x="932"/>
        <item x="5"/>
        <item x="208"/>
        <item x="289"/>
        <item x="290"/>
        <item x="933"/>
        <item x="6"/>
        <item x="880"/>
        <item x="7"/>
        <item x="8"/>
        <item x="600"/>
        <item x="209"/>
        <item x="210"/>
        <item x="211"/>
        <item x="934"/>
        <item x="212"/>
        <item x="9"/>
        <item x="881"/>
        <item x="882"/>
        <item x="883"/>
        <item x="601"/>
        <item x="332"/>
        <item x="213"/>
        <item x="214"/>
        <item x="884"/>
        <item x="215"/>
        <item x="216"/>
        <item x="291"/>
        <item x="885"/>
        <item x="886"/>
        <item x="887"/>
        <item x="461"/>
        <item x="86"/>
        <item x="217"/>
        <item x="87"/>
        <item x="888"/>
        <item x="810"/>
        <item x="88"/>
        <item x="89"/>
        <item x="90"/>
        <item x="218"/>
        <item x="10"/>
        <item x="219"/>
        <item x="135"/>
        <item x="91"/>
        <item x="92"/>
        <item x="292"/>
        <item x="293"/>
        <item x="294"/>
        <item x="220"/>
        <item x="93"/>
        <item x="889"/>
        <item x="333"/>
        <item x="890"/>
        <item x="136"/>
        <item x="221"/>
        <item x="295"/>
        <item x="891"/>
        <item x="11"/>
        <item x="94"/>
        <item x="296"/>
        <item x="892"/>
        <item x="95"/>
        <item x="222"/>
        <item x="462"/>
        <item x="893"/>
        <item x="297"/>
        <item x="298"/>
        <item x="96"/>
        <item x="97"/>
        <item x="223"/>
        <item x="299"/>
        <item x="719"/>
        <item x="300"/>
        <item x="673"/>
        <item x="224"/>
        <item x="98"/>
        <item x="811"/>
        <item x="812"/>
        <item x="935"/>
        <item x="225"/>
        <item x="99"/>
        <item x="813"/>
        <item x="540"/>
        <item x="100"/>
        <item x="541"/>
        <item x="301"/>
        <item x="302"/>
        <item x="303"/>
        <item x="226"/>
        <item x="894"/>
        <item x="101"/>
        <item x="102"/>
        <item x="103"/>
        <item x="12"/>
        <item x="227"/>
        <item x="104"/>
        <item x="895"/>
        <item x="13"/>
        <item x="896"/>
        <item x="228"/>
        <item x="14"/>
        <item x="15"/>
        <item x="814"/>
        <item x="229"/>
        <item x="105"/>
        <item x="334"/>
        <item x="897"/>
        <item x="106"/>
        <item x="230"/>
        <item x="304"/>
        <item x="335"/>
        <item x="720"/>
        <item x="107"/>
        <item x="305"/>
        <item x="306"/>
        <item x="231"/>
        <item x="108"/>
        <item x="109"/>
        <item x="110"/>
        <item x="815"/>
        <item x="936"/>
        <item x="307"/>
        <item x="898"/>
        <item x="816"/>
        <item x="232"/>
        <item x="899"/>
        <item x="937"/>
        <item x="308"/>
        <item x="817"/>
        <item x="938"/>
        <item x="900"/>
        <item x="233"/>
        <item x="234"/>
        <item x="309"/>
        <item x="111"/>
        <item x="112"/>
        <item x="818"/>
        <item x="235"/>
        <item x="819"/>
        <item x="901"/>
        <item x="310"/>
        <item x="311"/>
        <item x="902"/>
        <item x="236"/>
        <item x="16"/>
        <item x="137"/>
        <item x="113"/>
        <item x="17"/>
        <item x="312"/>
        <item x="820"/>
        <item x="939"/>
        <item x="821"/>
        <item x="18"/>
        <item x="237"/>
        <item x="940"/>
        <item x="313"/>
        <item x="238"/>
        <item x="941"/>
        <item x="19"/>
        <item x="314"/>
        <item x="239"/>
        <item x="903"/>
        <item x="20"/>
        <item x="904"/>
        <item x="114"/>
        <item x="822"/>
        <item x="21"/>
        <item x="138"/>
        <item x="315"/>
        <item x="240"/>
        <item x="905"/>
        <item x="241"/>
        <item x="242"/>
        <item x="243"/>
        <item x="674"/>
        <item x="139"/>
        <item x="140"/>
        <item x="316"/>
        <item x="244"/>
        <item x="906"/>
        <item x="141"/>
        <item x="245"/>
        <item x="317"/>
        <item x="823"/>
        <item x="115"/>
        <item x="942"/>
        <item x="463"/>
        <item x="246"/>
        <item x="247"/>
        <item x="22"/>
        <item x="824"/>
        <item x="721"/>
        <item x="318"/>
        <item x="907"/>
        <item x="943"/>
        <item x="944"/>
        <item x="116"/>
        <item x="945"/>
        <item x="722"/>
        <item x="23"/>
        <item x="117"/>
        <item x="675"/>
        <item x="319"/>
        <item x="320"/>
        <item x="118"/>
        <item x="908"/>
        <item x="909"/>
        <item x="119"/>
        <item x="248"/>
        <item x="825"/>
        <item x="910"/>
        <item x="911"/>
        <item x="946"/>
        <item x="912"/>
        <item x="120"/>
        <item x="913"/>
        <item x="142"/>
        <item x="24"/>
        <item x="249"/>
        <item x="914"/>
        <item x="121"/>
        <item x="336"/>
        <item x="143"/>
        <item x="915"/>
        <item x="25"/>
        <item x="676"/>
        <item x="26"/>
        <item x="321"/>
        <item x="144"/>
        <item x="145"/>
        <item x="250"/>
        <item x="947"/>
        <item x="122"/>
        <item x="27"/>
        <item x="826"/>
        <item x="251"/>
        <item x="827"/>
        <item x="916"/>
        <item x="677"/>
        <item x="28"/>
        <item x="29"/>
        <item x="322"/>
        <item x="323"/>
        <item x="123"/>
        <item x="252"/>
        <item x="146"/>
        <item x="678"/>
        <item x="917"/>
        <item x="828"/>
        <item x="253"/>
        <item x="324"/>
        <item x="254"/>
        <item x="918"/>
        <item x="919"/>
        <item x="255"/>
        <item x="256"/>
        <item x="602"/>
        <item x="257"/>
        <item x="124"/>
        <item x="30"/>
        <item x="258"/>
        <item x="829"/>
        <item x="325"/>
        <item x="830"/>
        <item x="259"/>
        <item x="831"/>
        <item x="260"/>
        <item x="261"/>
        <item x="326"/>
        <item x="147"/>
        <item x="148"/>
        <item x="832"/>
        <item x="262"/>
        <item x="833"/>
        <item x="31"/>
        <item x="834"/>
        <item x="464"/>
        <item x="32"/>
        <item x="948"/>
        <item x="33"/>
        <item x="34"/>
        <item x="949"/>
        <item x="327"/>
        <item x="950"/>
        <item x="835"/>
        <item x="920"/>
        <item x="328"/>
        <item x="951"/>
        <item x="836"/>
        <item x="542"/>
        <item x="35"/>
        <item x="36"/>
        <item x="837"/>
        <item x="263"/>
        <item x="679"/>
        <item x="37"/>
        <item x="264"/>
        <item x="680"/>
        <item x="921"/>
        <item x="838"/>
        <item x="329"/>
        <item x="603"/>
        <item x="38"/>
        <item x="952"/>
        <item x="330"/>
        <item x="922"/>
        <item x="923"/>
        <item x="839"/>
        <item x="840"/>
        <item x="841"/>
        <item x="39"/>
        <item x="40"/>
        <item x="842"/>
        <item x="149"/>
        <item x="843"/>
        <item x="844"/>
        <item x="41"/>
        <item x="953"/>
        <item x="150"/>
        <item x="954"/>
        <item x="265"/>
        <item x="955"/>
        <item x="845"/>
        <item x="42"/>
        <item x="266"/>
        <item x="151"/>
        <item x="43"/>
        <item x="956"/>
        <item x="267"/>
        <item x="957"/>
        <item x="723"/>
        <item x="44"/>
        <item x="681"/>
        <item x="45"/>
        <item x="958"/>
        <item x="682"/>
        <item x="924"/>
        <item x="925"/>
        <item x="959"/>
        <item x="152"/>
        <item x="724"/>
        <item x="153"/>
        <item x="846"/>
        <item x="46"/>
        <item x="847"/>
        <item x="465"/>
        <item x="960"/>
        <item x="961"/>
        <item x="848"/>
        <item x="268"/>
        <item x="154"/>
        <item x="47"/>
        <item x="725"/>
        <item x="543"/>
        <item x="155"/>
        <item x="849"/>
        <item x="337"/>
        <item x="466"/>
        <item x="683"/>
        <item x="962"/>
        <item x="269"/>
        <item x="850"/>
        <item x="156"/>
        <item x="157"/>
        <item x="963"/>
        <item x="270"/>
        <item x="684"/>
        <item x="685"/>
        <item x="926"/>
        <item x="48"/>
        <item x="467"/>
        <item x="49"/>
        <item x="851"/>
        <item x="50"/>
        <item x="964"/>
        <item x="965"/>
        <item x="271"/>
        <item x="272"/>
        <item x="726"/>
        <item x="686"/>
        <item x="852"/>
        <item x="966"/>
        <item x="51"/>
        <item x="52"/>
        <item x="967"/>
        <item x="853"/>
        <item x="604"/>
        <item x="854"/>
        <item x="544"/>
        <item x="158"/>
        <item x="968"/>
        <item x="605"/>
        <item x="53"/>
        <item x="468"/>
        <item x="855"/>
        <item x="545"/>
        <item x="159"/>
        <item x="54"/>
        <item x="969"/>
        <item x="469"/>
        <item x="160"/>
        <item x="161"/>
        <item x="856"/>
        <item x="687"/>
        <item x="688"/>
        <item x="970"/>
        <item x="162"/>
        <item x="971"/>
        <item x="857"/>
        <item x="470"/>
        <item x="972"/>
        <item x="471"/>
        <item x="858"/>
        <item x="338"/>
        <item x="55"/>
        <item x="727"/>
        <item x="859"/>
        <item x="973"/>
        <item x="728"/>
        <item x="472"/>
        <item x="56"/>
        <item x="860"/>
        <item x="861"/>
        <item x="57"/>
        <item x="974"/>
        <item x="58"/>
        <item x="163"/>
        <item x="862"/>
        <item x="59"/>
        <item x="164"/>
        <item x="975"/>
        <item x="689"/>
        <item x="165"/>
        <item x="729"/>
        <item x="473"/>
        <item x="976"/>
        <item x="863"/>
        <item x="166"/>
        <item x="474"/>
        <item x="475"/>
        <item x="60"/>
        <item x="690"/>
        <item x="977"/>
        <item x="61"/>
        <item x="546"/>
        <item x="978"/>
        <item x="606"/>
        <item x="979"/>
        <item x="980"/>
        <item x="476"/>
        <item x="547"/>
        <item x="981"/>
        <item x="548"/>
        <item x="982"/>
        <item x="983"/>
        <item x="477"/>
        <item x="730"/>
        <item x="167"/>
        <item x="478"/>
        <item x="479"/>
        <item x="168"/>
        <item x="984"/>
        <item x="985"/>
        <item x="62"/>
        <item x="63"/>
        <item x="169"/>
        <item x="731"/>
        <item x="549"/>
        <item x="170"/>
        <item x="986"/>
        <item x="339"/>
        <item x="171"/>
        <item x="172"/>
        <item x="340"/>
        <item x="480"/>
        <item x="607"/>
        <item x="550"/>
        <item x="987"/>
        <item x="481"/>
        <item x="988"/>
        <item x="341"/>
        <item x="989"/>
        <item x="482"/>
        <item x="990"/>
        <item x="483"/>
        <item x="691"/>
        <item x="991"/>
        <item x="484"/>
        <item x="485"/>
        <item x="864"/>
        <item x="173"/>
        <item x="486"/>
        <item x="732"/>
        <item x="692"/>
        <item x="551"/>
        <item x="487"/>
        <item x="552"/>
        <item x="488"/>
        <item x="489"/>
        <item x="174"/>
        <item x="175"/>
        <item x="693"/>
        <item x="176"/>
        <item x="992"/>
        <item x="553"/>
        <item x="177"/>
        <item x="608"/>
        <item x="490"/>
        <item x="554"/>
        <item x="609"/>
        <item x="178"/>
        <item x="610"/>
        <item x="733"/>
        <item x="734"/>
        <item x="491"/>
        <item x="611"/>
        <item x="555"/>
        <item x="694"/>
        <item x="993"/>
        <item x="735"/>
        <item x="695"/>
        <item x="994"/>
        <item x="342"/>
        <item x="179"/>
        <item x="492"/>
        <item x="612"/>
        <item x="995"/>
        <item x="180"/>
        <item x="493"/>
        <item x="343"/>
        <item x="696"/>
        <item x="556"/>
        <item x="996"/>
        <item x="613"/>
        <item x="494"/>
        <item x="495"/>
        <item x="496"/>
        <item x="181"/>
        <item x="557"/>
        <item x="497"/>
        <item x="498"/>
        <item x="344"/>
        <item x="558"/>
        <item x="345"/>
        <item x="697"/>
        <item x="698"/>
        <item x="182"/>
        <item x="559"/>
        <item x="499"/>
        <item x="346"/>
        <item x="347"/>
        <item x="500"/>
        <item x="501"/>
        <item x="502"/>
        <item x="183"/>
        <item x="348"/>
        <item x="736"/>
        <item x="503"/>
        <item x="699"/>
        <item x="349"/>
        <item x="997"/>
        <item x="560"/>
        <item x="504"/>
        <item x="505"/>
        <item x="350"/>
        <item x="737"/>
        <item x="614"/>
        <item x="700"/>
        <item x="351"/>
        <item x="738"/>
        <item x="184"/>
        <item x="701"/>
        <item x="615"/>
        <item x="185"/>
        <item x="506"/>
        <item x="352"/>
        <item x="353"/>
        <item x="739"/>
        <item x="186"/>
        <item x="702"/>
        <item x="740"/>
        <item x="507"/>
        <item x="354"/>
        <item x="616"/>
        <item x="355"/>
        <item x="508"/>
        <item x="509"/>
        <item x="356"/>
        <item x="703"/>
        <item x="510"/>
        <item x="357"/>
        <item x="617"/>
        <item x="618"/>
        <item x="619"/>
        <item x="358"/>
        <item x="359"/>
        <item x="620"/>
        <item x="360"/>
        <item x="361"/>
        <item x="561"/>
        <item x="621"/>
        <item x="622"/>
        <item x="362"/>
        <item x="511"/>
        <item x="512"/>
        <item x="741"/>
        <item x="623"/>
        <item x="624"/>
        <item x="363"/>
        <item x="742"/>
        <item x="562"/>
        <item x="364"/>
        <item x="513"/>
        <item x="625"/>
        <item x="365"/>
        <item x="366"/>
        <item x="187"/>
        <item x="514"/>
        <item x="515"/>
        <item x="743"/>
        <item x="367"/>
        <item x="516"/>
        <item x="368"/>
        <item x="369"/>
        <item x="370"/>
        <item x="517"/>
        <item x="626"/>
        <item x="627"/>
        <item x="628"/>
        <item x="518"/>
        <item x="371"/>
        <item x="372"/>
        <item x="629"/>
        <item x="373"/>
        <item x="744"/>
        <item x="630"/>
        <item x="563"/>
        <item x="704"/>
        <item x="519"/>
        <item x="564"/>
        <item x="374"/>
        <item x="188"/>
        <item x="705"/>
        <item x="375"/>
        <item x="565"/>
        <item x="520"/>
        <item x="745"/>
        <item x="566"/>
        <item x="521"/>
        <item x="706"/>
        <item x="746"/>
        <item x="522"/>
        <item x="631"/>
        <item x="747"/>
        <item x="523"/>
        <item x="748"/>
        <item x="749"/>
        <item x="632"/>
        <item x="633"/>
        <item x="707"/>
        <item x="634"/>
        <item x="376"/>
        <item x="567"/>
        <item x="524"/>
        <item x="708"/>
        <item x="709"/>
        <item x="377"/>
        <item x="378"/>
        <item x="379"/>
        <item x="750"/>
        <item x="751"/>
        <item x="752"/>
        <item x="380"/>
        <item x="753"/>
        <item x="635"/>
        <item x="381"/>
        <item x="382"/>
        <item x="636"/>
        <item x="637"/>
        <item x="754"/>
        <item x="638"/>
        <item x="639"/>
        <item x="383"/>
        <item x="640"/>
        <item x="710"/>
        <item x="568"/>
        <item x="525"/>
        <item x="526"/>
        <item x="384"/>
        <item x="755"/>
        <item x="527"/>
        <item x="528"/>
        <item x="385"/>
        <item x="386"/>
        <item x="569"/>
        <item x="711"/>
        <item x="387"/>
        <item x="641"/>
        <item x="756"/>
        <item x="757"/>
        <item x="388"/>
        <item x="642"/>
        <item x="529"/>
        <item x="758"/>
        <item x="530"/>
        <item x="389"/>
        <item x="643"/>
        <item x="759"/>
        <item x="570"/>
        <item x="644"/>
        <item x="645"/>
        <item x="531"/>
        <item x="390"/>
        <item x="646"/>
        <item x="532"/>
        <item x="391"/>
        <item x="392"/>
        <item x="760"/>
        <item x="761"/>
        <item x="571"/>
        <item x="533"/>
        <item x="534"/>
        <item x="535"/>
        <item x="393"/>
        <item x="394"/>
        <item x="647"/>
        <item x="395"/>
        <item x="648"/>
        <item x="762"/>
        <item x="763"/>
        <item x="396"/>
        <item x="764"/>
        <item x="649"/>
        <item x="397"/>
        <item x="536"/>
        <item x="650"/>
        <item x="765"/>
        <item x="651"/>
        <item x="712"/>
        <item x="398"/>
        <item x="766"/>
        <item x="399"/>
        <item x="767"/>
        <item x="400"/>
        <item x="401"/>
        <item x="768"/>
        <item x="652"/>
        <item x="537"/>
        <item x="769"/>
        <item x="770"/>
        <item x="713"/>
        <item x="402"/>
        <item x="771"/>
        <item x="714"/>
        <item x="715"/>
        <item x="772"/>
        <item x="653"/>
        <item x="403"/>
        <item x="654"/>
        <item x="773"/>
        <item x="774"/>
        <item x="775"/>
        <item x="404"/>
        <item x="655"/>
        <item x="572"/>
        <item x="405"/>
        <item x="406"/>
        <item x="716"/>
        <item x="407"/>
        <item x="538"/>
        <item x="573"/>
        <item x="776"/>
        <item x="408"/>
        <item x="409"/>
        <item x="410"/>
        <item x="539"/>
        <item x="717"/>
        <item x="411"/>
        <item x="656"/>
        <item x="412"/>
        <item x="413"/>
        <item x="777"/>
        <item x="718"/>
        <item x="657"/>
        <item x="414"/>
        <item x="415"/>
        <item x="658"/>
        <item x="416"/>
        <item x="659"/>
        <item x="778"/>
        <item x="574"/>
        <item x="575"/>
        <item x="660"/>
        <item x="576"/>
        <item x="779"/>
        <item x="577"/>
        <item x="417"/>
        <item x="661"/>
        <item x="418"/>
        <item x="662"/>
        <item x="419"/>
        <item x="780"/>
        <item x="420"/>
        <item x="663"/>
        <item x="781"/>
        <item x="421"/>
        <item x="578"/>
        <item x="579"/>
        <item x="422"/>
        <item x="423"/>
        <item x="664"/>
        <item x="424"/>
        <item x="782"/>
        <item x="425"/>
        <item x="665"/>
        <item x="783"/>
        <item x="784"/>
        <item x="785"/>
        <item x="786"/>
        <item x="787"/>
        <item x="580"/>
        <item x="788"/>
        <item x="426"/>
        <item x="666"/>
        <item x="427"/>
        <item x="428"/>
        <item x="789"/>
        <item x="581"/>
        <item x="429"/>
        <item x="582"/>
        <item x="430"/>
        <item x="583"/>
        <item x="431"/>
        <item x="667"/>
        <item x="584"/>
        <item x="585"/>
        <item x="586"/>
        <item x="432"/>
        <item x="433"/>
        <item x="587"/>
        <item x="434"/>
        <item x="790"/>
        <item x="668"/>
        <item x="588"/>
        <item x="435"/>
        <item x="589"/>
        <item x="590"/>
        <item x="591"/>
        <item x="592"/>
        <item x="791"/>
        <item x="593"/>
        <item x="594"/>
        <item x="595"/>
        <item x="436"/>
        <item x="792"/>
        <item x="669"/>
        <item x="793"/>
        <item x="437"/>
        <item x="596"/>
        <item x="794"/>
        <item x="670"/>
        <item x="438"/>
        <item x="597"/>
        <item x="598"/>
        <item x="795"/>
        <item x="439"/>
        <item x="796"/>
        <item x="797"/>
        <item x="440"/>
        <item x="798"/>
        <item x="441"/>
        <item x="799"/>
        <item x="442"/>
        <item x="443"/>
        <item x="800"/>
        <item x="444"/>
        <item x="445"/>
        <item x="446"/>
        <item x="599"/>
        <item x="447"/>
        <item x="448"/>
        <item x="449"/>
        <item x="450"/>
        <item x="451"/>
        <item x="452"/>
        <item x="453"/>
        <item x="454"/>
        <item x="455"/>
        <item x="456"/>
        <item x="457"/>
        <item x="458"/>
        <item x="459"/>
        <item x="460"/>
        <item t="default"/>
      </items>
    </pivotField>
    <pivotField axis="axisRow" showAll="0">
      <items count="6">
        <item x="2"/>
        <item x="4"/>
        <item x="1"/>
        <item x="3"/>
        <item x="0"/>
        <item t="default"/>
      </items>
    </pivotField>
    <pivotField showAll="0">
      <items count="3">
        <item x="0"/>
        <item x="1"/>
        <item t="default"/>
      </items>
    </pivotField>
    <pivotField showAll="0" defaultSubtotal="0"/>
    <pivotField showAll="0" defaultSubtotal="0"/>
    <pivotField showAll="0" defaultSubtotal="0">
      <items count="5">
        <item x="0"/>
        <item x="1"/>
        <item x="2"/>
        <item x="3"/>
        <item x="4"/>
      </items>
    </pivotField>
  </pivotFields>
  <rowFields count="1">
    <field x="11"/>
  </rowFields>
  <rowItems count="6">
    <i>
      <x/>
    </i>
    <i>
      <x v="1"/>
    </i>
    <i>
      <x v="2"/>
    </i>
    <i>
      <x v="3"/>
    </i>
    <i>
      <x v="4"/>
    </i>
    <i t="grand">
      <x/>
    </i>
  </rowItems>
  <colItems count="1">
    <i/>
  </colItems>
  <dataFields count="1">
    <dataField name="Count of Quantity" fld="7" subtotal="count" baseField="11" baseItem="4"/>
  </dataFields>
  <chartFormats count="18">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11" count="1" selected="0">
            <x v="0"/>
          </reference>
        </references>
      </pivotArea>
    </chartFormat>
    <chartFormat chart="1" format="10">
      <pivotArea type="data" outline="0" fieldPosition="0">
        <references count="2">
          <reference field="4294967294" count="1" selected="0">
            <x v="0"/>
          </reference>
          <reference field="11" count="1" selected="0">
            <x v="1"/>
          </reference>
        </references>
      </pivotArea>
    </chartFormat>
    <chartFormat chart="1" format="11">
      <pivotArea type="data" outline="0" fieldPosition="0">
        <references count="2">
          <reference field="4294967294" count="1" selected="0">
            <x v="0"/>
          </reference>
          <reference field="11" count="1" selected="0">
            <x v="2"/>
          </reference>
        </references>
      </pivotArea>
    </chartFormat>
    <chartFormat chart="1" format="12">
      <pivotArea type="data" outline="0" fieldPosition="0">
        <references count="2">
          <reference field="4294967294" count="1" selected="0">
            <x v="0"/>
          </reference>
          <reference field="11" count="1" selected="0">
            <x v="3"/>
          </reference>
        </references>
      </pivotArea>
    </chartFormat>
    <chartFormat chart="1" format="13">
      <pivotArea type="data" outline="0" fieldPosition="0">
        <references count="2">
          <reference field="4294967294" count="1" selected="0">
            <x v="0"/>
          </reference>
          <reference field="11" count="1" selected="0">
            <x v="4"/>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1" count="1" selected="0">
            <x v="0"/>
          </reference>
        </references>
      </pivotArea>
    </chartFormat>
    <chartFormat chart="3" format="22">
      <pivotArea type="data" outline="0" fieldPosition="0">
        <references count="2">
          <reference field="4294967294" count="1" selected="0">
            <x v="0"/>
          </reference>
          <reference field="11" count="1" selected="0">
            <x v="1"/>
          </reference>
        </references>
      </pivotArea>
    </chartFormat>
    <chartFormat chart="3" format="23">
      <pivotArea type="data" outline="0" fieldPosition="0">
        <references count="2">
          <reference field="4294967294" count="1" selected="0">
            <x v="0"/>
          </reference>
          <reference field="11" count="1" selected="0">
            <x v="2"/>
          </reference>
        </references>
      </pivotArea>
    </chartFormat>
    <chartFormat chart="3" format="24">
      <pivotArea type="data" outline="0" fieldPosition="0">
        <references count="2">
          <reference field="4294967294" count="1" selected="0">
            <x v="0"/>
          </reference>
          <reference field="11" count="1" selected="0">
            <x v="3"/>
          </reference>
        </references>
      </pivotArea>
    </chartFormat>
    <chartFormat chart="3" format="25">
      <pivotArea type="data" outline="0" fieldPosition="0">
        <references count="2">
          <reference field="4294967294" count="1" selected="0">
            <x v="0"/>
          </reference>
          <reference field="11" count="1" selected="0">
            <x v="4"/>
          </reference>
        </references>
      </pivotArea>
    </chartFormat>
    <chartFormat chart="5" format="33" series="1">
      <pivotArea type="data" outline="0" fieldPosition="0">
        <references count="1">
          <reference field="4294967294" count="1" selected="0">
            <x v="0"/>
          </reference>
        </references>
      </pivotArea>
    </chartFormat>
    <chartFormat chart="5" format="34">
      <pivotArea type="data" outline="0" fieldPosition="0">
        <references count="2">
          <reference field="4294967294" count="1" selected="0">
            <x v="0"/>
          </reference>
          <reference field="11" count="1" selected="0">
            <x v="0"/>
          </reference>
        </references>
      </pivotArea>
    </chartFormat>
    <chartFormat chart="5" format="35">
      <pivotArea type="data" outline="0" fieldPosition="0">
        <references count="2">
          <reference field="4294967294" count="1" selected="0">
            <x v="0"/>
          </reference>
          <reference field="11" count="1" selected="0">
            <x v="1"/>
          </reference>
        </references>
      </pivotArea>
    </chartFormat>
    <chartFormat chart="5" format="36">
      <pivotArea type="data" outline="0" fieldPosition="0">
        <references count="2">
          <reference field="4294967294" count="1" selected="0">
            <x v="0"/>
          </reference>
          <reference field="11" count="1" selected="0">
            <x v="2"/>
          </reference>
        </references>
      </pivotArea>
    </chartFormat>
    <chartFormat chart="5" format="37">
      <pivotArea type="data" outline="0" fieldPosition="0">
        <references count="2">
          <reference field="4294967294" count="1" selected="0">
            <x v="0"/>
          </reference>
          <reference field="11" count="1" selected="0">
            <x v="3"/>
          </reference>
        </references>
      </pivotArea>
    </chartFormat>
    <chartFormat chart="5" format="38">
      <pivotArea type="data" outline="0" fieldPosition="0">
        <references count="2">
          <reference field="4294967294" count="1" selected="0">
            <x v="0"/>
          </reference>
          <reference field="11"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EA8FDE-FD7B-4656-A7C3-ADB0989B78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D25" firstHeaderRow="1" firstDataRow="2" firstDataCol="1"/>
  <pivotFields count="16">
    <pivotField showAll="0"/>
    <pivotField numFmtId="14" showAll="0">
      <items count="535">
        <item x="434"/>
        <item x="495"/>
        <item x="31"/>
        <item x="120"/>
        <item x="0"/>
        <item x="320"/>
        <item x="10"/>
        <item x="389"/>
        <item x="286"/>
        <item x="341"/>
        <item x="27"/>
        <item x="148"/>
        <item x="145"/>
        <item x="103"/>
        <item x="445"/>
        <item x="347"/>
        <item x="182"/>
        <item x="115"/>
        <item x="211"/>
        <item x="238"/>
        <item x="502"/>
        <item x="319"/>
        <item x="305"/>
        <item x="504"/>
        <item x="293"/>
        <item x="433"/>
        <item x="104"/>
        <item x="205"/>
        <item x="264"/>
        <item x="277"/>
        <item x="231"/>
        <item x="111"/>
        <item x="268"/>
        <item x="287"/>
        <item x="525"/>
        <item x="367"/>
        <item x="508"/>
        <item x="362"/>
        <item x="130"/>
        <item x="57"/>
        <item x="323"/>
        <item x="523"/>
        <item x="257"/>
        <item x="260"/>
        <item x="387"/>
        <item x="379"/>
        <item x="464"/>
        <item x="221"/>
        <item x="33"/>
        <item x="483"/>
        <item x="247"/>
        <item x="503"/>
        <item x="359"/>
        <item x="521"/>
        <item x="42"/>
        <item x="290"/>
        <item x="364"/>
        <item x="192"/>
        <item x="89"/>
        <item x="85"/>
        <item x="444"/>
        <item x="248"/>
        <item x="383"/>
        <item x="96"/>
        <item x="345"/>
        <item x="371"/>
        <item x="299"/>
        <item x="278"/>
        <item x="242"/>
        <item x="300"/>
        <item x="259"/>
        <item x="88"/>
        <item x="289"/>
        <item x="235"/>
        <item x="198"/>
        <item x="316"/>
        <item x="6"/>
        <item x="318"/>
        <item x="462"/>
        <item x="527"/>
        <item x="3"/>
        <item x="441"/>
        <item x="532"/>
        <item x="38"/>
        <item x="292"/>
        <item x="236"/>
        <item x="391"/>
        <item x="169"/>
        <item x="380"/>
        <item x="163"/>
        <item x="482"/>
        <item x="174"/>
        <item x="71"/>
        <item x="494"/>
        <item x="302"/>
        <item x="510"/>
        <item x="184"/>
        <item x="78"/>
        <item x="531"/>
        <item x="472"/>
        <item x="136"/>
        <item x="332"/>
        <item x="325"/>
        <item x="270"/>
        <item x="461"/>
        <item x="307"/>
        <item x="358"/>
        <item x="519"/>
        <item x="142"/>
        <item x="30"/>
        <item x="467"/>
        <item x="317"/>
        <item x="331"/>
        <item x="24"/>
        <item x="16"/>
        <item x="79"/>
        <item x="398"/>
        <item x="162"/>
        <item x="476"/>
        <item x="126"/>
        <item x="69"/>
        <item x="365"/>
        <item x="475"/>
        <item x="84"/>
        <item x="86"/>
        <item x="376"/>
        <item x="282"/>
        <item x="496"/>
        <item x="239"/>
        <item x="321"/>
        <item x="520"/>
        <item x="186"/>
        <item x="51"/>
        <item x="453"/>
        <item x="64"/>
        <item x="338"/>
        <item x="312"/>
        <item x="81"/>
        <item x="406"/>
        <item x="363"/>
        <item x="430"/>
        <item x="334"/>
        <item x="301"/>
        <item x="397"/>
        <item x="1"/>
        <item x="160"/>
        <item x="140"/>
        <item x="83"/>
        <item x="357"/>
        <item x="400"/>
        <item x="222"/>
        <item x="353"/>
        <item x="274"/>
        <item x="443"/>
        <item x="421"/>
        <item x="500"/>
        <item x="116"/>
        <item x="417"/>
        <item x="73"/>
        <item x="234"/>
        <item x="498"/>
        <item x="95"/>
        <item x="168"/>
        <item x="355"/>
        <item x="135"/>
        <item x="143"/>
        <item x="20"/>
        <item x="46"/>
        <item x="266"/>
        <item x="480"/>
        <item x="468"/>
        <item x="505"/>
        <item x="291"/>
        <item x="533"/>
        <item x="273"/>
        <item x="165"/>
        <item x="275"/>
        <item x="50"/>
        <item x="427"/>
        <item x="333"/>
        <item x="193"/>
        <item x="155"/>
        <item x="416"/>
        <item x="474"/>
        <item x="294"/>
        <item x="378"/>
        <item x="187"/>
        <item x="455"/>
        <item x="429"/>
        <item x="41"/>
        <item x="172"/>
        <item x="366"/>
        <item x="439"/>
        <item x="390"/>
        <item x="324"/>
        <item x="393"/>
        <item x="108"/>
        <item x="327"/>
        <item x="415"/>
        <item x="507"/>
        <item x="372"/>
        <item x="340"/>
        <item x="87"/>
        <item x="15"/>
        <item x="109"/>
        <item x="218"/>
        <item x="206"/>
        <item x="5"/>
        <item x="438"/>
        <item x="466"/>
        <item x="119"/>
        <item x="285"/>
        <item x="177"/>
        <item x="144"/>
        <item x="344"/>
        <item x="407"/>
        <item x="394"/>
        <item x="175"/>
        <item x="204"/>
        <item x="210"/>
        <item x="11"/>
        <item x="401"/>
        <item x="375"/>
        <item x="304"/>
        <item x="217"/>
        <item x="189"/>
        <item x="167"/>
        <item x="511"/>
        <item x="197"/>
        <item x="422"/>
        <item x="39"/>
        <item x="200"/>
        <item x="288"/>
        <item x="70"/>
        <item x="420"/>
        <item x="255"/>
        <item x="139"/>
        <item x="34"/>
        <item x="37"/>
        <item x="207"/>
        <item x="131"/>
        <item x="18"/>
        <item x="306"/>
        <item x="414"/>
        <item x="22"/>
        <item x="93"/>
        <item x="129"/>
        <item x="243"/>
        <item x="164"/>
        <item x="308"/>
        <item x="423"/>
        <item x="82"/>
        <item x="249"/>
        <item x="437"/>
        <item x="530"/>
        <item x="528"/>
        <item x="442"/>
        <item x="369"/>
        <item x="213"/>
        <item x="452"/>
        <item x="402"/>
        <item x="251"/>
        <item x="29"/>
        <item x="256"/>
        <item x="436"/>
        <item x="63"/>
        <item x="522"/>
        <item x="158"/>
        <item x="212"/>
        <item x="377"/>
        <item x="60"/>
        <item x="190"/>
        <item x="67"/>
        <item x="76"/>
        <item x="269"/>
        <item x="435"/>
        <item x="382"/>
        <item x="124"/>
        <item x="2"/>
        <item x="59"/>
        <item x="32"/>
        <item x="122"/>
        <item x="181"/>
        <item x="65"/>
        <item x="171"/>
        <item x="183"/>
        <item x="506"/>
        <item x="66"/>
        <item x="92"/>
        <item x="113"/>
        <item x="428"/>
        <item x="349"/>
        <item x="352"/>
        <item x="395"/>
        <item x="465"/>
        <item x="412"/>
        <item x="223"/>
        <item x="28"/>
        <item x="215"/>
        <item x="151"/>
        <item x="106"/>
        <item x="97"/>
        <item x="361"/>
        <item x="350"/>
        <item x="216"/>
        <item x="62"/>
        <item x="194"/>
        <item x="405"/>
        <item x="137"/>
        <item x="410"/>
        <item x="497"/>
        <item x="170"/>
        <item x="220"/>
        <item x="396"/>
        <item x="336"/>
        <item x="295"/>
        <item x="425"/>
        <item x="419"/>
        <item x="233"/>
        <item x="166"/>
        <item x="484"/>
        <item x="388"/>
        <item x="296"/>
        <item x="23"/>
        <item x="385"/>
        <item x="524"/>
        <item x="202"/>
        <item x="17"/>
        <item x="101"/>
        <item x="518"/>
        <item x="179"/>
        <item x="47"/>
        <item x="447"/>
        <item x="314"/>
        <item x="146"/>
        <item x="529"/>
        <item x="199"/>
        <item x="516"/>
        <item x="271"/>
        <item x="280"/>
        <item x="424"/>
        <item x="469"/>
        <item x="156"/>
        <item x="75"/>
        <item x="451"/>
        <item x="446"/>
        <item x="44"/>
        <item x="458"/>
        <item x="311"/>
        <item x="488"/>
        <item x="14"/>
        <item x="432"/>
        <item x="224"/>
        <item x="118"/>
        <item x="4"/>
        <item x="237"/>
        <item x="450"/>
        <item x="384"/>
        <item x="55"/>
        <item x="493"/>
        <item x="54"/>
        <item x="25"/>
        <item x="456"/>
        <item x="360"/>
        <item x="261"/>
        <item x="426"/>
        <item x="431"/>
        <item x="499"/>
        <item x="232"/>
        <item x="35"/>
        <item x="185"/>
        <item x="77"/>
        <item x="225"/>
        <item x="309"/>
        <item x="403"/>
        <item x="373"/>
        <item x="188"/>
        <item x="13"/>
        <item x="149"/>
        <item x="265"/>
        <item x="348"/>
        <item x="80"/>
        <item x="310"/>
        <item x="512"/>
        <item x="490"/>
        <item x="112"/>
        <item x="128"/>
        <item x="330"/>
        <item x="53"/>
        <item x="368"/>
        <item x="374"/>
        <item x="98"/>
        <item x="56"/>
        <item x="150"/>
        <item x="196"/>
        <item x="209"/>
        <item x="195"/>
        <item x="284"/>
        <item x="454"/>
        <item x="61"/>
        <item x="227"/>
        <item x="253"/>
        <item x="48"/>
        <item x="526"/>
        <item x="509"/>
        <item x="36"/>
        <item x="491"/>
        <item x="473"/>
        <item x="342"/>
        <item x="201"/>
        <item x="413"/>
        <item x="152"/>
        <item x="121"/>
        <item x="322"/>
        <item x="313"/>
        <item x="241"/>
        <item x="267"/>
        <item x="100"/>
        <item x="486"/>
        <item x="481"/>
        <item x="459"/>
        <item x="501"/>
        <item x="346"/>
        <item x="471"/>
        <item x="134"/>
        <item x="52"/>
        <item x="386"/>
        <item x="191"/>
        <item x="229"/>
        <item x="258"/>
        <item x="254"/>
        <item x="154"/>
        <item x="252"/>
        <item x="94"/>
        <item x="448"/>
        <item x="515"/>
        <item x="279"/>
        <item x="91"/>
        <item x="335"/>
        <item x="7"/>
        <item x="492"/>
        <item x="463"/>
        <item x="114"/>
        <item x="49"/>
        <item x="263"/>
        <item x="440"/>
        <item x="123"/>
        <item x="219"/>
        <item x="485"/>
        <item x="245"/>
        <item x="226"/>
        <item x="173"/>
        <item x="161"/>
        <item x="460"/>
        <item x="40"/>
        <item x="326"/>
        <item x="102"/>
        <item x="45"/>
        <item x="230"/>
        <item x="517"/>
        <item x="228"/>
        <item x="107"/>
        <item x="214"/>
        <item x="147"/>
        <item x="339"/>
        <item x="12"/>
        <item x="470"/>
        <item x="276"/>
        <item x="26"/>
        <item x="449"/>
        <item x="8"/>
        <item x="138"/>
        <item x="351"/>
        <item x="262"/>
        <item x="176"/>
        <item x="489"/>
        <item x="514"/>
        <item x="297"/>
        <item x="418"/>
        <item x="72"/>
        <item x="99"/>
        <item x="328"/>
        <item x="159"/>
        <item x="457"/>
        <item x="133"/>
        <item x="411"/>
        <item x="141"/>
        <item x="354"/>
        <item x="178"/>
        <item x="9"/>
        <item x="283"/>
        <item x="90"/>
        <item x="244"/>
        <item x="203"/>
        <item x="315"/>
        <item x="513"/>
        <item x="356"/>
        <item x="117"/>
        <item x="127"/>
        <item x="240"/>
        <item x="392"/>
        <item x="125"/>
        <item x="110"/>
        <item x="303"/>
        <item x="21"/>
        <item x="399"/>
        <item x="208"/>
        <item x="404"/>
        <item x="132"/>
        <item x="409"/>
        <item x="105"/>
        <item x="153"/>
        <item x="74"/>
        <item x="337"/>
        <item x="157"/>
        <item x="272"/>
        <item x="281"/>
        <item x="477"/>
        <item x="43"/>
        <item x="487"/>
        <item x="58"/>
        <item x="343"/>
        <item x="180"/>
        <item x="250"/>
        <item x="246"/>
        <item x="381"/>
        <item x="68"/>
        <item x="370"/>
        <item x="408"/>
        <item x="329"/>
        <item x="19"/>
        <item x="478"/>
        <item x="298"/>
        <item x="479"/>
        <item t="default"/>
      </items>
    </pivotField>
    <pivotField showAll="0">
      <items count="754">
        <item x="164"/>
        <item x="173"/>
        <item x="386"/>
        <item x="99"/>
        <item x="518"/>
        <item x="611"/>
        <item x="26"/>
        <item x="689"/>
        <item x="402"/>
        <item x="582"/>
        <item x="15"/>
        <item x="317"/>
        <item x="531"/>
        <item x="562"/>
        <item x="558"/>
        <item x="661"/>
        <item x="338"/>
        <item x="167"/>
        <item x="28"/>
        <item x="484"/>
        <item x="532"/>
        <item x="382"/>
        <item x="78"/>
        <item x="615"/>
        <item x="457"/>
        <item x="246"/>
        <item x="736"/>
        <item x="396"/>
        <item x="618"/>
        <item x="334"/>
        <item x="16"/>
        <item x="289"/>
        <item x="392"/>
        <item x="123"/>
        <item x="516"/>
        <item x="89"/>
        <item x="393"/>
        <item x="23"/>
        <item x="723"/>
        <item x="244"/>
        <item x="163"/>
        <item x="145"/>
        <item x="397"/>
        <item x="356"/>
        <item x="176"/>
        <item x="711"/>
        <item x="682"/>
        <item x="211"/>
        <item x="620"/>
        <item x="551"/>
        <item x="519"/>
        <item x="218"/>
        <item x="683"/>
        <item x="737"/>
        <item x="146"/>
        <item x="308"/>
        <item x="748"/>
        <item x="260"/>
        <item x="274"/>
        <item x="316"/>
        <item x="1"/>
        <item x="578"/>
        <item x="263"/>
        <item x="80"/>
        <item x="298"/>
        <item x="418"/>
        <item x="599"/>
        <item x="362"/>
        <item x="156"/>
        <item x="658"/>
        <item x="427"/>
        <item x="375"/>
        <item x="38"/>
        <item x="408"/>
        <item x="594"/>
        <item x="304"/>
        <item x="131"/>
        <item x="158"/>
        <item x="717"/>
        <item x="475"/>
        <item x="110"/>
        <item x="104"/>
        <item x="495"/>
        <item x="286"/>
        <item x="526"/>
        <item x="752"/>
        <item x="376"/>
        <item x="609"/>
        <item x="124"/>
        <item x="75"/>
        <item x="210"/>
        <item x="33"/>
        <item x="306"/>
        <item x="511"/>
        <item x="188"/>
        <item x="88"/>
        <item x="153"/>
        <item x="331"/>
        <item x="608"/>
        <item x="301"/>
        <item x="248"/>
        <item x="703"/>
        <item x="394"/>
        <item x="181"/>
        <item x="692"/>
        <item x="455"/>
        <item x="381"/>
        <item x="571"/>
        <item x="550"/>
        <item x="369"/>
        <item x="40"/>
        <item x="132"/>
        <item x="510"/>
        <item x="31"/>
        <item x="199"/>
        <item x="290"/>
        <item x="624"/>
        <item x="187"/>
        <item x="552"/>
        <item x="309"/>
        <item x="697"/>
        <item x="151"/>
        <item x="590"/>
        <item x="406"/>
        <item x="117"/>
        <item x="106"/>
        <item x="395"/>
        <item x="496"/>
        <item x="476"/>
        <item x="137"/>
        <item x="175"/>
        <item x="681"/>
        <item x="215"/>
        <item x="439"/>
        <item x="191"/>
        <item x="45"/>
        <item x="539"/>
        <item x="460"/>
        <item x="438"/>
        <item x="727"/>
        <item x="630"/>
        <item x="121"/>
        <item x="197"/>
        <item x="230"/>
        <item x="463"/>
        <item x="607"/>
        <item x="494"/>
        <item x="55"/>
        <item x="0"/>
        <item x="422"/>
        <item x="473"/>
        <item x="13"/>
        <item x="326"/>
        <item x="688"/>
        <item x="398"/>
        <item x="413"/>
        <item x="305"/>
        <item x="341"/>
        <item x="492"/>
        <item x="636"/>
        <item x="650"/>
        <item x="95"/>
        <item x="364"/>
        <item x="125"/>
        <item x="741"/>
        <item x="546"/>
        <item x="144"/>
        <item x="610"/>
        <item x="621"/>
        <item x="234"/>
        <item x="185"/>
        <item x="403"/>
        <item x="635"/>
        <item x="319"/>
        <item x="86"/>
        <item x="171"/>
        <item x="527"/>
        <item x="701"/>
        <item x="430"/>
        <item x="56"/>
        <item x="602"/>
        <item x="139"/>
        <item x="708"/>
        <item x="343"/>
        <item x="79"/>
        <item x="247"/>
        <item x="464"/>
        <item x="205"/>
        <item x="207"/>
        <item x="280"/>
        <item x="487"/>
        <item x="300"/>
        <item x="659"/>
        <item x="136"/>
        <item x="461"/>
        <item x="285"/>
        <item x="379"/>
        <item x="604"/>
        <item x="353"/>
        <item x="297"/>
        <item x="478"/>
        <item x="436"/>
        <item x="446"/>
        <item x="493"/>
        <item x="147"/>
        <item x="435"/>
        <item x="361"/>
        <item x="347"/>
        <item x="547"/>
        <item x="345"/>
        <item x="391"/>
        <item x="169"/>
        <item x="17"/>
        <item x="704"/>
        <item x="541"/>
        <item x="724"/>
        <item x="543"/>
        <item x="433"/>
        <item x="198"/>
        <item x="524"/>
        <item x="734"/>
        <item x="642"/>
        <item x="622"/>
        <item x="655"/>
        <item x="159"/>
        <item x="597"/>
        <item x="424"/>
        <item x="235"/>
        <item x="568"/>
        <item x="266"/>
        <item x="18"/>
        <item x="73"/>
        <item x="219"/>
        <item x="479"/>
        <item x="523"/>
        <item x="451"/>
        <item x="102"/>
        <item x="96"/>
        <item x="591"/>
        <item x="220"/>
        <item x="54"/>
        <item x="458"/>
        <item x="728"/>
        <item x="193"/>
        <item x="94"/>
        <item x="415"/>
        <item x="116"/>
        <item x="593"/>
        <item x="580"/>
        <item x="50"/>
        <item x="481"/>
        <item x="646"/>
        <item x="232"/>
        <item x="675"/>
        <item x="508"/>
        <item x="195"/>
        <item x="377"/>
        <item x="174"/>
        <item x="687"/>
        <item x="663"/>
        <item x="30"/>
        <item x="702"/>
        <item x="291"/>
        <item x="223"/>
        <item x="595"/>
        <item x="74"/>
        <item x="733"/>
        <item x="267"/>
        <item x="9"/>
        <item x="354"/>
        <item x="245"/>
        <item x="533"/>
        <item x="540"/>
        <item x="344"/>
        <item x="603"/>
        <item x="606"/>
        <item x="265"/>
        <item x="342"/>
        <item x="469"/>
        <item x="155"/>
        <item x="255"/>
        <item x="324"/>
        <item x="48"/>
        <item x="66"/>
        <item x="713"/>
        <item x="535"/>
        <item x="588"/>
        <item x="613"/>
        <item x="6"/>
        <item x="168"/>
        <item x="548"/>
        <item x="699"/>
        <item x="667"/>
        <item x="192"/>
        <item x="165"/>
        <item x="634"/>
        <item x="570"/>
        <item x="480"/>
        <item x="325"/>
        <item x="750"/>
        <item x="730"/>
        <item x="669"/>
        <item x="258"/>
        <item x="2"/>
        <item x="349"/>
        <item x="227"/>
        <item x="352"/>
        <item x="49"/>
        <item x="186"/>
        <item x="749"/>
        <item x="201"/>
        <item x="744"/>
        <item x="698"/>
        <item x="695"/>
        <item x="627"/>
        <item x="77"/>
        <item x="441"/>
        <item x="447"/>
        <item x="520"/>
        <item x="213"/>
        <item x="313"/>
        <item x="521"/>
        <item x="24"/>
        <item x="366"/>
        <item x="71"/>
        <item x="653"/>
        <item x="268"/>
        <item x="166"/>
        <item x="530"/>
        <item x="640"/>
        <item x="648"/>
        <item x="112"/>
        <item x="434"/>
        <item x="565"/>
        <item x="113"/>
        <item x="693"/>
        <item x="303"/>
        <item x="114"/>
        <item x="294"/>
        <item x="696"/>
        <item x="10"/>
        <item x="60"/>
        <item x="614"/>
        <item x="623"/>
        <item x="321"/>
        <item x="107"/>
        <item x="592"/>
        <item x="668"/>
        <item x="20"/>
        <item x="160"/>
        <item x="43"/>
        <item x="196"/>
        <item x="714"/>
        <item x="554"/>
        <item x="426"/>
        <item x="346"/>
        <item x="202"/>
        <item x="399"/>
        <item x="389"/>
        <item x="456"/>
        <item x="466"/>
        <item x="299"/>
        <item x="649"/>
        <item x="600"/>
        <item x="719"/>
        <item x="269"/>
        <item x="569"/>
        <item x="249"/>
        <item x="143"/>
        <item x="39"/>
        <item x="538"/>
        <item x="360"/>
        <item x="27"/>
        <item x="440"/>
        <item x="665"/>
        <item x="281"/>
        <item x="517"/>
        <item x="134"/>
        <item x="432"/>
        <item x="209"/>
        <item x="501"/>
        <item x="359"/>
        <item x="445"/>
        <item x="283"/>
        <item x="238"/>
        <item x="231"/>
        <item x="233"/>
        <item x="654"/>
        <item x="574"/>
        <item x="358"/>
        <item x="81"/>
        <item x="57"/>
        <item x="619"/>
        <item x="162"/>
        <item x="194"/>
        <item x="444"/>
        <item x="671"/>
        <item x="135"/>
        <item x="200"/>
        <item x="576"/>
        <item x="534"/>
        <item x="631"/>
        <item x="243"/>
        <item x="221"/>
        <item x="452"/>
        <item x="373"/>
        <item x="421"/>
        <item x="731"/>
        <item x="712"/>
        <item x="206"/>
        <item x="224"/>
        <item x="629"/>
        <item x="109"/>
        <item x="72"/>
        <item x="275"/>
        <item x="488"/>
        <item x="21"/>
        <item x="536"/>
        <item x="380"/>
        <item x="111"/>
        <item x="672"/>
        <item x="685"/>
        <item x="557"/>
        <item x="467"/>
        <item x="515"/>
        <item x="311"/>
        <item x="236"/>
        <item x="337"/>
        <item x="127"/>
        <item x="747"/>
        <item x="257"/>
        <item x="549"/>
        <item x="120"/>
        <item x="721"/>
        <item x="499"/>
        <item x="318"/>
        <item x="262"/>
        <item x="420"/>
        <item x="332"/>
        <item x="370"/>
        <item x="372"/>
        <item x="368"/>
        <item x="83"/>
        <item x="575"/>
        <item x="633"/>
        <item x="126"/>
        <item x="437"/>
        <item x="229"/>
        <item x="37"/>
        <item x="328"/>
        <item x="51"/>
        <item x="751"/>
        <item x="486"/>
        <item x="544"/>
        <item x="122"/>
        <item x="528"/>
        <item x="237"/>
        <item x="537"/>
        <item x="628"/>
        <item x="214"/>
        <item x="67"/>
        <item x="182"/>
        <item x="149"/>
        <item x="287"/>
        <item x="561"/>
        <item x="46"/>
        <item x="387"/>
        <item x="743"/>
        <item x="735"/>
        <item x="596"/>
        <item x="152"/>
        <item x="118"/>
        <item x="330"/>
        <item x="586"/>
        <item x="577"/>
        <item x="691"/>
        <item x="556"/>
        <item x="170"/>
        <item x="4"/>
        <item x="365"/>
        <item x="284"/>
        <item x="322"/>
        <item x="172"/>
        <item x="709"/>
        <item x="411"/>
        <item x="177"/>
        <item x="41"/>
        <item x="68"/>
        <item x="566"/>
        <item x="405"/>
        <item x="632"/>
        <item x="339"/>
        <item x="76"/>
        <item x="19"/>
        <item x="36"/>
        <item x="282"/>
        <item x="522"/>
        <item x="472"/>
        <item x="732"/>
        <item x="47"/>
        <item x="253"/>
        <item x="700"/>
        <item x="130"/>
        <item x="583"/>
        <item x="670"/>
        <item x="491"/>
        <item x="92"/>
        <item x="605"/>
        <item x="401"/>
        <item x="678"/>
        <item x="676"/>
        <item x="183"/>
        <item x="115"/>
        <item x="252"/>
        <item x="371"/>
        <item x="390"/>
        <item x="348"/>
        <item x="340"/>
        <item x="133"/>
        <item x="150"/>
        <item x="32"/>
        <item x="442"/>
        <item x="242"/>
        <item x="327"/>
        <item x="273"/>
        <item x="567"/>
        <item x="53"/>
        <item x="138"/>
        <item x="3"/>
        <item x="470"/>
        <item x="529"/>
        <item x="706"/>
        <item x="716"/>
        <item x="664"/>
        <item x="707"/>
        <item x="350"/>
        <item x="686"/>
        <item x="506"/>
        <item x="662"/>
        <item x="525"/>
        <item x="310"/>
        <item x="638"/>
        <item x="312"/>
        <item x="93"/>
        <item x="105"/>
        <item x="61"/>
        <item x="240"/>
        <item x="483"/>
        <item x="553"/>
        <item x="643"/>
        <item x="271"/>
        <item x="504"/>
        <item x="154"/>
        <item x="738"/>
        <item x="680"/>
        <item x="208"/>
        <item x="477"/>
        <item x="497"/>
        <item x="739"/>
        <item x="101"/>
        <item x="742"/>
        <item x="581"/>
        <item x="184"/>
        <item x="705"/>
        <item x="141"/>
        <item x="293"/>
        <item x="14"/>
        <item x="585"/>
        <item x="278"/>
        <item x="722"/>
        <item x="357"/>
        <item x="259"/>
        <item x="204"/>
        <item x="261"/>
        <item x="279"/>
        <item x="584"/>
        <item x="416"/>
        <item x="276"/>
        <item x="142"/>
        <item x="482"/>
        <item x="400"/>
        <item x="378"/>
        <item x="454"/>
        <item x="216"/>
        <item x="103"/>
        <item x="178"/>
        <item x="589"/>
        <item x="128"/>
        <item x="503"/>
        <item x="320"/>
        <item x="710"/>
        <item x="161"/>
        <item x="679"/>
        <item x="5"/>
        <item x="489"/>
        <item x="660"/>
        <item x="329"/>
        <item x="500"/>
        <item x="222"/>
        <item x="383"/>
        <item x="70"/>
        <item x="684"/>
        <item x="572"/>
        <item x="8"/>
        <item x="100"/>
        <item x="335"/>
        <item x="673"/>
        <item x="58"/>
        <item x="448"/>
        <item x="428"/>
        <item x="87"/>
        <item x="587"/>
        <item x="564"/>
        <item x="363"/>
        <item x="97"/>
        <item x="367"/>
        <item x="388"/>
        <item x="690"/>
        <item x="625"/>
        <item x="498"/>
        <item x="612"/>
        <item x="7"/>
        <item x="443"/>
        <item x="203"/>
        <item x="148"/>
        <item x="29"/>
        <item x="63"/>
        <item x="666"/>
        <item x="189"/>
        <item x="307"/>
        <item x="59"/>
        <item x="423"/>
        <item x="12"/>
        <item x="179"/>
        <item x="647"/>
        <item x="292"/>
        <item x="315"/>
        <item x="410"/>
        <item x="272"/>
        <item x="250"/>
        <item x="656"/>
        <item x="404"/>
        <item x="474"/>
        <item x="11"/>
        <item x="490"/>
        <item x="425"/>
        <item x="471"/>
        <item x="677"/>
        <item x="69"/>
        <item x="449"/>
        <item x="90"/>
        <item x="85"/>
        <item x="725"/>
        <item x="295"/>
        <item x="190"/>
        <item x="225"/>
        <item x="485"/>
        <item x="302"/>
        <item x="65"/>
        <item x="226"/>
        <item x="637"/>
        <item x="217"/>
        <item x="563"/>
        <item x="314"/>
        <item x="407"/>
        <item x="502"/>
        <item x="729"/>
        <item x="323"/>
        <item x="720"/>
        <item x="384"/>
        <item x="450"/>
        <item x="726"/>
        <item x="288"/>
        <item x="34"/>
        <item x="512"/>
        <item x="459"/>
        <item x="84"/>
        <item x="641"/>
        <item x="513"/>
        <item x="91"/>
        <item x="264"/>
        <item x="560"/>
        <item x="62"/>
        <item x="715"/>
        <item x="465"/>
        <item x="419"/>
        <item x="129"/>
        <item x="42"/>
        <item x="98"/>
        <item x="657"/>
        <item x="626"/>
        <item x="157"/>
        <item x="579"/>
        <item x="542"/>
        <item x="429"/>
        <item x="507"/>
        <item x="108"/>
        <item x="355"/>
        <item x="468"/>
        <item x="82"/>
        <item x="740"/>
        <item x="270"/>
        <item x="545"/>
        <item x="644"/>
        <item x="336"/>
        <item x="431"/>
        <item x="453"/>
        <item x="277"/>
        <item x="385"/>
        <item x="617"/>
        <item x="140"/>
        <item x="414"/>
        <item x="718"/>
        <item x="241"/>
        <item x="64"/>
        <item x="212"/>
        <item x="25"/>
        <item x="616"/>
        <item x="573"/>
        <item x="745"/>
        <item x="598"/>
        <item x="645"/>
        <item x="417"/>
        <item x="333"/>
        <item x="674"/>
        <item x="639"/>
        <item x="652"/>
        <item x="746"/>
        <item x="509"/>
        <item x="296"/>
        <item x="180"/>
        <item x="412"/>
        <item x="514"/>
        <item x="601"/>
        <item x="228"/>
        <item x="35"/>
        <item x="409"/>
        <item x="22"/>
        <item x="119"/>
        <item x="44"/>
        <item x="462"/>
        <item x="555"/>
        <item x="52"/>
        <item x="559"/>
        <item x="351"/>
        <item x="694"/>
        <item x="239"/>
        <item x="256"/>
        <item x="374"/>
        <item x="254"/>
        <item x="251"/>
        <item x="651"/>
        <item x="505"/>
        <item t="default"/>
      </items>
    </pivotField>
    <pivotField showAll="0">
      <items count="5">
        <item x="2"/>
        <item x="3"/>
        <item x="1"/>
        <item x="0"/>
        <item t="default"/>
      </items>
    </pivotField>
    <pivotField showAll="0">
      <items count="21">
        <item x="10"/>
        <item x="4"/>
        <item x="16"/>
        <item x="6"/>
        <item x="7"/>
        <item x="19"/>
        <item x="5"/>
        <item x="2"/>
        <item x="18"/>
        <item x="9"/>
        <item x="12"/>
        <item x="8"/>
        <item x="3"/>
        <item x="13"/>
        <item x="15"/>
        <item x="17"/>
        <item x="11"/>
        <item x="1"/>
        <item x="14"/>
        <item x="0"/>
        <item t="default"/>
      </items>
    </pivotField>
    <pivotField showAll="0">
      <items count="15">
        <item x="0"/>
        <item x="1"/>
        <item x="9"/>
        <item x="2"/>
        <item x="11"/>
        <item x="5"/>
        <item x="12"/>
        <item x="6"/>
        <item x="7"/>
        <item x="10"/>
        <item x="3"/>
        <item x="8"/>
        <item x="4"/>
        <item x="13"/>
        <item t="default"/>
      </items>
    </pivotField>
    <pivotField showAll="0">
      <items count="5">
        <item x="0"/>
        <item x="1"/>
        <item x="2"/>
        <item x="3"/>
        <item t="default"/>
      </items>
    </pivotField>
    <pivotField showAll="0"/>
    <pivotField numFmtId="164" showAll="0"/>
    <pivotField showAll="0"/>
    <pivotField dataField="1" numFmtId="164" showAll="0"/>
    <pivotField showAll="0"/>
    <pivotField showAll="0"/>
    <pivotField axis="axisRow" showAll="0">
      <items count="15">
        <item sd="0" x="0"/>
        <item sd="0" x="1"/>
        <item sd="0" x="2"/>
        <item sd="0" x="3"/>
        <item sd="0" x="4"/>
        <item sd="0" x="5"/>
        <item sd="0" x="6"/>
        <item sd="0" x="7"/>
        <item sd="0" x="8"/>
        <item sd="0" x="9"/>
        <item sd="0" x="10"/>
        <item sd="0" x="11"/>
        <item sd="0" x="12"/>
        <item h="1" sd="0" x="13"/>
        <item t="default" sd="0"/>
      </items>
    </pivotField>
    <pivotField showAll="0">
      <items count="7">
        <item sd="0" x="0"/>
        <item sd="0" x="1"/>
        <item sd="0" x="2"/>
        <item sd="0" x="3"/>
        <item sd="0" x="4"/>
        <item sd="0" x="5"/>
        <item t="default"/>
      </items>
    </pivotField>
    <pivotField axis="axisCol" showAll="0">
      <items count="6">
        <item x="0"/>
        <item h="1" x="1"/>
        <item x="2"/>
        <item x="3"/>
        <item x="4"/>
        <item t="default"/>
      </items>
    </pivotField>
  </pivotFields>
  <rowFields count="1">
    <field x="13"/>
  </rowFields>
  <rowItems count="13">
    <i>
      <x v="1"/>
    </i>
    <i>
      <x v="2"/>
    </i>
    <i>
      <x v="3"/>
    </i>
    <i>
      <x v="4"/>
    </i>
    <i>
      <x v="5"/>
    </i>
    <i>
      <x v="6"/>
    </i>
    <i>
      <x v="7"/>
    </i>
    <i>
      <x v="8"/>
    </i>
    <i>
      <x v="9"/>
    </i>
    <i>
      <x v="10"/>
    </i>
    <i>
      <x v="11"/>
    </i>
    <i>
      <x v="12"/>
    </i>
    <i t="grand">
      <x/>
    </i>
  </rowItems>
  <colFields count="1">
    <field x="15"/>
  </colFields>
  <colItems count="3">
    <i>
      <x v="2"/>
    </i>
    <i>
      <x v="3"/>
    </i>
    <i t="grand">
      <x/>
    </i>
  </colItems>
  <dataFields count="1">
    <dataField name="Average of Total Amount" fld="10" subtotal="average" baseField="13" baseItem="1" numFmtId="164"/>
  </dataFields>
  <chartFormats count="6">
    <chartFormat chart="8" format="8" series="1">
      <pivotArea type="data" outline="0" fieldPosition="0">
        <references count="2">
          <reference field="4294967294" count="1" selected="0">
            <x v="0"/>
          </reference>
          <reference field="15" count="1" selected="0">
            <x v="2"/>
          </reference>
        </references>
      </pivotArea>
    </chartFormat>
    <chartFormat chart="8" format="9" series="1">
      <pivotArea type="data" outline="0" fieldPosition="0">
        <references count="2">
          <reference field="4294967294" count="1" selected="0">
            <x v="0"/>
          </reference>
          <reference field="15" count="1" selected="0">
            <x v="3"/>
          </reference>
        </references>
      </pivotArea>
    </chartFormat>
    <chartFormat chart="11" format="12" series="1">
      <pivotArea type="data" outline="0" fieldPosition="0">
        <references count="2">
          <reference field="4294967294" count="1" selected="0">
            <x v="0"/>
          </reference>
          <reference field="15" count="1" selected="0">
            <x v="2"/>
          </reference>
        </references>
      </pivotArea>
    </chartFormat>
    <chartFormat chart="11" format="13" series="1">
      <pivotArea type="data" outline="0" fieldPosition="0">
        <references count="2">
          <reference field="4294967294" count="1" selected="0">
            <x v="0"/>
          </reference>
          <reference field="15" count="1" selected="0">
            <x v="3"/>
          </reference>
        </references>
      </pivotArea>
    </chartFormat>
    <chartFormat chart="11" format="14"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5B4212-C6FE-4256-9CF8-82CB34104A16}" sourceName="Region">
  <pivotTables>
    <pivotTable tabId="7" name="PivotTable5"/>
    <pivotTable tabId="7" name="PivotTable1"/>
    <pivotTable tabId="7" name="PivotTable3"/>
    <pivotTable tabId="7" name="PivotTable4"/>
    <pivotTable tabId="7" name="PivotTable6"/>
  </pivotTables>
  <data>
    <tabular pivotCacheId="454212987">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2049517-7B9F-4A69-8574-BBE4F21AC418}" sourceName="Product">
  <pivotTables>
    <pivotTable tabId="7" name="PivotTable6"/>
    <pivotTable tabId="7" name="PivotTable1"/>
    <pivotTable tabId="7" name="PivotTable3"/>
    <pivotTable tabId="7" name="PivotTable4"/>
    <pivotTable tabId="7" name="PivotTable5"/>
  </pivotTables>
  <data>
    <tabular pivotCacheId="454212987">
      <items count="14">
        <i x="0" s="1"/>
        <i x="1" s="1"/>
        <i x="9" s="1"/>
        <i x="2" s="1"/>
        <i x="11" s="1"/>
        <i x="5" s="1"/>
        <i x="12" s="1"/>
        <i x="6" s="1"/>
        <i x="7" s="1"/>
        <i x="10" s="1"/>
        <i x="3" s="1"/>
        <i x="8" s="1"/>
        <i x="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D71CA4C-7FA4-492C-B7FF-4D489FBCDECF}" cache="Slicer_Region" caption="Region" rowHeight="260350"/>
  <slicer name="Product" xr10:uid="{CA4D83E3-56F3-4D25-B73F-3DE00A90F54D}" cache="Slicer_Product" caption="Product" startItem="8"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C23" sqref="C23"/>
    </sheetView>
  </sheetViews>
  <sheetFormatPr defaultRowHeight="15.6" x14ac:dyDescent="0.3"/>
  <cols>
    <col min="1" max="1" width="12.796875" customWidth="1"/>
    <col min="2" max="2" width="22.796875" customWidth="1"/>
    <col min="3" max="3" width="17.796875" customWidth="1"/>
    <col min="4" max="4" width="13.796875" customWidth="1"/>
    <col min="5" max="5" width="10.796875" customWidth="1"/>
    <col min="6" max="6" width="12.796875" customWidth="1"/>
    <col min="7" max="8" width="14.796875" customWidth="1"/>
    <col min="9" max="9" width="8.796875" customWidth="1"/>
    <col min="10" max="10" width="10.796875" customWidth="1"/>
    <col min="11" max="11" width="12.796875" customWidth="1"/>
    <col min="12" max="12" width="16.796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v>31</v>
      </c>
      <c r="F2">
        <v>118.96</v>
      </c>
      <c r="G2">
        <v>2950.21</v>
      </c>
      <c r="H2">
        <v>20</v>
      </c>
      <c r="I2" t="s">
        <v>16</v>
      </c>
      <c r="J2" t="s">
        <v>17</v>
      </c>
      <c r="K2" t="s">
        <v>18</v>
      </c>
      <c r="L2" t="s">
        <v>19</v>
      </c>
    </row>
    <row r="3" spans="1:12" x14ac:dyDescent="0.3">
      <c r="A3" t="s">
        <v>20</v>
      </c>
      <c r="B3" t="s">
        <v>21</v>
      </c>
      <c r="C3" t="s">
        <v>22</v>
      </c>
      <c r="D3" t="s">
        <v>23</v>
      </c>
      <c r="E3">
        <v>42</v>
      </c>
      <c r="F3">
        <v>31.59</v>
      </c>
      <c r="G3">
        <v>1194.0999999999999</v>
      </c>
      <c r="H3">
        <v>10</v>
      </c>
      <c r="I3" t="s">
        <v>24</v>
      </c>
      <c r="J3" t="s">
        <v>25</v>
      </c>
      <c r="K3" t="s">
        <v>26</v>
      </c>
      <c r="L3" t="s">
        <v>27</v>
      </c>
    </row>
    <row r="4" spans="1:12" x14ac:dyDescent="0.3">
      <c r="A4" t="s">
        <v>28</v>
      </c>
      <c r="B4" t="s">
        <v>29</v>
      </c>
      <c r="C4" t="s">
        <v>22</v>
      </c>
      <c r="D4" t="s">
        <v>23</v>
      </c>
      <c r="E4">
        <v>26</v>
      </c>
      <c r="F4">
        <v>38.75</v>
      </c>
      <c r="G4">
        <v>906.75</v>
      </c>
      <c r="H4">
        <v>10</v>
      </c>
      <c r="I4" t="s">
        <v>24</v>
      </c>
      <c r="J4" t="s">
        <v>25</v>
      </c>
      <c r="K4" t="s">
        <v>30</v>
      </c>
      <c r="L4" t="s">
        <v>31</v>
      </c>
    </row>
    <row r="5" spans="1:12" x14ac:dyDescent="0.3">
      <c r="A5" t="s">
        <v>32</v>
      </c>
      <c r="B5" t="s">
        <v>33</v>
      </c>
      <c r="C5" t="s">
        <v>34</v>
      </c>
      <c r="D5" t="s">
        <v>35</v>
      </c>
      <c r="E5">
        <v>44</v>
      </c>
      <c r="F5">
        <v>430.93</v>
      </c>
      <c r="G5">
        <v>18012.87</v>
      </c>
      <c r="H5">
        <v>5</v>
      </c>
      <c r="I5" t="s">
        <v>24</v>
      </c>
      <c r="J5" t="s">
        <v>36</v>
      </c>
      <c r="K5" t="s">
        <v>37</v>
      </c>
      <c r="L5" t="s">
        <v>27</v>
      </c>
    </row>
    <row r="6" spans="1:12" x14ac:dyDescent="0.3">
      <c r="A6" t="s">
        <v>38</v>
      </c>
      <c r="B6" t="s">
        <v>39</v>
      </c>
      <c r="C6" t="s">
        <v>40</v>
      </c>
      <c r="D6" t="s">
        <v>23</v>
      </c>
      <c r="E6">
        <v>10</v>
      </c>
      <c r="F6">
        <v>66</v>
      </c>
      <c r="G6">
        <v>627</v>
      </c>
      <c r="H6">
        <v>5</v>
      </c>
      <c r="I6" t="s">
        <v>24</v>
      </c>
      <c r="J6" t="s">
        <v>41</v>
      </c>
      <c r="K6" t="s">
        <v>42</v>
      </c>
      <c r="L6" t="s">
        <v>31</v>
      </c>
    </row>
    <row r="7" spans="1:12" x14ac:dyDescent="0.3">
      <c r="A7" t="s">
        <v>43</v>
      </c>
      <c r="B7" t="s">
        <v>44</v>
      </c>
      <c r="C7" t="s">
        <v>45</v>
      </c>
      <c r="D7" t="s">
        <v>23</v>
      </c>
      <c r="E7">
        <v>16</v>
      </c>
      <c r="F7">
        <v>138.99</v>
      </c>
      <c r="G7">
        <v>2223.84</v>
      </c>
      <c r="H7">
        <v>0</v>
      </c>
      <c r="I7" t="s">
        <v>46</v>
      </c>
      <c r="J7" t="s">
        <v>47</v>
      </c>
      <c r="K7" t="s">
        <v>48</v>
      </c>
      <c r="L7" t="s">
        <v>49</v>
      </c>
    </row>
    <row r="8" spans="1:12" x14ac:dyDescent="0.3">
      <c r="A8" t="s">
        <v>50</v>
      </c>
      <c r="B8" t="s">
        <v>51</v>
      </c>
      <c r="C8" t="s">
        <v>52</v>
      </c>
      <c r="D8" t="s">
        <v>35</v>
      </c>
      <c r="E8">
        <v>8</v>
      </c>
      <c r="F8">
        <v>127.72</v>
      </c>
      <c r="G8">
        <v>919.58</v>
      </c>
      <c r="H8">
        <v>10</v>
      </c>
      <c r="I8" t="s">
        <v>53</v>
      </c>
      <c r="J8" t="s">
        <v>54</v>
      </c>
      <c r="K8" t="s">
        <v>55</v>
      </c>
      <c r="L8" t="s">
        <v>49</v>
      </c>
    </row>
    <row r="9" spans="1:12" x14ac:dyDescent="0.3">
      <c r="A9" t="s">
        <v>56</v>
      </c>
      <c r="B9" t="s">
        <v>57</v>
      </c>
      <c r="C9" t="s">
        <v>58</v>
      </c>
      <c r="D9" t="s">
        <v>35</v>
      </c>
      <c r="E9">
        <v>40</v>
      </c>
      <c r="F9">
        <v>433.18</v>
      </c>
      <c r="G9">
        <v>16460.84</v>
      </c>
      <c r="H9">
        <v>5</v>
      </c>
      <c r="I9" t="s">
        <v>24</v>
      </c>
      <c r="J9" t="s">
        <v>59</v>
      </c>
      <c r="K9" t="s">
        <v>60</v>
      </c>
      <c r="L9" t="s">
        <v>19</v>
      </c>
    </row>
    <row r="10" spans="1:12" x14ac:dyDescent="0.3">
      <c r="A10" t="s">
        <v>61</v>
      </c>
      <c r="B10" t="s">
        <v>62</v>
      </c>
      <c r="C10" t="s">
        <v>63</v>
      </c>
      <c r="D10" t="s">
        <v>15</v>
      </c>
      <c r="E10">
        <v>11</v>
      </c>
      <c r="F10">
        <v>54.47</v>
      </c>
      <c r="G10">
        <v>569.21</v>
      </c>
      <c r="H10">
        <v>5</v>
      </c>
      <c r="I10" t="s">
        <v>24</v>
      </c>
      <c r="J10" t="s">
        <v>59</v>
      </c>
      <c r="K10" t="s">
        <v>64</v>
      </c>
      <c r="L10" t="s">
        <v>27</v>
      </c>
    </row>
    <row r="11" spans="1:12" x14ac:dyDescent="0.3">
      <c r="A11" t="s">
        <v>65</v>
      </c>
      <c r="B11" t="s">
        <v>66</v>
      </c>
      <c r="C11" t="s">
        <v>52</v>
      </c>
      <c r="D11" t="s">
        <v>35</v>
      </c>
      <c r="E11">
        <v>22</v>
      </c>
      <c r="F11">
        <v>160.16999999999999</v>
      </c>
      <c r="G11">
        <v>2995.18</v>
      </c>
      <c r="H11">
        <v>15</v>
      </c>
      <c r="I11" t="s">
        <v>53</v>
      </c>
      <c r="J11" t="s">
        <v>67</v>
      </c>
      <c r="K11" t="s">
        <v>68</v>
      </c>
      <c r="L11" t="s">
        <v>69</v>
      </c>
    </row>
    <row r="12" spans="1:12" x14ac:dyDescent="0.3">
      <c r="A12" t="s">
        <v>70</v>
      </c>
      <c r="B12" t="s">
        <v>71</v>
      </c>
      <c r="C12" t="s">
        <v>72</v>
      </c>
      <c r="D12" t="s">
        <v>73</v>
      </c>
      <c r="E12">
        <v>4</v>
      </c>
      <c r="F12">
        <v>327.74</v>
      </c>
      <c r="G12">
        <v>1179.8599999999999</v>
      </c>
      <c r="H12">
        <v>10</v>
      </c>
      <c r="I12" t="s">
        <v>16</v>
      </c>
      <c r="J12" t="s">
        <v>74</v>
      </c>
      <c r="K12" t="s">
        <v>75</v>
      </c>
      <c r="L12" t="s">
        <v>49</v>
      </c>
    </row>
    <row r="13" spans="1:12" x14ac:dyDescent="0.3">
      <c r="A13" t="s">
        <v>76</v>
      </c>
      <c r="B13" t="s">
        <v>77</v>
      </c>
      <c r="C13" t="s">
        <v>63</v>
      </c>
      <c r="D13" t="s">
        <v>15</v>
      </c>
      <c r="E13">
        <v>28</v>
      </c>
      <c r="F13">
        <v>67.16</v>
      </c>
      <c r="G13">
        <v>1786.46</v>
      </c>
      <c r="H13">
        <v>5</v>
      </c>
      <c r="I13" t="s">
        <v>46</v>
      </c>
      <c r="J13" t="s">
        <v>78</v>
      </c>
      <c r="K13" t="s">
        <v>79</v>
      </c>
      <c r="L13" t="s">
        <v>27</v>
      </c>
    </row>
    <row r="14" spans="1:12" x14ac:dyDescent="0.3">
      <c r="A14" t="s">
        <v>80</v>
      </c>
      <c r="B14" t="s">
        <v>81</v>
      </c>
      <c r="C14" t="s">
        <v>82</v>
      </c>
      <c r="D14" t="s">
        <v>73</v>
      </c>
      <c r="E14">
        <v>14</v>
      </c>
      <c r="F14">
        <v>546.63</v>
      </c>
      <c r="G14">
        <v>7652.82</v>
      </c>
      <c r="H14">
        <v>0</v>
      </c>
      <c r="I14" t="s">
        <v>46</v>
      </c>
      <c r="J14" t="s">
        <v>83</v>
      </c>
      <c r="K14" t="s">
        <v>84</v>
      </c>
      <c r="L14" t="s">
        <v>69</v>
      </c>
    </row>
    <row r="15" spans="1:12" x14ac:dyDescent="0.3">
      <c r="A15" t="s">
        <v>85</v>
      </c>
      <c r="B15" t="s">
        <v>86</v>
      </c>
      <c r="C15" t="s">
        <v>52</v>
      </c>
      <c r="D15" t="s">
        <v>35</v>
      </c>
      <c r="E15">
        <v>21</v>
      </c>
      <c r="F15">
        <v>110.99</v>
      </c>
      <c r="G15">
        <v>2330.79</v>
      </c>
      <c r="H15">
        <v>0</v>
      </c>
      <c r="I15" t="s">
        <v>24</v>
      </c>
      <c r="J15" t="s">
        <v>25</v>
      </c>
      <c r="K15" t="s">
        <v>87</v>
      </c>
      <c r="L15" t="s">
        <v>49</v>
      </c>
    </row>
    <row r="16" spans="1:12" x14ac:dyDescent="0.3">
      <c r="A16" t="s">
        <v>88</v>
      </c>
      <c r="B16" t="s">
        <v>89</v>
      </c>
      <c r="C16" t="s">
        <v>90</v>
      </c>
      <c r="D16" t="s">
        <v>23</v>
      </c>
      <c r="E16">
        <v>10</v>
      </c>
      <c r="F16">
        <v>15.82</v>
      </c>
      <c r="G16">
        <v>134.47</v>
      </c>
      <c r="H16">
        <v>15</v>
      </c>
      <c r="I16" t="s">
        <v>16</v>
      </c>
      <c r="J16" t="s">
        <v>91</v>
      </c>
      <c r="K16" t="s">
        <v>92</v>
      </c>
      <c r="L16" t="s">
        <v>27</v>
      </c>
    </row>
    <row r="17" spans="1:12" x14ac:dyDescent="0.3">
      <c r="A17" t="s">
        <v>93</v>
      </c>
      <c r="B17" t="s">
        <v>94</v>
      </c>
      <c r="C17" t="s">
        <v>95</v>
      </c>
      <c r="D17" t="s">
        <v>35</v>
      </c>
      <c r="E17">
        <v>27</v>
      </c>
      <c r="F17">
        <v>981.57</v>
      </c>
      <c r="G17">
        <v>26502.39</v>
      </c>
      <c r="H17">
        <v>0</v>
      </c>
      <c r="I17" t="s">
        <v>46</v>
      </c>
      <c r="J17" t="s">
        <v>78</v>
      </c>
      <c r="K17" t="s">
        <v>96</v>
      </c>
      <c r="L17" t="s">
        <v>49</v>
      </c>
    </row>
    <row r="18" spans="1:12" x14ac:dyDescent="0.3">
      <c r="A18" t="s">
        <v>97</v>
      </c>
      <c r="B18" t="s">
        <v>98</v>
      </c>
      <c r="C18" t="s">
        <v>99</v>
      </c>
      <c r="D18" t="s">
        <v>23</v>
      </c>
      <c r="E18">
        <v>30</v>
      </c>
      <c r="F18">
        <v>29.95</v>
      </c>
      <c r="G18">
        <v>853.58</v>
      </c>
      <c r="H18">
        <v>5</v>
      </c>
      <c r="I18" t="s">
        <v>46</v>
      </c>
      <c r="J18" t="s">
        <v>78</v>
      </c>
      <c r="K18" t="s">
        <v>100</v>
      </c>
      <c r="L18" t="s">
        <v>27</v>
      </c>
    </row>
    <row r="19" spans="1:12" x14ac:dyDescent="0.3">
      <c r="A19" t="s">
        <v>101</v>
      </c>
      <c r="B19" t="s">
        <v>102</v>
      </c>
      <c r="C19" t="s">
        <v>103</v>
      </c>
      <c r="D19" t="s">
        <v>35</v>
      </c>
      <c r="E19">
        <v>18</v>
      </c>
      <c r="F19">
        <v>388.68</v>
      </c>
      <c r="G19">
        <v>6646.43</v>
      </c>
      <c r="H19">
        <v>5</v>
      </c>
      <c r="I19" t="s">
        <v>24</v>
      </c>
      <c r="J19" t="s">
        <v>104</v>
      </c>
      <c r="K19" t="s">
        <v>105</v>
      </c>
      <c r="L19" t="s">
        <v>27</v>
      </c>
    </row>
    <row r="20" spans="1:12" x14ac:dyDescent="0.3">
      <c r="A20" t="s">
        <v>106</v>
      </c>
      <c r="B20" t="s">
        <v>107</v>
      </c>
      <c r="C20" t="s">
        <v>103</v>
      </c>
      <c r="D20" t="s">
        <v>35</v>
      </c>
      <c r="E20">
        <v>32</v>
      </c>
      <c r="F20">
        <v>385.06</v>
      </c>
      <c r="G20">
        <v>11705.82</v>
      </c>
      <c r="H20">
        <v>5</v>
      </c>
      <c r="I20" t="s">
        <v>53</v>
      </c>
      <c r="J20" t="s">
        <v>67</v>
      </c>
      <c r="K20" t="s">
        <v>108</v>
      </c>
      <c r="L20" t="s">
        <v>31</v>
      </c>
    </row>
    <row r="21" spans="1:12" x14ac:dyDescent="0.3">
      <c r="A21" t="s">
        <v>109</v>
      </c>
      <c r="B21" t="s">
        <v>110</v>
      </c>
      <c r="C21" t="s">
        <v>52</v>
      </c>
      <c r="D21" t="s">
        <v>35</v>
      </c>
      <c r="E21">
        <v>20</v>
      </c>
      <c r="F21">
        <v>238.17</v>
      </c>
      <c r="G21">
        <v>4763.3999999999996</v>
      </c>
      <c r="H21">
        <v>0</v>
      </c>
      <c r="I21" t="s">
        <v>16</v>
      </c>
      <c r="J21" t="s">
        <v>111</v>
      </c>
      <c r="K21" t="s">
        <v>112</v>
      </c>
      <c r="L21" t="s">
        <v>69</v>
      </c>
    </row>
    <row r="22" spans="1:12" x14ac:dyDescent="0.3">
      <c r="A22" t="s">
        <v>113</v>
      </c>
      <c r="B22" t="s">
        <v>114</v>
      </c>
      <c r="C22" t="s">
        <v>40</v>
      </c>
      <c r="D22" t="s">
        <v>23</v>
      </c>
      <c r="E22">
        <v>19</v>
      </c>
      <c r="F22">
        <v>41.57</v>
      </c>
      <c r="G22">
        <v>789.83</v>
      </c>
      <c r="H22">
        <v>0</v>
      </c>
      <c r="I22" t="s">
        <v>24</v>
      </c>
      <c r="J22" t="s">
        <v>36</v>
      </c>
      <c r="K22" t="s">
        <v>115</v>
      </c>
      <c r="L22" t="s">
        <v>19</v>
      </c>
    </row>
    <row r="23" spans="1:12" x14ac:dyDescent="0.3">
      <c r="A23" t="s">
        <v>116</v>
      </c>
      <c r="B23" t="s">
        <v>117</v>
      </c>
      <c r="C23" t="s">
        <v>63</v>
      </c>
      <c r="D23" t="s">
        <v>15</v>
      </c>
      <c r="E23">
        <v>49</v>
      </c>
      <c r="F23">
        <v>77.010000000000005</v>
      </c>
      <c r="G23">
        <v>3773.49</v>
      </c>
      <c r="H23">
        <v>0</v>
      </c>
      <c r="I23" t="s">
        <v>53</v>
      </c>
      <c r="J23" t="s">
        <v>67</v>
      </c>
      <c r="K23" t="s">
        <v>118</v>
      </c>
      <c r="L23" t="s">
        <v>31</v>
      </c>
    </row>
    <row r="24" spans="1:12" x14ac:dyDescent="0.3">
      <c r="A24" t="s">
        <v>119</v>
      </c>
      <c r="B24" t="s">
        <v>120</v>
      </c>
      <c r="C24" t="s">
        <v>14</v>
      </c>
      <c r="D24" t="s">
        <v>15</v>
      </c>
      <c r="E24">
        <v>41</v>
      </c>
      <c r="F24">
        <v>102.97</v>
      </c>
      <c r="G24">
        <v>3588.5</v>
      </c>
      <c r="H24">
        <v>15</v>
      </c>
      <c r="I24" t="s">
        <v>46</v>
      </c>
      <c r="J24" t="s">
        <v>83</v>
      </c>
      <c r="K24" t="s">
        <v>84</v>
      </c>
      <c r="L24" t="s">
        <v>19</v>
      </c>
    </row>
    <row r="25" spans="1:12" x14ac:dyDescent="0.3">
      <c r="A25" t="s">
        <v>121</v>
      </c>
      <c r="B25" t="s">
        <v>122</v>
      </c>
      <c r="C25" t="s">
        <v>123</v>
      </c>
      <c r="D25" t="s">
        <v>15</v>
      </c>
      <c r="E25">
        <v>1</v>
      </c>
      <c r="F25">
        <v>27.61</v>
      </c>
      <c r="G25">
        <v>27.61</v>
      </c>
      <c r="H25">
        <v>0</v>
      </c>
      <c r="I25" t="s">
        <v>46</v>
      </c>
      <c r="J25" t="s">
        <v>124</v>
      </c>
      <c r="K25" t="s">
        <v>125</v>
      </c>
      <c r="L25" t="s">
        <v>49</v>
      </c>
    </row>
    <row r="26" spans="1:12" x14ac:dyDescent="0.3">
      <c r="A26" t="s">
        <v>126</v>
      </c>
      <c r="B26" t="s">
        <v>127</v>
      </c>
      <c r="C26" t="s">
        <v>45</v>
      </c>
      <c r="D26" t="s">
        <v>23</v>
      </c>
      <c r="E26">
        <v>26</v>
      </c>
      <c r="F26">
        <v>195.27</v>
      </c>
      <c r="G26">
        <v>4061.62</v>
      </c>
      <c r="H26">
        <v>20</v>
      </c>
      <c r="I26" t="s">
        <v>46</v>
      </c>
      <c r="J26" t="s">
        <v>124</v>
      </c>
      <c r="K26" t="s">
        <v>128</v>
      </c>
      <c r="L26" t="s">
        <v>27</v>
      </c>
    </row>
    <row r="27" spans="1:12" x14ac:dyDescent="0.3">
      <c r="A27" t="s">
        <v>129</v>
      </c>
      <c r="B27" t="s">
        <v>130</v>
      </c>
      <c r="C27" t="s">
        <v>52</v>
      </c>
      <c r="D27" t="s">
        <v>35</v>
      </c>
      <c r="E27">
        <v>7</v>
      </c>
      <c r="F27">
        <v>285.07</v>
      </c>
      <c r="G27">
        <v>1795.94</v>
      </c>
      <c r="H27">
        <v>10</v>
      </c>
      <c r="I27" t="s">
        <v>16</v>
      </c>
      <c r="J27" t="s">
        <v>91</v>
      </c>
      <c r="K27" t="s">
        <v>131</v>
      </c>
      <c r="L27" t="s">
        <v>19</v>
      </c>
    </row>
    <row r="28" spans="1:12" x14ac:dyDescent="0.3">
      <c r="A28" t="s">
        <v>132</v>
      </c>
      <c r="B28" t="s">
        <v>133</v>
      </c>
      <c r="C28" t="s">
        <v>95</v>
      </c>
      <c r="D28" t="s">
        <v>35</v>
      </c>
      <c r="E28">
        <v>50</v>
      </c>
      <c r="F28">
        <v>1158.33</v>
      </c>
      <c r="G28">
        <v>46333.2</v>
      </c>
      <c r="H28">
        <v>20</v>
      </c>
      <c r="I28" t="s">
        <v>53</v>
      </c>
      <c r="J28" t="s">
        <v>134</v>
      </c>
      <c r="K28" t="s">
        <v>135</v>
      </c>
      <c r="L28" t="s">
        <v>19</v>
      </c>
    </row>
    <row r="29" spans="1:12" x14ac:dyDescent="0.3">
      <c r="A29" t="s">
        <v>136</v>
      </c>
      <c r="B29" t="s">
        <v>137</v>
      </c>
      <c r="C29" t="s">
        <v>52</v>
      </c>
      <c r="D29" t="s">
        <v>35</v>
      </c>
      <c r="E29">
        <v>39</v>
      </c>
      <c r="F29">
        <v>290.32</v>
      </c>
      <c r="G29">
        <v>10190.23</v>
      </c>
      <c r="H29">
        <v>10</v>
      </c>
      <c r="I29" t="s">
        <v>46</v>
      </c>
      <c r="J29" t="s">
        <v>124</v>
      </c>
      <c r="K29" t="s">
        <v>138</v>
      </c>
      <c r="L29" t="s">
        <v>19</v>
      </c>
    </row>
    <row r="30" spans="1:12" x14ac:dyDescent="0.3">
      <c r="A30" t="s">
        <v>139</v>
      </c>
      <c r="B30" t="s">
        <v>140</v>
      </c>
      <c r="C30" t="s">
        <v>72</v>
      </c>
      <c r="D30" t="s">
        <v>73</v>
      </c>
      <c r="E30">
        <v>35</v>
      </c>
      <c r="F30">
        <v>448.85</v>
      </c>
      <c r="G30">
        <v>15709.75</v>
      </c>
      <c r="H30">
        <v>0</v>
      </c>
      <c r="I30" t="s">
        <v>53</v>
      </c>
      <c r="J30" t="s">
        <v>141</v>
      </c>
      <c r="K30" t="s">
        <v>142</v>
      </c>
      <c r="L30" t="s">
        <v>31</v>
      </c>
    </row>
    <row r="31" spans="1:12" x14ac:dyDescent="0.3">
      <c r="A31" t="s">
        <v>143</v>
      </c>
      <c r="B31" t="s">
        <v>144</v>
      </c>
      <c r="C31" t="s">
        <v>34</v>
      </c>
      <c r="D31" t="s">
        <v>35</v>
      </c>
      <c r="E31">
        <v>19</v>
      </c>
      <c r="F31">
        <v>648.41</v>
      </c>
      <c r="G31">
        <v>12319.79</v>
      </c>
      <c r="H31">
        <v>0</v>
      </c>
      <c r="I31" t="s">
        <v>16</v>
      </c>
      <c r="J31" t="s">
        <v>111</v>
      </c>
      <c r="K31" t="s">
        <v>145</v>
      </c>
      <c r="L31" t="s">
        <v>19</v>
      </c>
    </row>
    <row r="32" spans="1:12" x14ac:dyDescent="0.3">
      <c r="A32" t="s">
        <v>146</v>
      </c>
      <c r="B32" t="s">
        <v>147</v>
      </c>
      <c r="C32" t="s">
        <v>14</v>
      </c>
      <c r="D32" t="s">
        <v>15</v>
      </c>
      <c r="E32">
        <v>33</v>
      </c>
      <c r="F32">
        <v>45.28</v>
      </c>
      <c r="G32">
        <v>1494.24</v>
      </c>
      <c r="H32">
        <v>0</v>
      </c>
      <c r="I32" t="s">
        <v>46</v>
      </c>
      <c r="J32" t="s">
        <v>47</v>
      </c>
      <c r="K32" t="s">
        <v>148</v>
      </c>
      <c r="L32" t="s">
        <v>31</v>
      </c>
    </row>
    <row r="33" spans="1:12" x14ac:dyDescent="0.3">
      <c r="A33" t="s">
        <v>149</v>
      </c>
      <c r="B33" t="s">
        <v>150</v>
      </c>
      <c r="C33" t="s">
        <v>14</v>
      </c>
      <c r="D33" t="s">
        <v>15</v>
      </c>
      <c r="E33">
        <v>20</v>
      </c>
      <c r="F33">
        <v>97.14</v>
      </c>
      <c r="G33">
        <v>1651.38</v>
      </c>
      <c r="H33">
        <v>15</v>
      </c>
      <c r="I33" t="s">
        <v>24</v>
      </c>
      <c r="J33" t="s">
        <v>104</v>
      </c>
      <c r="K33" t="s">
        <v>151</v>
      </c>
      <c r="L33" t="s">
        <v>31</v>
      </c>
    </row>
    <row r="34" spans="1:12" x14ac:dyDescent="0.3">
      <c r="A34" t="s">
        <v>152</v>
      </c>
      <c r="B34" t="s">
        <v>153</v>
      </c>
      <c r="C34" t="s">
        <v>103</v>
      </c>
      <c r="D34" t="s">
        <v>35</v>
      </c>
      <c r="E34">
        <v>30</v>
      </c>
      <c r="F34">
        <v>263.38</v>
      </c>
      <c r="G34">
        <v>7901.4</v>
      </c>
      <c r="H34">
        <v>0</v>
      </c>
      <c r="I34" t="s">
        <v>24</v>
      </c>
      <c r="J34" t="s">
        <v>59</v>
      </c>
      <c r="K34" t="s">
        <v>154</v>
      </c>
      <c r="L34" t="s">
        <v>19</v>
      </c>
    </row>
    <row r="35" spans="1:12" x14ac:dyDescent="0.3">
      <c r="A35" t="s">
        <v>155</v>
      </c>
      <c r="B35" t="s">
        <v>156</v>
      </c>
      <c r="C35" t="s">
        <v>103</v>
      </c>
      <c r="D35" t="s">
        <v>35</v>
      </c>
      <c r="E35">
        <v>8</v>
      </c>
      <c r="F35">
        <v>314.86</v>
      </c>
      <c r="G35">
        <v>2141.0500000000002</v>
      </c>
      <c r="H35">
        <v>15</v>
      </c>
      <c r="I35" t="s">
        <v>53</v>
      </c>
      <c r="J35" t="s">
        <v>141</v>
      </c>
      <c r="K35" t="s">
        <v>157</v>
      </c>
      <c r="L35" t="s">
        <v>27</v>
      </c>
    </row>
    <row r="36" spans="1:12" x14ac:dyDescent="0.3">
      <c r="A36" t="s">
        <v>158</v>
      </c>
      <c r="B36" t="s">
        <v>159</v>
      </c>
      <c r="C36" t="s">
        <v>22</v>
      </c>
      <c r="D36" t="s">
        <v>23</v>
      </c>
      <c r="E36">
        <v>27</v>
      </c>
      <c r="F36">
        <v>29.9</v>
      </c>
      <c r="G36">
        <v>766.94</v>
      </c>
      <c r="H36">
        <v>5</v>
      </c>
      <c r="I36" t="s">
        <v>16</v>
      </c>
      <c r="J36" t="s">
        <v>160</v>
      </c>
      <c r="K36" t="s">
        <v>161</v>
      </c>
      <c r="L36" t="s">
        <v>19</v>
      </c>
    </row>
    <row r="37" spans="1:12" x14ac:dyDescent="0.3">
      <c r="A37" t="s">
        <v>162</v>
      </c>
      <c r="B37" t="s">
        <v>163</v>
      </c>
      <c r="C37" t="s">
        <v>103</v>
      </c>
      <c r="D37" t="s">
        <v>35</v>
      </c>
      <c r="E37">
        <v>40</v>
      </c>
      <c r="F37">
        <v>543.13</v>
      </c>
      <c r="G37">
        <v>18466.419999999998</v>
      </c>
      <c r="H37">
        <v>15</v>
      </c>
      <c r="I37" t="s">
        <v>46</v>
      </c>
      <c r="J37" t="s">
        <v>47</v>
      </c>
      <c r="K37" t="s">
        <v>164</v>
      </c>
      <c r="L37" t="s">
        <v>49</v>
      </c>
    </row>
    <row r="38" spans="1:12" x14ac:dyDescent="0.3">
      <c r="A38" t="s">
        <v>165</v>
      </c>
      <c r="B38" t="s">
        <v>166</v>
      </c>
      <c r="C38" t="s">
        <v>95</v>
      </c>
      <c r="D38" t="s">
        <v>35</v>
      </c>
      <c r="E38">
        <v>48</v>
      </c>
      <c r="F38">
        <v>1106.83</v>
      </c>
      <c r="G38">
        <v>53127.839999999997</v>
      </c>
      <c r="H38">
        <v>0</v>
      </c>
      <c r="I38" t="s">
        <v>24</v>
      </c>
      <c r="J38" t="s">
        <v>104</v>
      </c>
      <c r="K38" t="s">
        <v>167</v>
      </c>
      <c r="L38" t="s">
        <v>49</v>
      </c>
    </row>
    <row r="39" spans="1:12" x14ac:dyDescent="0.3">
      <c r="A39" t="s">
        <v>168</v>
      </c>
      <c r="B39" t="s">
        <v>169</v>
      </c>
      <c r="C39" t="s">
        <v>63</v>
      </c>
      <c r="D39" t="s">
        <v>15</v>
      </c>
      <c r="E39">
        <v>4</v>
      </c>
      <c r="F39">
        <v>69.52</v>
      </c>
      <c r="G39">
        <v>250.27</v>
      </c>
      <c r="H39">
        <v>10</v>
      </c>
      <c r="I39" t="s">
        <v>53</v>
      </c>
      <c r="J39" t="s">
        <v>170</v>
      </c>
      <c r="K39" t="s">
        <v>171</v>
      </c>
      <c r="L39" t="s">
        <v>49</v>
      </c>
    </row>
    <row r="40" spans="1:12" x14ac:dyDescent="0.3">
      <c r="A40" t="s">
        <v>172</v>
      </c>
      <c r="B40" t="s">
        <v>173</v>
      </c>
      <c r="C40" t="s">
        <v>82</v>
      </c>
      <c r="D40" t="s">
        <v>73</v>
      </c>
      <c r="E40">
        <v>32</v>
      </c>
      <c r="F40">
        <v>627.63</v>
      </c>
      <c r="G40">
        <v>20084.16</v>
      </c>
      <c r="H40">
        <v>0</v>
      </c>
      <c r="I40" t="s">
        <v>16</v>
      </c>
      <c r="J40" t="s">
        <v>74</v>
      </c>
      <c r="K40" t="s">
        <v>174</v>
      </c>
      <c r="L40" t="s">
        <v>31</v>
      </c>
    </row>
    <row r="41" spans="1:12" x14ac:dyDescent="0.3">
      <c r="A41" t="s">
        <v>175</v>
      </c>
      <c r="B41" t="s">
        <v>176</v>
      </c>
      <c r="C41" t="s">
        <v>58</v>
      </c>
      <c r="D41" t="s">
        <v>35</v>
      </c>
      <c r="E41">
        <v>22</v>
      </c>
      <c r="F41">
        <v>276.88</v>
      </c>
      <c r="G41">
        <v>5482.22</v>
      </c>
      <c r="H41">
        <v>10</v>
      </c>
      <c r="I41" t="s">
        <v>53</v>
      </c>
      <c r="J41" t="s">
        <v>54</v>
      </c>
      <c r="K41" t="s">
        <v>177</v>
      </c>
      <c r="L41" t="s">
        <v>31</v>
      </c>
    </row>
    <row r="42" spans="1:12" x14ac:dyDescent="0.3">
      <c r="A42" t="s">
        <v>178</v>
      </c>
      <c r="B42" t="s">
        <v>179</v>
      </c>
      <c r="C42" t="s">
        <v>58</v>
      </c>
      <c r="D42" t="s">
        <v>35</v>
      </c>
      <c r="E42">
        <v>21</v>
      </c>
      <c r="F42">
        <v>412.43</v>
      </c>
      <c r="G42">
        <v>8661.0300000000007</v>
      </c>
      <c r="H42">
        <v>0</v>
      </c>
      <c r="I42" t="s">
        <v>16</v>
      </c>
      <c r="J42" t="s">
        <v>17</v>
      </c>
      <c r="K42" t="s">
        <v>180</v>
      </c>
      <c r="L42" t="s">
        <v>27</v>
      </c>
    </row>
    <row r="43" spans="1:12" x14ac:dyDescent="0.3">
      <c r="A43" t="s">
        <v>181</v>
      </c>
      <c r="B43" t="s">
        <v>182</v>
      </c>
      <c r="C43" t="s">
        <v>90</v>
      </c>
      <c r="D43" t="s">
        <v>23</v>
      </c>
      <c r="E43">
        <v>43</v>
      </c>
      <c r="F43">
        <v>29.4</v>
      </c>
      <c r="G43">
        <v>1264.2</v>
      </c>
      <c r="H43">
        <v>0</v>
      </c>
      <c r="I43" t="s">
        <v>53</v>
      </c>
      <c r="J43" t="s">
        <v>67</v>
      </c>
      <c r="K43" t="s">
        <v>183</v>
      </c>
      <c r="L43" t="s">
        <v>69</v>
      </c>
    </row>
    <row r="44" spans="1:12" x14ac:dyDescent="0.3">
      <c r="A44" t="s">
        <v>184</v>
      </c>
      <c r="B44" t="s">
        <v>185</v>
      </c>
      <c r="C44" t="s">
        <v>22</v>
      </c>
      <c r="D44" t="s">
        <v>23</v>
      </c>
      <c r="E44">
        <v>35</v>
      </c>
      <c r="F44">
        <v>22.63</v>
      </c>
      <c r="G44">
        <v>752.45</v>
      </c>
      <c r="H44">
        <v>5</v>
      </c>
      <c r="I44" t="s">
        <v>16</v>
      </c>
      <c r="J44" t="s">
        <v>74</v>
      </c>
      <c r="K44" t="s">
        <v>186</v>
      </c>
      <c r="L44" t="s">
        <v>31</v>
      </c>
    </row>
    <row r="45" spans="1:12" x14ac:dyDescent="0.3">
      <c r="A45" t="s">
        <v>187</v>
      </c>
      <c r="B45" t="s">
        <v>188</v>
      </c>
      <c r="C45" t="s">
        <v>82</v>
      </c>
      <c r="D45" t="s">
        <v>73</v>
      </c>
      <c r="E45">
        <v>20</v>
      </c>
      <c r="F45">
        <v>656.14</v>
      </c>
      <c r="G45">
        <v>11810.52</v>
      </c>
      <c r="H45">
        <v>10</v>
      </c>
      <c r="I45" t="s">
        <v>16</v>
      </c>
      <c r="J45" t="s">
        <v>17</v>
      </c>
      <c r="K45" t="s">
        <v>189</v>
      </c>
      <c r="L45" t="s">
        <v>69</v>
      </c>
    </row>
    <row r="46" spans="1:12" x14ac:dyDescent="0.3">
      <c r="A46" t="s">
        <v>190</v>
      </c>
      <c r="B46" t="s">
        <v>191</v>
      </c>
      <c r="C46" t="s">
        <v>103</v>
      </c>
      <c r="D46" t="s">
        <v>35</v>
      </c>
      <c r="E46">
        <v>25</v>
      </c>
      <c r="F46">
        <v>444.02</v>
      </c>
      <c r="G46">
        <v>8880.4</v>
      </c>
      <c r="H46">
        <v>20</v>
      </c>
      <c r="I46" t="s">
        <v>46</v>
      </c>
      <c r="J46" t="s">
        <v>124</v>
      </c>
      <c r="K46" t="s">
        <v>192</v>
      </c>
      <c r="L46" t="s">
        <v>19</v>
      </c>
    </row>
    <row r="47" spans="1:12" x14ac:dyDescent="0.3">
      <c r="A47" t="s">
        <v>193</v>
      </c>
      <c r="B47" t="s">
        <v>194</v>
      </c>
      <c r="C47" t="s">
        <v>90</v>
      </c>
      <c r="D47" t="s">
        <v>23</v>
      </c>
      <c r="E47">
        <v>50</v>
      </c>
      <c r="F47">
        <v>42.28</v>
      </c>
      <c r="G47">
        <v>2008.3</v>
      </c>
      <c r="H47">
        <v>5</v>
      </c>
      <c r="I47" t="s">
        <v>46</v>
      </c>
      <c r="J47" t="s">
        <v>83</v>
      </c>
      <c r="K47" t="s">
        <v>195</v>
      </c>
      <c r="L47" t="s">
        <v>31</v>
      </c>
    </row>
    <row r="48" spans="1:12" x14ac:dyDescent="0.3">
      <c r="A48" t="s">
        <v>196</v>
      </c>
      <c r="B48" t="s">
        <v>197</v>
      </c>
      <c r="C48" t="s">
        <v>90</v>
      </c>
      <c r="D48" t="s">
        <v>23</v>
      </c>
      <c r="E48">
        <v>16</v>
      </c>
      <c r="F48">
        <v>16.41</v>
      </c>
      <c r="G48">
        <v>223.18</v>
      </c>
      <c r="H48">
        <v>15</v>
      </c>
      <c r="I48" t="s">
        <v>46</v>
      </c>
      <c r="J48" t="s">
        <v>83</v>
      </c>
      <c r="K48" t="s">
        <v>198</v>
      </c>
      <c r="L48" t="s">
        <v>69</v>
      </c>
    </row>
    <row r="49" spans="1:12" x14ac:dyDescent="0.3">
      <c r="A49" t="s">
        <v>199</v>
      </c>
      <c r="B49" t="s">
        <v>200</v>
      </c>
      <c r="C49" t="s">
        <v>40</v>
      </c>
      <c r="D49" t="s">
        <v>23</v>
      </c>
      <c r="E49">
        <v>44</v>
      </c>
      <c r="F49">
        <v>47.86</v>
      </c>
      <c r="G49">
        <v>2105.84</v>
      </c>
      <c r="H49">
        <v>0</v>
      </c>
      <c r="I49" t="s">
        <v>24</v>
      </c>
      <c r="J49" t="s">
        <v>59</v>
      </c>
      <c r="K49" t="s">
        <v>201</v>
      </c>
      <c r="L49" t="s">
        <v>31</v>
      </c>
    </row>
    <row r="50" spans="1:12" x14ac:dyDescent="0.3">
      <c r="A50" t="s">
        <v>202</v>
      </c>
      <c r="B50" t="s">
        <v>203</v>
      </c>
      <c r="C50" t="s">
        <v>14</v>
      </c>
      <c r="D50" t="s">
        <v>15</v>
      </c>
      <c r="E50">
        <v>39</v>
      </c>
      <c r="F50">
        <v>104.76</v>
      </c>
      <c r="G50">
        <v>3677.08</v>
      </c>
      <c r="H50">
        <v>10</v>
      </c>
      <c r="I50" t="s">
        <v>46</v>
      </c>
      <c r="J50" t="s">
        <v>124</v>
      </c>
      <c r="K50" t="s">
        <v>204</v>
      </c>
      <c r="L50" t="s">
        <v>19</v>
      </c>
    </row>
    <row r="51" spans="1:12" x14ac:dyDescent="0.3">
      <c r="A51" t="s">
        <v>205</v>
      </c>
      <c r="B51" t="s">
        <v>206</v>
      </c>
      <c r="C51" t="s">
        <v>14</v>
      </c>
      <c r="D51" t="s">
        <v>15</v>
      </c>
      <c r="E51">
        <v>27</v>
      </c>
      <c r="F51">
        <v>60.57</v>
      </c>
      <c r="G51">
        <v>1308.31</v>
      </c>
      <c r="H51">
        <v>20</v>
      </c>
      <c r="I51" t="s">
        <v>46</v>
      </c>
      <c r="J51" t="s">
        <v>78</v>
      </c>
      <c r="K51" t="s">
        <v>207</v>
      </c>
      <c r="L51" t="s">
        <v>19</v>
      </c>
    </row>
    <row r="52" spans="1:12" x14ac:dyDescent="0.3">
      <c r="A52" t="s">
        <v>208</v>
      </c>
      <c r="B52" t="s">
        <v>209</v>
      </c>
      <c r="C52" t="s">
        <v>123</v>
      </c>
      <c r="D52" t="s">
        <v>15</v>
      </c>
      <c r="E52">
        <v>26</v>
      </c>
      <c r="F52">
        <v>41.19</v>
      </c>
      <c r="G52">
        <v>1070.94</v>
      </c>
      <c r="H52">
        <v>0</v>
      </c>
      <c r="I52" t="s">
        <v>16</v>
      </c>
      <c r="J52" t="s">
        <v>74</v>
      </c>
      <c r="K52" t="s">
        <v>210</v>
      </c>
      <c r="L52" t="s">
        <v>19</v>
      </c>
    </row>
    <row r="53" spans="1:12" x14ac:dyDescent="0.3">
      <c r="A53" t="s">
        <v>211</v>
      </c>
      <c r="B53" t="s">
        <v>212</v>
      </c>
      <c r="C53" t="s">
        <v>40</v>
      </c>
      <c r="D53" t="s">
        <v>23</v>
      </c>
      <c r="E53">
        <v>7</v>
      </c>
      <c r="F53">
        <v>42.79</v>
      </c>
      <c r="G53">
        <v>299.52999999999997</v>
      </c>
      <c r="H53">
        <v>0</v>
      </c>
      <c r="I53" t="s">
        <v>16</v>
      </c>
      <c r="J53" t="s">
        <v>91</v>
      </c>
      <c r="K53" t="s">
        <v>213</v>
      </c>
      <c r="L53" t="s">
        <v>31</v>
      </c>
    </row>
    <row r="54" spans="1:12" x14ac:dyDescent="0.3">
      <c r="A54" t="s">
        <v>214</v>
      </c>
      <c r="B54" t="s">
        <v>120</v>
      </c>
      <c r="C54" t="s">
        <v>95</v>
      </c>
      <c r="D54" t="s">
        <v>35</v>
      </c>
      <c r="E54">
        <v>44</v>
      </c>
      <c r="F54">
        <v>903.71</v>
      </c>
      <c r="G54">
        <v>31810.59</v>
      </c>
      <c r="H54">
        <v>20</v>
      </c>
      <c r="I54" t="s">
        <v>24</v>
      </c>
      <c r="J54" t="s">
        <v>104</v>
      </c>
      <c r="K54" t="s">
        <v>215</v>
      </c>
      <c r="L54" t="s">
        <v>49</v>
      </c>
    </row>
    <row r="55" spans="1:12" x14ac:dyDescent="0.3">
      <c r="A55" t="s">
        <v>216</v>
      </c>
      <c r="B55" t="s">
        <v>217</v>
      </c>
      <c r="C55" t="s">
        <v>34</v>
      </c>
      <c r="D55" t="s">
        <v>35</v>
      </c>
      <c r="E55">
        <v>23</v>
      </c>
      <c r="F55">
        <v>846.66</v>
      </c>
      <c r="G55">
        <v>16552.2</v>
      </c>
      <c r="H55">
        <v>15</v>
      </c>
      <c r="I55" t="s">
        <v>24</v>
      </c>
      <c r="J55" t="s">
        <v>41</v>
      </c>
      <c r="K55" t="s">
        <v>218</v>
      </c>
      <c r="L55" t="s">
        <v>69</v>
      </c>
    </row>
    <row r="56" spans="1:12" x14ac:dyDescent="0.3">
      <c r="A56" t="s">
        <v>219</v>
      </c>
      <c r="B56" t="s">
        <v>220</v>
      </c>
      <c r="C56" t="s">
        <v>63</v>
      </c>
      <c r="D56" t="s">
        <v>15</v>
      </c>
      <c r="E56">
        <v>36</v>
      </c>
      <c r="F56">
        <v>42.5</v>
      </c>
      <c r="G56">
        <v>1377</v>
      </c>
      <c r="H56">
        <v>10</v>
      </c>
      <c r="I56" t="s">
        <v>53</v>
      </c>
      <c r="J56" t="s">
        <v>170</v>
      </c>
      <c r="K56" t="s">
        <v>221</v>
      </c>
      <c r="L56" t="s">
        <v>19</v>
      </c>
    </row>
    <row r="57" spans="1:12" x14ac:dyDescent="0.3">
      <c r="A57" t="s">
        <v>222</v>
      </c>
      <c r="B57" t="s">
        <v>223</v>
      </c>
      <c r="C57" t="s">
        <v>22</v>
      </c>
      <c r="D57" t="s">
        <v>23</v>
      </c>
      <c r="E57">
        <v>9</v>
      </c>
      <c r="F57">
        <v>29.09</v>
      </c>
      <c r="G57">
        <v>261.81</v>
      </c>
      <c r="H57">
        <v>0</v>
      </c>
      <c r="I57" t="s">
        <v>24</v>
      </c>
      <c r="J57" t="s">
        <v>59</v>
      </c>
      <c r="K57" t="s">
        <v>100</v>
      </c>
      <c r="L57" t="s">
        <v>31</v>
      </c>
    </row>
    <row r="58" spans="1:12" x14ac:dyDescent="0.3">
      <c r="A58" t="s">
        <v>224</v>
      </c>
      <c r="B58" t="s">
        <v>225</v>
      </c>
      <c r="C58" t="s">
        <v>34</v>
      </c>
      <c r="D58" t="s">
        <v>35</v>
      </c>
      <c r="E58">
        <v>5</v>
      </c>
      <c r="F58">
        <v>669.77</v>
      </c>
      <c r="G58">
        <v>3348.85</v>
      </c>
      <c r="H58">
        <v>0</v>
      </c>
      <c r="I58" t="s">
        <v>16</v>
      </c>
      <c r="J58" t="s">
        <v>74</v>
      </c>
      <c r="K58" t="s">
        <v>226</v>
      </c>
      <c r="L58" t="s">
        <v>19</v>
      </c>
    </row>
    <row r="59" spans="1:12" x14ac:dyDescent="0.3">
      <c r="A59" t="s">
        <v>227</v>
      </c>
      <c r="B59" t="s">
        <v>228</v>
      </c>
      <c r="C59" t="s">
        <v>45</v>
      </c>
      <c r="D59" t="s">
        <v>23</v>
      </c>
      <c r="E59">
        <v>13</v>
      </c>
      <c r="F59">
        <v>198.05</v>
      </c>
      <c r="G59">
        <v>2574.65</v>
      </c>
      <c r="H59">
        <v>0</v>
      </c>
      <c r="I59" t="s">
        <v>53</v>
      </c>
      <c r="J59" t="s">
        <v>54</v>
      </c>
      <c r="K59" t="s">
        <v>229</v>
      </c>
      <c r="L59" t="s">
        <v>19</v>
      </c>
    </row>
    <row r="60" spans="1:12" x14ac:dyDescent="0.3">
      <c r="A60" t="s">
        <v>230</v>
      </c>
      <c r="B60" t="s">
        <v>194</v>
      </c>
      <c r="C60" t="s">
        <v>103</v>
      </c>
      <c r="D60" t="s">
        <v>35</v>
      </c>
      <c r="E60">
        <v>34</v>
      </c>
      <c r="F60">
        <v>414.11</v>
      </c>
      <c r="G60">
        <v>13375.75</v>
      </c>
      <c r="H60">
        <v>5</v>
      </c>
      <c r="I60" t="s">
        <v>46</v>
      </c>
      <c r="J60" t="s">
        <v>78</v>
      </c>
      <c r="K60" t="s">
        <v>231</v>
      </c>
      <c r="L60" t="s">
        <v>69</v>
      </c>
    </row>
    <row r="61" spans="1:12" x14ac:dyDescent="0.3">
      <c r="A61" t="s">
        <v>232</v>
      </c>
      <c r="B61" t="s">
        <v>233</v>
      </c>
      <c r="C61" t="s">
        <v>34</v>
      </c>
      <c r="D61" t="s">
        <v>35</v>
      </c>
      <c r="E61">
        <v>26</v>
      </c>
      <c r="F61">
        <v>658.35</v>
      </c>
      <c r="G61">
        <v>17117.099999999999</v>
      </c>
      <c r="H61">
        <v>0</v>
      </c>
      <c r="I61" t="s">
        <v>53</v>
      </c>
      <c r="J61" t="s">
        <v>134</v>
      </c>
      <c r="K61" t="s">
        <v>204</v>
      </c>
      <c r="L61" t="s">
        <v>27</v>
      </c>
    </row>
    <row r="62" spans="1:12" x14ac:dyDescent="0.3">
      <c r="A62" t="s">
        <v>234</v>
      </c>
      <c r="B62" t="s">
        <v>235</v>
      </c>
      <c r="C62" t="s">
        <v>58</v>
      </c>
      <c r="D62" t="s">
        <v>35</v>
      </c>
      <c r="E62">
        <v>1</v>
      </c>
      <c r="F62">
        <v>439</v>
      </c>
      <c r="G62">
        <v>395.1</v>
      </c>
      <c r="H62">
        <v>10</v>
      </c>
      <c r="I62" t="s">
        <v>16</v>
      </c>
      <c r="J62" t="s">
        <v>111</v>
      </c>
      <c r="K62" t="s">
        <v>236</v>
      </c>
      <c r="L62" t="s">
        <v>31</v>
      </c>
    </row>
    <row r="63" spans="1:12" x14ac:dyDescent="0.3">
      <c r="A63" t="s">
        <v>237</v>
      </c>
      <c r="B63" t="s">
        <v>238</v>
      </c>
      <c r="C63" t="s">
        <v>123</v>
      </c>
      <c r="D63" t="s">
        <v>15</v>
      </c>
      <c r="E63">
        <v>14</v>
      </c>
      <c r="F63">
        <v>22.43</v>
      </c>
      <c r="G63">
        <v>251.22</v>
      </c>
      <c r="H63">
        <v>20</v>
      </c>
      <c r="I63" t="s">
        <v>46</v>
      </c>
      <c r="J63" t="s">
        <v>78</v>
      </c>
      <c r="K63" t="s">
        <v>239</v>
      </c>
      <c r="L63" t="s">
        <v>49</v>
      </c>
    </row>
    <row r="64" spans="1:12" x14ac:dyDescent="0.3">
      <c r="A64" t="s">
        <v>240</v>
      </c>
      <c r="B64" t="s">
        <v>241</v>
      </c>
      <c r="C64" t="s">
        <v>123</v>
      </c>
      <c r="D64" t="s">
        <v>15</v>
      </c>
      <c r="E64">
        <v>16</v>
      </c>
      <c r="F64">
        <v>28.48</v>
      </c>
      <c r="G64">
        <v>410.11</v>
      </c>
      <c r="H64">
        <v>10</v>
      </c>
      <c r="I64" t="s">
        <v>16</v>
      </c>
      <c r="J64" t="s">
        <v>91</v>
      </c>
      <c r="K64" t="s">
        <v>108</v>
      </c>
      <c r="L64" t="s">
        <v>27</v>
      </c>
    </row>
    <row r="65" spans="1:12" x14ac:dyDescent="0.3">
      <c r="A65" t="s">
        <v>242</v>
      </c>
      <c r="B65" t="s">
        <v>243</v>
      </c>
      <c r="C65" t="s">
        <v>52</v>
      </c>
      <c r="D65" t="s">
        <v>35</v>
      </c>
      <c r="E65">
        <v>12</v>
      </c>
      <c r="F65">
        <v>298.70999999999998</v>
      </c>
      <c r="G65">
        <v>3226.07</v>
      </c>
      <c r="H65">
        <v>10</v>
      </c>
      <c r="I65" t="s">
        <v>46</v>
      </c>
      <c r="J65" t="s">
        <v>244</v>
      </c>
      <c r="K65" t="s">
        <v>245</v>
      </c>
      <c r="L65" t="s">
        <v>49</v>
      </c>
    </row>
    <row r="66" spans="1:12" x14ac:dyDescent="0.3">
      <c r="A66" t="s">
        <v>246</v>
      </c>
      <c r="B66" t="s">
        <v>247</v>
      </c>
      <c r="C66" t="s">
        <v>40</v>
      </c>
      <c r="D66" t="s">
        <v>23</v>
      </c>
      <c r="E66">
        <v>2</v>
      </c>
      <c r="F66">
        <v>77.5</v>
      </c>
      <c r="G66">
        <v>147.25</v>
      </c>
      <c r="H66">
        <v>5</v>
      </c>
      <c r="I66" t="s">
        <v>46</v>
      </c>
      <c r="J66" t="s">
        <v>244</v>
      </c>
      <c r="K66" t="s">
        <v>248</v>
      </c>
      <c r="L66" t="s">
        <v>31</v>
      </c>
    </row>
    <row r="67" spans="1:12" x14ac:dyDescent="0.3">
      <c r="A67" t="s">
        <v>249</v>
      </c>
      <c r="B67" t="s">
        <v>250</v>
      </c>
      <c r="C67" t="s">
        <v>82</v>
      </c>
      <c r="D67" t="s">
        <v>73</v>
      </c>
      <c r="E67">
        <v>44</v>
      </c>
      <c r="F67">
        <v>492.47</v>
      </c>
      <c r="G67">
        <v>20585.25</v>
      </c>
      <c r="H67">
        <v>5</v>
      </c>
      <c r="I67" t="s">
        <v>46</v>
      </c>
      <c r="J67" t="s">
        <v>124</v>
      </c>
      <c r="K67" t="s">
        <v>251</v>
      </c>
      <c r="L67" t="s">
        <v>69</v>
      </c>
    </row>
    <row r="68" spans="1:12" x14ac:dyDescent="0.3">
      <c r="A68" t="s">
        <v>252</v>
      </c>
      <c r="B68" t="s">
        <v>253</v>
      </c>
      <c r="C68" t="s">
        <v>90</v>
      </c>
      <c r="D68" t="s">
        <v>23</v>
      </c>
      <c r="E68">
        <v>10</v>
      </c>
      <c r="F68">
        <v>39.36</v>
      </c>
      <c r="G68">
        <v>373.92</v>
      </c>
      <c r="H68">
        <v>5</v>
      </c>
      <c r="I68" t="s">
        <v>16</v>
      </c>
      <c r="J68" t="s">
        <v>91</v>
      </c>
      <c r="K68" t="s">
        <v>254</v>
      </c>
      <c r="L68" t="s">
        <v>69</v>
      </c>
    </row>
    <row r="69" spans="1:12" x14ac:dyDescent="0.3">
      <c r="A69" t="s">
        <v>255</v>
      </c>
      <c r="B69" t="s">
        <v>256</v>
      </c>
      <c r="C69" t="s">
        <v>72</v>
      </c>
      <c r="D69" t="s">
        <v>73</v>
      </c>
      <c r="E69">
        <v>17</v>
      </c>
      <c r="F69">
        <v>308.45</v>
      </c>
      <c r="G69">
        <v>4457.1000000000004</v>
      </c>
      <c r="H69">
        <v>15</v>
      </c>
      <c r="I69" t="s">
        <v>46</v>
      </c>
      <c r="J69" t="s">
        <v>83</v>
      </c>
      <c r="K69" t="s">
        <v>257</v>
      </c>
      <c r="L69" t="s">
        <v>49</v>
      </c>
    </row>
    <row r="70" spans="1:12" x14ac:dyDescent="0.3">
      <c r="A70" t="s">
        <v>258</v>
      </c>
      <c r="B70" t="s">
        <v>259</v>
      </c>
      <c r="C70" t="s">
        <v>40</v>
      </c>
      <c r="D70" t="s">
        <v>23</v>
      </c>
      <c r="E70">
        <v>2</v>
      </c>
      <c r="F70">
        <v>67.25</v>
      </c>
      <c r="G70">
        <v>121.05</v>
      </c>
      <c r="H70">
        <v>10</v>
      </c>
      <c r="I70" t="s">
        <v>46</v>
      </c>
      <c r="J70" t="s">
        <v>244</v>
      </c>
      <c r="K70" t="s">
        <v>260</v>
      </c>
      <c r="L70" t="s">
        <v>19</v>
      </c>
    </row>
    <row r="71" spans="1:12" x14ac:dyDescent="0.3">
      <c r="A71" t="s">
        <v>261</v>
      </c>
      <c r="B71" t="s">
        <v>262</v>
      </c>
      <c r="C71" t="s">
        <v>40</v>
      </c>
      <c r="D71" t="s">
        <v>23</v>
      </c>
      <c r="E71">
        <v>23</v>
      </c>
      <c r="F71">
        <v>64.349999999999994</v>
      </c>
      <c r="G71">
        <v>1480.05</v>
      </c>
      <c r="H71">
        <v>0</v>
      </c>
      <c r="I71" t="s">
        <v>16</v>
      </c>
      <c r="J71" t="s">
        <v>91</v>
      </c>
      <c r="K71" t="s">
        <v>55</v>
      </c>
      <c r="L71" t="s">
        <v>49</v>
      </c>
    </row>
    <row r="72" spans="1:12" x14ac:dyDescent="0.3">
      <c r="A72" t="s">
        <v>263</v>
      </c>
      <c r="B72" t="s">
        <v>264</v>
      </c>
      <c r="C72" t="s">
        <v>34</v>
      </c>
      <c r="D72" t="s">
        <v>35</v>
      </c>
      <c r="E72">
        <v>4</v>
      </c>
      <c r="F72">
        <v>492.26</v>
      </c>
      <c r="G72">
        <v>1772.14</v>
      </c>
      <c r="H72">
        <v>10</v>
      </c>
      <c r="I72" t="s">
        <v>46</v>
      </c>
      <c r="J72" t="s">
        <v>244</v>
      </c>
      <c r="K72" t="s">
        <v>265</v>
      </c>
      <c r="L72" t="s">
        <v>27</v>
      </c>
    </row>
    <row r="73" spans="1:12" x14ac:dyDescent="0.3">
      <c r="A73" t="s">
        <v>266</v>
      </c>
      <c r="B73" t="s">
        <v>267</v>
      </c>
      <c r="C73" t="s">
        <v>95</v>
      </c>
      <c r="D73" t="s">
        <v>35</v>
      </c>
      <c r="E73">
        <v>36</v>
      </c>
      <c r="F73">
        <v>1022.56</v>
      </c>
      <c r="G73">
        <v>31290.34</v>
      </c>
      <c r="H73">
        <v>15</v>
      </c>
      <c r="I73" t="s">
        <v>16</v>
      </c>
      <c r="J73" t="s">
        <v>17</v>
      </c>
      <c r="K73" t="s">
        <v>268</v>
      </c>
      <c r="L73" t="s">
        <v>27</v>
      </c>
    </row>
    <row r="74" spans="1:12" x14ac:dyDescent="0.3">
      <c r="A74" t="s">
        <v>269</v>
      </c>
      <c r="B74" t="s">
        <v>270</v>
      </c>
      <c r="C74" t="s">
        <v>123</v>
      </c>
      <c r="D74" t="s">
        <v>15</v>
      </c>
      <c r="E74">
        <v>32</v>
      </c>
      <c r="F74">
        <v>45.39</v>
      </c>
      <c r="G74">
        <v>1452.48</v>
      </c>
      <c r="H74">
        <v>0</v>
      </c>
      <c r="I74" t="s">
        <v>46</v>
      </c>
      <c r="J74" t="s">
        <v>83</v>
      </c>
      <c r="K74" t="s">
        <v>271</v>
      </c>
      <c r="L74" t="s">
        <v>19</v>
      </c>
    </row>
    <row r="75" spans="1:12" x14ac:dyDescent="0.3">
      <c r="A75" t="s">
        <v>272</v>
      </c>
      <c r="B75" t="s">
        <v>273</v>
      </c>
      <c r="C75" t="s">
        <v>22</v>
      </c>
      <c r="D75" t="s">
        <v>23</v>
      </c>
      <c r="E75">
        <v>41</v>
      </c>
      <c r="F75">
        <v>26.32</v>
      </c>
      <c r="G75">
        <v>863.3</v>
      </c>
      <c r="H75">
        <v>20</v>
      </c>
      <c r="I75" t="s">
        <v>53</v>
      </c>
      <c r="J75" t="s">
        <v>134</v>
      </c>
      <c r="K75" t="s">
        <v>274</v>
      </c>
      <c r="L75" t="s">
        <v>69</v>
      </c>
    </row>
    <row r="76" spans="1:12" x14ac:dyDescent="0.3">
      <c r="A76" t="s">
        <v>275</v>
      </c>
      <c r="B76" t="s">
        <v>276</v>
      </c>
      <c r="C76" t="s">
        <v>82</v>
      </c>
      <c r="D76" t="s">
        <v>73</v>
      </c>
      <c r="E76">
        <v>43</v>
      </c>
      <c r="F76">
        <v>301.3</v>
      </c>
      <c r="G76">
        <v>11660.31</v>
      </c>
      <c r="H76">
        <v>10</v>
      </c>
      <c r="I76" t="s">
        <v>24</v>
      </c>
      <c r="J76" t="s">
        <v>25</v>
      </c>
      <c r="K76" t="s">
        <v>277</v>
      </c>
      <c r="L76" t="s">
        <v>19</v>
      </c>
    </row>
    <row r="77" spans="1:12" x14ac:dyDescent="0.3">
      <c r="A77" t="s">
        <v>278</v>
      </c>
      <c r="B77" t="s">
        <v>279</v>
      </c>
      <c r="C77" t="s">
        <v>99</v>
      </c>
      <c r="D77" t="s">
        <v>23</v>
      </c>
      <c r="E77">
        <v>29</v>
      </c>
      <c r="F77">
        <v>17.760000000000002</v>
      </c>
      <c r="G77">
        <v>515.04</v>
      </c>
      <c r="H77">
        <v>0</v>
      </c>
      <c r="I77" t="s">
        <v>53</v>
      </c>
      <c r="J77" t="s">
        <v>54</v>
      </c>
      <c r="K77" t="s">
        <v>280</v>
      </c>
      <c r="L77" t="s">
        <v>27</v>
      </c>
    </row>
    <row r="78" spans="1:12" x14ac:dyDescent="0.3">
      <c r="A78" t="s">
        <v>281</v>
      </c>
      <c r="B78" t="s">
        <v>282</v>
      </c>
      <c r="C78" t="s">
        <v>90</v>
      </c>
      <c r="D78" t="s">
        <v>23</v>
      </c>
      <c r="E78">
        <v>3</v>
      </c>
      <c r="F78">
        <v>44.31</v>
      </c>
      <c r="G78">
        <v>119.64</v>
      </c>
      <c r="H78">
        <v>10</v>
      </c>
      <c r="I78" t="s">
        <v>46</v>
      </c>
      <c r="J78" t="s">
        <v>124</v>
      </c>
      <c r="K78" t="s">
        <v>283</v>
      </c>
      <c r="L78" t="s">
        <v>27</v>
      </c>
    </row>
    <row r="79" spans="1:12" x14ac:dyDescent="0.3">
      <c r="A79" t="s">
        <v>284</v>
      </c>
      <c r="B79" t="s">
        <v>285</v>
      </c>
      <c r="C79" t="s">
        <v>95</v>
      </c>
      <c r="D79" t="s">
        <v>35</v>
      </c>
      <c r="E79">
        <v>20</v>
      </c>
      <c r="F79">
        <v>931.39</v>
      </c>
      <c r="G79">
        <v>18627.8</v>
      </c>
      <c r="H79">
        <v>0</v>
      </c>
      <c r="I79" t="s">
        <v>24</v>
      </c>
      <c r="J79" t="s">
        <v>104</v>
      </c>
      <c r="K79" t="s">
        <v>286</v>
      </c>
      <c r="L79" t="s">
        <v>19</v>
      </c>
    </row>
    <row r="80" spans="1:12" x14ac:dyDescent="0.3">
      <c r="A80" t="s">
        <v>287</v>
      </c>
      <c r="B80" t="s">
        <v>288</v>
      </c>
      <c r="C80" t="s">
        <v>45</v>
      </c>
      <c r="D80" t="s">
        <v>23</v>
      </c>
      <c r="E80">
        <v>26</v>
      </c>
      <c r="F80">
        <v>124.48</v>
      </c>
      <c r="G80">
        <v>3236.48</v>
      </c>
      <c r="H80">
        <v>0</v>
      </c>
      <c r="I80" t="s">
        <v>46</v>
      </c>
      <c r="J80" t="s">
        <v>124</v>
      </c>
      <c r="K80" t="s">
        <v>289</v>
      </c>
      <c r="L80" t="s">
        <v>49</v>
      </c>
    </row>
    <row r="81" spans="1:12" x14ac:dyDescent="0.3">
      <c r="A81" t="s">
        <v>290</v>
      </c>
      <c r="B81" t="s">
        <v>291</v>
      </c>
      <c r="C81" t="s">
        <v>95</v>
      </c>
      <c r="D81" t="s">
        <v>35</v>
      </c>
      <c r="E81">
        <v>29</v>
      </c>
      <c r="F81">
        <v>911.27</v>
      </c>
      <c r="G81">
        <v>22462.81</v>
      </c>
      <c r="H81">
        <v>15</v>
      </c>
      <c r="I81" t="s">
        <v>46</v>
      </c>
      <c r="J81" t="s">
        <v>83</v>
      </c>
      <c r="K81" t="s">
        <v>135</v>
      </c>
      <c r="L81" t="s">
        <v>27</v>
      </c>
    </row>
    <row r="82" spans="1:12" x14ac:dyDescent="0.3">
      <c r="A82" t="s">
        <v>292</v>
      </c>
      <c r="B82" t="s">
        <v>293</v>
      </c>
      <c r="C82" t="s">
        <v>103</v>
      </c>
      <c r="D82" t="s">
        <v>35</v>
      </c>
      <c r="E82">
        <v>15</v>
      </c>
      <c r="F82">
        <v>583.48</v>
      </c>
      <c r="G82">
        <v>8752.2000000000007</v>
      </c>
      <c r="H82">
        <v>0</v>
      </c>
      <c r="I82" t="s">
        <v>53</v>
      </c>
      <c r="J82" t="s">
        <v>141</v>
      </c>
      <c r="K82" t="s">
        <v>294</v>
      </c>
      <c r="L82" t="s">
        <v>27</v>
      </c>
    </row>
    <row r="83" spans="1:12" x14ac:dyDescent="0.3">
      <c r="A83" t="s">
        <v>295</v>
      </c>
      <c r="B83" t="s">
        <v>296</v>
      </c>
      <c r="C83" t="s">
        <v>63</v>
      </c>
      <c r="D83" t="s">
        <v>15</v>
      </c>
      <c r="E83">
        <v>30</v>
      </c>
      <c r="F83">
        <v>43.97</v>
      </c>
      <c r="G83">
        <v>1253.1400000000001</v>
      </c>
      <c r="H83">
        <v>5</v>
      </c>
      <c r="I83" t="s">
        <v>46</v>
      </c>
      <c r="J83" t="s">
        <v>83</v>
      </c>
      <c r="K83" t="s">
        <v>297</v>
      </c>
      <c r="L83" t="s">
        <v>19</v>
      </c>
    </row>
    <row r="84" spans="1:12" x14ac:dyDescent="0.3">
      <c r="A84" t="s">
        <v>298</v>
      </c>
      <c r="B84" t="s">
        <v>299</v>
      </c>
      <c r="C84" t="s">
        <v>123</v>
      </c>
      <c r="D84" t="s">
        <v>15</v>
      </c>
      <c r="E84">
        <v>33</v>
      </c>
      <c r="F84">
        <v>33.409999999999997</v>
      </c>
      <c r="G84">
        <v>1047.4000000000001</v>
      </c>
      <c r="H84">
        <v>5</v>
      </c>
      <c r="I84" t="s">
        <v>16</v>
      </c>
      <c r="J84" t="s">
        <v>17</v>
      </c>
      <c r="K84" t="s">
        <v>300</v>
      </c>
      <c r="L84" t="s">
        <v>27</v>
      </c>
    </row>
    <row r="85" spans="1:12" x14ac:dyDescent="0.3">
      <c r="A85" t="s">
        <v>301</v>
      </c>
      <c r="B85" t="s">
        <v>302</v>
      </c>
      <c r="C85" t="s">
        <v>103</v>
      </c>
      <c r="D85" t="s">
        <v>35</v>
      </c>
      <c r="E85">
        <v>27</v>
      </c>
      <c r="F85">
        <v>439.83</v>
      </c>
      <c r="G85">
        <v>11875.41</v>
      </c>
      <c r="H85">
        <v>0</v>
      </c>
      <c r="I85" t="s">
        <v>46</v>
      </c>
      <c r="J85" t="s">
        <v>47</v>
      </c>
      <c r="K85" t="s">
        <v>303</v>
      </c>
      <c r="L85" t="s">
        <v>19</v>
      </c>
    </row>
    <row r="86" spans="1:12" x14ac:dyDescent="0.3">
      <c r="A86" t="s">
        <v>304</v>
      </c>
      <c r="B86" t="s">
        <v>305</v>
      </c>
      <c r="C86" t="s">
        <v>99</v>
      </c>
      <c r="D86" t="s">
        <v>23</v>
      </c>
      <c r="E86">
        <v>17</v>
      </c>
      <c r="F86">
        <v>25.57</v>
      </c>
      <c r="G86">
        <v>434.69</v>
      </c>
      <c r="H86">
        <v>0</v>
      </c>
      <c r="I86" t="s">
        <v>53</v>
      </c>
      <c r="J86" t="s">
        <v>134</v>
      </c>
      <c r="K86" t="s">
        <v>306</v>
      </c>
      <c r="L86" t="s">
        <v>49</v>
      </c>
    </row>
    <row r="87" spans="1:12" x14ac:dyDescent="0.3">
      <c r="A87" t="s">
        <v>307</v>
      </c>
      <c r="B87" t="s">
        <v>308</v>
      </c>
      <c r="C87" t="s">
        <v>45</v>
      </c>
      <c r="D87" t="s">
        <v>23</v>
      </c>
      <c r="E87">
        <v>34</v>
      </c>
      <c r="F87">
        <v>121.26</v>
      </c>
      <c r="G87">
        <v>4122.84</v>
      </c>
      <c r="H87">
        <v>0</v>
      </c>
      <c r="I87" t="s">
        <v>53</v>
      </c>
      <c r="J87" t="s">
        <v>170</v>
      </c>
      <c r="K87" t="s">
        <v>309</v>
      </c>
      <c r="L87" t="s">
        <v>31</v>
      </c>
    </row>
    <row r="88" spans="1:12" x14ac:dyDescent="0.3">
      <c r="A88" t="s">
        <v>310</v>
      </c>
      <c r="B88" t="s">
        <v>311</v>
      </c>
      <c r="C88" t="s">
        <v>14</v>
      </c>
      <c r="D88" t="s">
        <v>15</v>
      </c>
      <c r="E88">
        <v>37</v>
      </c>
      <c r="F88">
        <v>98.32</v>
      </c>
      <c r="G88">
        <v>3455.95</v>
      </c>
      <c r="H88">
        <v>5</v>
      </c>
      <c r="I88" t="s">
        <v>53</v>
      </c>
      <c r="J88" t="s">
        <v>67</v>
      </c>
      <c r="K88" t="s">
        <v>312</v>
      </c>
      <c r="L88" t="s">
        <v>31</v>
      </c>
    </row>
    <row r="89" spans="1:12" x14ac:dyDescent="0.3">
      <c r="A89" t="s">
        <v>313</v>
      </c>
      <c r="B89" t="s">
        <v>264</v>
      </c>
      <c r="C89" t="s">
        <v>95</v>
      </c>
      <c r="D89" t="s">
        <v>35</v>
      </c>
      <c r="E89">
        <v>19</v>
      </c>
      <c r="F89">
        <v>961.2</v>
      </c>
      <c r="G89">
        <v>17349.66</v>
      </c>
      <c r="H89">
        <v>5</v>
      </c>
      <c r="I89" t="s">
        <v>24</v>
      </c>
      <c r="J89" t="s">
        <v>36</v>
      </c>
      <c r="K89" t="s">
        <v>314</v>
      </c>
      <c r="L89" t="s">
        <v>19</v>
      </c>
    </row>
    <row r="90" spans="1:12" x14ac:dyDescent="0.3">
      <c r="A90" t="s">
        <v>315</v>
      </c>
      <c r="B90" t="s">
        <v>197</v>
      </c>
      <c r="C90" t="s">
        <v>14</v>
      </c>
      <c r="D90" t="s">
        <v>15</v>
      </c>
      <c r="E90">
        <v>16</v>
      </c>
      <c r="F90">
        <v>81.290000000000006</v>
      </c>
      <c r="G90">
        <v>1105.54</v>
      </c>
      <c r="H90">
        <v>15</v>
      </c>
      <c r="I90" t="s">
        <v>53</v>
      </c>
      <c r="J90" t="s">
        <v>67</v>
      </c>
      <c r="K90" t="s">
        <v>316</v>
      </c>
      <c r="L90" t="s">
        <v>49</v>
      </c>
    </row>
    <row r="91" spans="1:12" x14ac:dyDescent="0.3">
      <c r="A91" t="s">
        <v>317</v>
      </c>
      <c r="B91" t="s">
        <v>318</v>
      </c>
      <c r="C91" t="s">
        <v>45</v>
      </c>
      <c r="D91" t="s">
        <v>23</v>
      </c>
      <c r="E91">
        <v>18</v>
      </c>
      <c r="F91">
        <v>107.49</v>
      </c>
      <c r="G91">
        <v>1838.08</v>
      </c>
      <c r="H91">
        <v>5</v>
      </c>
      <c r="I91" t="s">
        <v>53</v>
      </c>
      <c r="J91" t="s">
        <v>54</v>
      </c>
      <c r="K91" t="s">
        <v>319</v>
      </c>
      <c r="L91" t="s">
        <v>49</v>
      </c>
    </row>
    <row r="92" spans="1:12" x14ac:dyDescent="0.3">
      <c r="A92" t="s">
        <v>320</v>
      </c>
      <c r="B92" t="s">
        <v>321</v>
      </c>
      <c r="C92" t="s">
        <v>52</v>
      </c>
      <c r="D92" t="s">
        <v>35</v>
      </c>
      <c r="E92">
        <v>8</v>
      </c>
      <c r="F92">
        <v>162.71</v>
      </c>
      <c r="G92">
        <v>1301.68</v>
      </c>
      <c r="H92">
        <v>0</v>
      </c>
      <c r="I92" t="s">
        <v>46</v>
      </c>
      <c r="J92" t="s">
        <v>78</v>
      </c>
      <c r="K92" t="s">
        <v>322</v>
      </c>
      <c r="L92" t="s">
        <v>49</v>
      </c>
    </row>
    <row r="93" spans="1:12" x14ac:dyDescent="0.3">
      <c r="A93" t="s">
        <v>323</v>
      </c>
      <c r="B93" t="s">
        <v>324</v>
      </c>
      <c r="C93" t="s">
        <v>58</v>
      </c>
      <c r="D93" t="s">
        <v>35</v>
      </c>
      <c r="E93">
        <v>3</v>
      </c>
      <c r="F93">
        <v>224.57</v>
      </c>
      <c r="G93">
        <v>673.71</v>
      </c>
      <c r="H93">
        <v>0</v>
      </c>
      <c r="I93" t="s">
        <v>24</v>
      </c>
      <c r="J93" t="s">
        <v>41</v>
      </c>
      <c r="K93" t="s">
        <v>325</v>
      </c>
      <c r="L93" t="s">
        <v>19</v>
      </c>
    </row>
    <row r="94" spans="1:12" x14ac:dyDescent="0.3">
      <c r="A94" t="s">
        <v>326</v>
      </c>
      <c r="B94" t="s">
        <v>327</v>
      </c>
      <c r="C94" t="s">
        <v>63</v>
      </c>
      <c r="D94" t="s">
        <v>15</v>
      </c>
      <c r="E94">
        <v>1</v>
      </c>
      <c r="F94">
        <v>36.97</v>
      </c>
      <c r="G94">
        <v>36.97</v>
      </c>
      <c r="H94">
        <v>0</v>
      </c>
      <c r="I94" t="s">
        <v>24</v>
      </c>
      <c r="J94" t="s">
        <v>59</v>
      </c>
      <c r="K94" t="s">
        <v>328</v>
      </c>
      <c r="L94" t="s">
        <v>19</v>
      </c>
    </row>
    <row r="95" spans="1:12" x14ac:dyDescent="0.3">
      <c r="A95" t="s">
        <v>329</v>
      </c>
      <c r="B95" t="s">
        <v>330</v>
      </c>
      <c r="C95" t="s">
        <v>82</v>
      </c>
      <c r="D95" t="s">
        <v>73</v>
      </c>
      <c r="E95">
        <v>31</v>
      </c>
      <c r="F95">
        <v>706.82</v>
      </c>
      <c r="G95">
        <v>21911.42</v>
      </c>
      <c r="H95">
        <v>0</v>
      </c>
      <c r="I95" t="s">
        <v>53</v>
      </c>
      <c r="J95" t="s">
        <v>54</v>
      </c>
      <c r="K95" t="s">
        <v>331</v>
      </c>
      <c r="L95" t="s">
        <v>31</v>
      </c>
    </row>
    <row r="96" spans="1:12" x14ac:dyDescent="0.3">
      <c r="A96" t="s">
        <v>332</v>
      </c>
      <c r="B96" t="s">
        <v>333</v>
      </c>
      <c r="C96" t="s">
        <v>63</v>
      </c>
      <c r="D96" t="s">
        <v>15</v>
      </c>
      <c r="E96">
        <v>46</v>
      </c>
      <c r="F96">
        <v>50.31</v>
      </c>
      <c r="G96">
        <v>2082.83</v>
      </c>
      <c r="H96">
        <v>10</v>
      </c>
      <c r="I96" t="s">
        <v>53</v>
      </c>
      <c r="J96" t="s">
        <v>67</v>
      </c>
      <c r="K96" t="s">
        <v>334</v>
      </c>
      <c r="L96" t="s">
        <v>69</v>
      </c>
    </row>
    <row r="97" spans="1:12" x14ac:dyDescent="0.3">
      <c r="A97" t="s">
        <v>335</v>
      </c>
      <c r="B97" t="s">
        <v>336</v>
      </c>
      <c r="C97" t="s">
        <v>40</v>
      </c>
      <c r="D97" t="s">
        <v>23</v>
      </c>
      <c r="E97">
        <v>10</v>
      </c>
      <c r="F97">
        <v>41.79</v>
      </c>
      <c r="G97">
        <v>355.22</v>
      </c>
      <c r="H97">
        <v>15</v>
      </c>
      <c r="I97" t="s">
        <v>53</v>
      </c>
      <c r="J97" t="s">
        <v>141</v>
      </c>
      <c r="K97" t="s">
        <v>337</v>
      </c>
      <c r="L97" t="s">
        <v>27</v>
      </c>
    </row>
    <row r="98" spans="1:12" x14ac:dyDescent="0.3">
      <c r="A98" t="s">
        <v>338</v>
      </c>
      <c r="B98" t="s">
        <v>339</v>
      </c>
      <c r="C98" t="s">
        <v>103</v>
      </c>
      <c r="D98" t="s">
        <v>35</v>
      </c>
      <c r="E98">
        <v>28</v>
      </c>
      <c r="F98">
        <v>406.75</v>
      </c>
      <c r="G98">
        <v>10819.55</v>
      </c>
      <c r="H98">
        <v>5</v>
      </c>
      <c r="I98" t="s">
        <v>46</v>
      </c>
      <c r="J98" t="s">
        <v>83</v>
      </c>
      <c r="K98" t="s">
        <v>340</v>
      </c>
      <c r="L98" t="s">
        <v>31</v>
      </c>
    </row>
    <row r="99" spans="1:12" x14ac:dyDescent="0.3">
      <c r="A99" t="s">
        <v>341</v>
      </c>
      <c r="B99" t="s">
        <v>342</v>
      </c>
      <c r="C99" t="s">
        <v>14</v>
      </c>
      <c r="D99" t="s">
        <v>15</v>
      </c>
      <c r="E99">
        <v>42</v>
      </c>
      <c r="F99">
        <v>74.099999999999994</v>
      </c>
      <c r="G99">
        <v>3112.2</v>
      </c>
      <c r="H99">
        <v>0</v>
      </c>
      <c r="I99" t="s">
        <v>46</v>
      </c>
      <c r="J99" t="s">
        <v>244</v>
      </c>
      <c r="K99" t="s">
        <v>343</v>
      </c>
      <c r="L99" t="s">
        <v>69</v>
      </c>
    </row>
    <row r="100" spans="1:12" x14ac:dyDescent="0.3">
      <c r="A100" t="s">
        <v>344</v>
      </c>
      <c r="B100" t="s">
        <v>345</v>
      </c>
      <c r="C100" t="s">
        <v>90</v>
      </c>
      <c r="D100" t="s">
        <v>23</v>
      </c>
      <c r="E100">
        <v>38</v>
      </c>
      <c r="F100">
        <v>28.56</v>
      </c>
      <c r="G100">
        <v>922.49</v>
      </c>
      <c r="H100">
        <v>15</v>
      </c>
      <c r="I100" t="s">
        <v>16</v>
      </c>
      <c r="J100" t="s">
        <v>91</v>
      </c>
      <c r="K100" t="s">
        <v>346</v>
      </c>
      <c r="L100" t="s">
        <v>69</v>
      </c>
    </row>
    <row r="101" spans="1:12" x14ac:dyDescent="0.3">
      <c r="A101" t="s">
        <v>347</v>
      </c>
      <c r="B101" t="s">
        <v>348</v>
      </c>
      <c r="C101" t="s">
        <v>45</v>
      </c>
      <c r="D101" t="s">
        <v>23</v>
      </c>
      <c r="E101">
        <v>5</v>
      </c>
      <c r="F101">
        <v>32.9</v>
      </c>
      <c r="G101">
        <v>156.28</v>
      </c>
      <c r="H101">
        <v>5</v>
      </c>
      <c r="I101" t="s">
        <v>46</v>
      </c>
      <c r="J101" t="s">
        <v>78</v>
      </c>
      <c r="K101" t="s">
        <v>349</v>
      </c>
      <c r="L101" t="s">
        <v>19</v>
      </c>
    </row>
    <row r="102" spans="1:12" x14ac:dyDescent="0.3">
      <c r="A102" t="s">
        <v>350</v>
      </c>
      <c r="B102" t="s">
        <v>351</v>
      </c>
      <c r="C102" t="s">
        <v>40</v>
      </c>
      <c r="D102" t="s">
        <v>23</v>
      </c>
      <c r="E102">
        <v>34</v>
      </c>
      <c r="F102">
        <v>69.430000000000007</v>
      </c>
      <c r="G102">
        <v>2360.62</v>
      </c>
      <c r="H102">
        <v>0</v>
      </c>
      <c r="I102" t="s">
        <v>53</v>
      </c>
      <c r="J102" t="s">
        <v>170</v>
      </c>
      <c r="K102" t="s">
        <v>236</v>
      </c>
      <c r="L102" t="s">
        <v>49</v>
      </c>
    </row>
    <row r="103" spans="1:12" x14ac:dyDescent="0.3">
      <c r="A103" t="s">
        <v>352</v>
      </c>
      <c r="B103" t="s">
        <v>353</v>
      </c>
      <c r="C103" t="s">
        <v>95</v>
      </c>
      <c r="D103" t="s">
        <v>35</v>
      </c>
      <c r="E103">
        <v>18</v>
      </c>
      <c r="F103">
        <v>863.31</v>
      </c>
      <c r="G103">
        <v>15539.58</v>
      </c>
      <c r="H103">
        <v>0</v>
      </c>
      <c r="I103" t="s">
        <v>53</v>
      </c>
      <c r="J103" t="s">
        <v>54</v>
      </c>
      <c r="K103" t="s">
        <v>354</v>
      </c>
      <c r="L103" t="s">
        <v>69</v>
      </c>
    </row>
    <row r="104" spans="1:12" x14ac:dyDescent="0.3">
      <c r="A104" t="s">
        <v>355</v>
      </c>
      <c r="B104" t="s">
        <v>356</v>
      </c>
      <c r="C104" t="s">
        <v>99</v>
      </c>
      <c r="D104" t="s">
        <v>23</v>
      </c>
      <c r="E104">
        <v>2</v>
      </c>
      <c r="F104">
        <v>13.86</v>
      </c>
      <c r="G104">
        <v>26.33</v>
      </c>
      <c r="H104">
        <v>5</v>
      </c>
      <c r="I104" t="s">
        <v>53</v>
      </c>
      <c r="J104" t="s">
        <v>67</v>
      </c>
      <c r="K104" t="s">
        <v>357</v>
      </c>
      <c r="L104" t="s">
        <v>49</v>
      </c>
    </row>
    <row r="105" spans="1:12" x14ac:dyDescent="0.3">
      <c r="A105" t="s">
        <v>358</v>
      </c>
      <c r="B105" t="s">
        <v>359</v>
      </c>
      <c r="C105" t="s">
        <v>123</v>
      </c>
      <c r="D105" t="s">
        <v>15</v>
      </c>
      <c r="E105">
        <v>34</v>
      </c>
      <c r="F105">
        <v>44.07</v>
      </c>
      <c r="G105">
        <v>1348.54</v>
      </c>
      <c r="H105">
        <v>10</v>
      </c>
      <c r="I105" t="s">
        <v>24</v>
      </c>
      <c r="J105" t="s">
        <v>41</v>
      </c>
      <c r="K105" t="s">
        <v>360</v>
      </c>
      <c r="L105" t="s">
        <v>31</v>
      </c>
    </row>
    <row r="106" spans="1:12" x14ac:dyDescent="0.3">
      <c r="A106" t="s">
        <v>361</v>
      </c>
      <c r="B106" t="s">
        <v>362</v>
      </c>
      <c r="C106" t="s">
        <v>90</v>
      </c>
      <c r="D106" t="s">
        <v>23</v>
      </c>
      <c r="E106">
        <v>42</v>
      </c>
      <c r="F106">
        <v>27.97</v>
      </c>
      <c r="G106">
        <v>1174.74</v>
      </c>
      <c r="H106">
        <v>0</v>
      </c>
      <c r="I106" t="s">
        <v>46</v>
      </c>
      <c r="J106" t="s">
        <v>244</v>
      </c>
      <c r="K106" t="s">
        <v>363</v>
      </c>
      <c r="L106" t="s">
        <v>19</v>
      </c>
    </row>
    <row r="107" spans="1:12" x14ac:dyDescent="0.3">
      <c r="A107" t="s">
        <v>364</v>
      </c>
      <c r="B107" t="s">
        <v>365</v>
      </c>
      <c r="C107" t="s">
        <v>99</v>
      </c>
      <c r="D107" t="s">
        <v>23</v>
      </c>
      <c r="E107">
        <v>27</v>
      </c>
      <c r="F107">
        <v>25.5</v>
      </c>
      <c r="G107">
        <v>688.5</v>
      </c>
      <c r="H107">
        <v>0</v>
      </c>
      <c r="I107" t="s">
        <v>53</v>
      </c>
      <c r="J107" t="s">
        <v>134</v>
      </c>
      <c r="K107" t="s">
        <v>366</v>
      </c>
      <c r="L107" t="s">
        <v>69</v>
      </c>
    </row>
    <row r="108" spans="1:12" x14ac:dyDescent="0.3">
      <c r="A108" t="s">
        <v>367</v>
      </c>
      <c r="B108" t="s">
        <v>368</v>
      </c>
      <c r="C108" t="s">
        <v>45</v>
      </c>
      <c r="D108" t="s">
        <v>23</v>
      </c>
      <c r="E108">
        <v>14</v>
      </c>
      <c r="F108">
        <v>92.29</v>
      </c>
      <c r="G108">
        <v>1098.25</v>
      </c>
      <c r="H108">
        <v>15</v>
      </c>
      <c r="I108" t="s">
        <v>24</v>
      </c>
      <c r="J108" t="s">
        <v>36</v>
      </c>
      <c r="K108" t="s">
        <v>369</v>
      </c>
      <c r="L108" t="s">
        <v>31</v>
      </c>
    </row>
    <row r="109" spans="1:12" x14ac:dyDescent="0.3">
      <c r="A109" t="s">
        <v>370</v>
      </c>
      <c r="B109" t="s">
        <v>371</v>
      </c>
      <c r="C109" t="s">
        <v>103</v>
      </c>
      <c r="D109" t="s">
        <v>35</v>
      </c>
      <c r="E109">
        <v>18</v>
      </c>
      <c r="F109">
        <v>264.27999999999997</v>
      </c>
      <c r="G109">
        <v>4281.34</v>
      </c>
      <c r="H109">
        <v>10</v>
      </c>
      <c r="I109" t="s">
        <v>24</v>
      </c>
      <c r="J109" t="s">
        <v>41</v>
      </c>
      <c r="K109" t="s">
        <v>314</v>
      </c>
      <c r="L109" t="s">
        <v>69</v>
      </c>
    </row>
    <row r="110" spans="1:12" x14ac:dyDescent="0.3">
      <c r="A110" t="s">
        <v>372</v>
      </c>
      <c r="B110" t="s">
        <v>373</v>
      </c>
      <c r="C110" t="s">
        <v>58</v>
      </c>
      <c r="D110" t="s">
        <v>35</v>
      </c>
      <c r="E110">
        <v>25</v>
      </c>
      <c r="F110">
        <v>482.13</v>
      </c>
      <c r="G110">
        <v>12053.25</v>
      </c>
      <c r="H110">
        <v>0</v>
      </c>
      <c r="I110" t="s">
        <v>46</v>
      </c>
      <c r="J110" t="s">
        <v>47</v>
      </c>
      <c r="K110" t="s">
        <v>374</v>
      </c>
      <c r="L110" t="s">
        <v>31</v>
      </c>
    </row>
    <row r="111" spans="1:12" x14ac:dyDescent="0.3">
      <c r="A111" t="s">
        <v>375</v>
      </c>
      <c r="B111" t="s">
        <v>376</v>
      </c>
      <c r="C111" t="s">
        <v>103</v>
      </c>
      <c r="D111" t="s">
        <v>35</v>
      </c>
      <c r="E111">
        <v>22</v>
      </c>
      <c r="F111">
        <v>585.71</v>
      </c>
      <c r="G111">
        <v>10952.78</v>
      </c>
      <c r="H111">
        <v>15</v>
      </c>
      <c r="I111" t="s">
        <v>46</v>
      </c>
      <c r="J111" t="s">
        <v>83</v>
      </c>
      <c r="K111" t="s">
        <v>377</v>
      </c>
      <c r="L111" t="s">
        <v>27</v>
      </c>
    </row>
    <row r="112" spans="1:12" x14ac:dyDescent="0.3">
      <c r="A112" t="s">
        <v>378</v>
      </c>
      <c r="B112" t="s">
        <v>379</v>
      </c>
      <c r="C112" t="s">
        <v>22</v>
      </c>
      <c r="D112" t="s">
        <v>23</v>
      </c>
      <c r="E112">
        <v>2</v>
      </c>
      <c r="F112">
        <v>33.409999999999997</v>
      </c>
      <c r="G112">
        <v>60.14</v>
      </c>
      <c r="H112">
        <v>10</v>
      </c>
      <c r="I112" t="s">
        <v>16</v>
      </c>
      <c r="J112" t="s">
        <v>111</v>
      </c>
      <c r="K112" t="s">
        <v>380</v>
      </c>
      <c r="L112" t="s">
        <v>49</v>
      </c>
    </row>
    <row r="113" spans="1:12" x14ac:dyDescent="0.3">
      <c r="A113" t="s">
        <v>381</v>
      </c>
      <c r="B113" t="s">
        <v>382</v>
      </c>
      <c r="C113" t="s">
        <v>99</v>
      </c>
      <c r="D113" t="s">
        <v>23</v>
      </c>
      <c r="E113">
        <v>7</v>
      </c>
      <c r="F113">
        <v>14.78</v>
      </c>
      <c r="G113">
        <v>98.29</v>
      </c>
      <c r="H113">
        <v>5</v>
      </c>
      <c r="I113" t="s">
        <v>53</v>
      </c>
      <c r="J113" t="s">
        <v>170</v>
      </c>
      <c r="K113" t="s">
        <v>383</v>
      </c>
      <c r="L113" t="s">
        <v>27</v>
      </c>
    </row>
    <row r="114" spans="1:12" x14ac:dyDescent="0.3">
      <c r="A114" t="s">
        <v>384</v>
      </c>
      <c r="B114" t="s">
        <v>385</v>
      </c>
      <c r="C114" t="s">
        <v>14</v>
      </c>
      <c r="D114" t="s">
        <v>15</v>
      </c>
      <c r="E114">
        <v>22</v>
      </c>
      <c r="F114">
        <v>100.57</v>
      </c>
      <c r="G114">
        <v>1991.29</v>
      </c>
      <c r="H114">
        <v>10</v>
      </c>
      <c r="I114" t="s">
        <v>16</v>
      </c>
      <c r="J114" t="s">
        <v>111</v>
      </c>
      <c r="K114" t="s">
        <v>386</v>
      </c>
      <c r="L114" t="s">
        <v>19</v>
      </c>
    </row>
    <row r="115" spans="1:12" x14ac:dyDescent="0.3">
      <c r="A115" t="s">
        <v>387</v>
      </c>
      <c r="B115" t="s">
        <v>388</v>
      </c>
      <c r="C115" t="s">
        <v>58</v>
      </c>
      <c r="D115" t="s">
        <v>35</v>
      </c>
      <c r="E115">
        <v>44</v>
      </c>
      <c r="F115">
        <v>206.66</v>
      </c>
      <c r="G115">
        <v>8638.39</v>
      </c>
      <c r="H115">
        <v>5</v>
      </c>
      <c r="I115" t="s">
        <v>46</v>
      </c>
      <c r="J115" t="s">
        <v>47</v>
      </c>
      <c r="K115" t="s">
        <v>389</v>
      </c>
      <c r="L115" t="s">
        <v>31</v>
      </c>
    </row>
    <row r="116" spans="1:12" x14ac:dyDescent="0.3">
      <c r="A116" t="s">
        <v>390</v>
      </c>
      <c r="B116" t="s">
        <v>391</v>
      </c>
      <c r="C116" t="s">
        <v>63</v>
      </c>
      <c r="D116" t="s">
        <v>15</v>
      </c>
      <c r="E116">
        <v>34</v>
      </c>
      <c r="F116">
        <v>75.25</v>
      </c>
      <c r="G116">
        <v>2302.65</v>
      </c>
      <c r="H116">
        <v>10</v>
      </c>
      <c r="I116" t="s">
        <v>53</v>
      </c>
      <c r="J116" t="s">
        <v>141</v>
      </c>
      <c r="K116" t="s">
        <v>392</v>
      </c>
      <c r="L116" t="s">
        <v>49</v>
      </c>
    </row>
    <row r="117" spans="1:12" x14ac:dyDescent="0.3">
      <c r="A117" t="s">
        <v>393</v>
      </c>
      <c r="B117" t="s">
        <v>394</v>
      </c>
      <c r="C117" t="s">
        <v>99</v>
      </c>
      <c r="D117" t="s">
        <v>23</v>
      </c>
      <c r="E117">
        <v>15</v>
      </c>
      <c r="F117">
        <v>14.91</v>
      </c>
      <c r="G117">
        <v>212.47</v>
      </c>
      <c r="H117">
        <v>5</v>
      </c>
      <c r="I117" t="s">
        <v>46</v>
      </c>
      <c r="J117" t="s">
        <v>124</v>
      </c>
      <c r="K117" t="s">
        <v>395</v>
      </c>
      <c r="L117" t="s">
        <v>31</v>
      </c>
    </row>
    <row r="118" spans="1:12" x14ac:dyDescent="0.3">
      <c r="A118" t="s">
        <v>396</v>
      </c>
      <c r="B118" t="s">
        <v>397</v>
      </c>
      <c r="C118" t="s">
        <v>34</v>
      </c>
      <c r="D118" t="s">
        <v>35</v>
      </c>
      <c r="E118">
        <v>4</v>
      </c>
      <c r="F118">
        <v>579.55999999999995</v>
      </c>
      <c r="G118">
        <v>2202.33</v>
      </c>
      <c r="H118">
        <v>5</v>
      </c>
      <c r="I118" t="s">
        <v>24</v>
      </c>
      <c r="J118" t="s">
        <v>104</v>
      </c>
      <c r="K118" t="s">
        <v>398</v>
      </c>
      <c r="L118" t="s">
        <v>69</v>
      </c>
    </row>
    <row r="119" spans="1:12" x14ac:dyDescent="0.3">
      <c r="A119" t="s">
        <v>399</v>
      </c>
      <c r="B119" t="s">
        <v>400</v>
      </c>
      <c r="C119" t="s">
        <v>95</v>
      </c>
      <c r="D119" t="s">
        <v>35</v>
      </c>
      <c r="E119">
        <v>4</v>
      </c>
      <c r="F119">
        <v>900.7</v>
      </c>
      <c r="G119">
        <v>3422.66</v>
      </c>
      <c r="H119">
        <v>5</v>
      </c>
      <c r="I119" t="s">
        <v>46</v>
      </c>
      <c r="J119" t="s">
        <v>83</v>
      </c>
      <c r="K119" t="s">
        <v>171</v>
      </c>
      <c r="L119" t="s">
        <v>49</v>
      </c>
    </row>
    <row r="120" spans="1:12" x14ac:dyDescent="0.3">
      <c r="A120" t="s">
        <v>401</v>
      </c>
      <c r="B120" t="s">
        <v>402</v>
      </c>
      <c r="C120" t="s">
        <v>123</v>
      </c>
      <c r="D120" t="s">
        <v>15</v>
      </c>
      <c r="E120">
        <v>7</v>
      </c>
      <c r="F120">
        <v>39.840000000000003</v>
      </c>
      <c r="G120">
        <v>250.99</v>
      </c>
      <c r="H120">
        <v>10</v>
      </c>
      <c r="I120" t="s">
        <v>16</v>
      </c>
      <c r="J120" t="s">
        <v>74</v>
      </c>
      <c r="K120" t="s">
        <v>403</v>
      </c>
      <c r="L120" t="s">
        <v>31</v>
      </c>
    </row>
    <row r="121" spans="1:12" x14ac:dyDescent="0.3">
      <c r="A121" t="s">
        <v>404</v>
      </c>
      <c r="B121" t="s">
        <v>405</v>
      </c>
      <c r="C121" t="s">
        <v>82</v>
      </c>
      <c r="D121" t="s">
        <v>73</v>
      </c>
      <c r="E121">
        <v>6</v>
      </c>
      <c r="F121">
        <v>493.27</v>
      </c>
      <c r="G121">
        <v>2663.66</v>
      </c>
      <c r="H121">
        <v>10</v>
      </c>
      <c r="I121" t="s">
        <v>53</v>
      </c>
      <c r="J121" t="s">
        <v>54</v>
      </c>
      <c r="K121" t="s">
        <v>406</v>
      </c>
      <c r="L121" t="s">
        <v>69</v>
      </c>
    </row>
    <row r="122" spans="1:12" x14ac:dyDescent="0.3">
      <c r="A122" t="s">
        <v>407</v>
      </c>
      <c r="B122" t="s">
        <v>408</v>
      </c>
      <c r="C122" t="s">
        <v>90</v>
      </c>
      <c r="D122" t="s">
        <v>23</v>
      </c>
      <c r="E122">
        <v>13</v>
      </c>
      <c r="F122">
        <v>18.61</v>
      </c>
      <c r="G122">
        <v>241.93</v>
      </c>
      <c r="H122">
        <v>0</v>
      </c>
      <c r="I122" t="s">
        <v>46</v>
      </c>
      <c r="J122" t="s">
        <v>244</v>
      </c>
      <c r="K122" t="s">
        <v>409</v>
      </c>
      <c r="L122" t="s">
        <v>31</v>
      </c>
    </row>
    <row r="123" spans="1:12" x14ac:dyDescent="0.3">
      <c r="A123" t="s">
        <v>410</v>
      </c>
      <c r="B123" t="s">
        <v>411</v>
      </c>
      <c r="C123" t="s">
        <v>22</v>
      </c>
      <c r="D123" t="s">
        <v>23</v>
      </c>
      <c r="E123">
        <v>12</v>
      </c>
      <c r="F123">
        <v>34.020000000000003</v>
      </c>
      <c r="G123">
        <v>408.24</v>
      </c>
      <c r="H123">
        <v>0</v>
      </c>
      <c r="I123" t="s">
        <v>53</v>
      </c>
      <c r="J123" t="s">
        <v>54</v>
      </c>
      <c r="K123" t="s">
        <v>412</v>
      </c>
      <c r="L123" t="s">
        <v>49</v>
      </c>
    </row>
    <row r="124" spans="1:12" x14ac:dyDescent="0.3">
      <c r="A124" t="s">
        <v>413</v>
      </c>
      <c r="B124" t="s">
        <v>414</v>
      </c>
      <c r="C124" t="s">
        <v>14</v>
      </c>
      <c r="D124" t="s">
        <v>15</v>
      </c>
      <c r="E124">
        <v>36</v>
      </c>
      <c r="F124">
        <v>84.11</v>
      </c>
      <c r="G124">
        <v>3027.96</v>
      </c>
      <c r="H124">
        <v>0</v>
      </c>
      <c r="I124" t="s">
        <v>53</v>
      </c>
      <c r="J124" t="s">
        <v>67</v>
      </c>
      <c r="K124" t="s">
        <v>415</v>
      </c>
      <c r="L124" t="s">
        <v>49</v>
      </c>
    </row>
    <row r="125" spans="1:12" x14ac:dyDescent="0.3">
      <c r="A125" t="s">
        <v>416</v>
      </c>
      <c r="B125" t="s">
        <v>417</v>
      </c>
      <c r="C125" t="s">
        <v>63</v>
      </c>
      <c r="D125" t="s">
        <v>15</v>
      </c>
      <c r="E125">
        <v>29</v>
      </c>
      <c r="F125">
        <v>53.16</v>
      </c>
      <c r="G125">
        <v>1464.56</v>
      </c>
      <c r="H125">
        <v>5</v>
      </c>
      <c r="I125" t="s">
        <v>46</v>
      </c>
      <c r="J125" t="s">
        <v>47</v>
      </c>
      <c r="K125" t="s">
        <v>418</v>
      </c>
      <c r="L125" t="s">
        <v>27</v>
      </c>
    </row>
    <row r="126" spans="1:12" x14ac:dyDescent="0.3">
      <c r="A126" t="s">
        <v>419</v>
      </c>
      <c r="B126" t="s">
        <v>420</v>
      </c>
      <c r="C126" t="s">
        <v>99</v>
      </c>
      <c r="D126" t="s">
        <v>23</v>
      </c>
      <c r="E126">
        <v>49</v>
      </c>
      <c r="F126">
        <v>24.42</v>
      </c>
      <c r="G126">
        <v>1017.09</v>
      </c>
      <c r="H126">
        <v>15</v>
      </c>
      <c r="I126" t="s">
        <v>53</v>
      </c>
      <c r="J126" t="s">
        <v>170</v>
      </c>
      <c r="K126" t="s">
        <v>421</v>
      </c>
      <c r="L126" t="s">
        <v>69</v>
      </c>
    </row>
    <row r="127" spans="1:12" x14ac:dyDescent="0.3">
      <c r="A127" t="s">
        <v>422</v>
      </c>
      <c r="B127" t="s">
        <v>423</v>
      </c>
      <c r="C127" t="s">
        <v>40</v>
      </c>
      <c r="D127" t="s">
        <v>23</v>
      </c>
      <c r="E127">
        <v>6</v>
      </c>
      <c r="F127">
        <v>76</v>
      </c>
      <c r="G127">
        <v>456</v>
      </c>
      <c r="H127">
        <v>0</v>
      </c>
      <c r="I127" t="s">
        <v>53</v>
      </c>
      <c r="J127" t="s">
        <v>170</v>
      </c>
      <c r="K127" t="s">
        <v>424</v>
      </c>
      <c r="L127" t="s">
        <v>27</v>
      </c>
    </row>
    <row r="128" spans="1:12" x14ac:dyDescent="0.3">
      <c r="A128" t="s">
        <v>425</v>
      </c>
      <c r="B128" t="s">
        <v>426</v>
      </c>
      <c r="C128" t="s">
        <v>45</v>
      </c>
      <c r="D128" t="s">
        <v>23</v>
      </c>
      <c r="E128">
        <v>24</v>
      </c>
      <c r="F128">
        <v>178.39</v>
      </c>
      <c r="G128">
        <v>4067.29</v>
      </c>
      <c r="H128">
        <v>5</v>
      </c>
      <c r="I128" t="s">
        <v>53</v>
      </c>
      <c r="J128" t="s">
        <v>170</v>
      </c>
      <c r="K128" t="s">
        <v>427</v>
      </c>
      <c r="L128" t="s">
        <v>31</v>
      </c>
    </row>
    <row r="129" spans="1:12" x14ac:dyDescent="0.3">
      <c r="A129" t="s">
        <v>428</v>
      </c>
      <c r="B129" t="s">
        <v>429</v>
      </c>
      <c r="C129" t="s">
        <v>82</v>
      </c>
      <c r="D129" t="s">
        <v>73</v>
      </c>
      <c r="E129">
        <v>22</v>
      </c>
      <c r="F129">
        <v>718.94</v>
      </c>
      <c r="G129">
        <v>14235.01</v>
      </c>
      <c r="H129">
        <v>10</v>
      </c>
      <c r="I129" t="s">
        <v>16</v>
      </c>
      <c r="J129" t="s">
        <v>17</v>
      </c>
      <c r="K129" t="s">
        <v>430</v>
      </c>
      <c r="L129" t="s">
        <v>49</v>
      </c>
    </row>
    <row r="130" spans="1:12" x14ac:dyDescent="0.3">
      <c r="A130" t="s">
        <v>431</v>
      </c>
      <c r="B130" t="s">
        <v>432</v>
      </c>
      <c r="C130" t="s">
        <v>123</v>
      </c>
      <c r="D130" t="s">
        <v>15</v>
      </c>
      <c r="E130">
        <v>39</v>
      </c>
      <c r="F130">
        <v>39.200000000000003</v>
      </c>
      <c r="G130">
        <v>1452.36</v>
      </c>
      <c r="H130">
        <v>5</v>
      </c>
      <c r="I130" t="s">
        <v>24</v>
      </c>
      <c r="J130" t="s">
        <v>25</v>
      </c>
      <c r="K130" t="s">
        <v>433</v>
      </c>
      <c r="L130" t="s">
        <v>19</v>
      </c>
    </row>
    <row r="131" spans="1:12" x14ac:dyDescent="0.3">
      <c r="A131" t="s">
        <v>434</v>
      </c>
      <c r="B131" t="s">
        <v>435</v>
      </c>
      <c r="C131" t="s">
        <v>52</v>
      </c>
      <c r="D131" t="s">
        <v>35</v>
      </c>
      <c r="E131">
        <v>36</v>
      </c>
      <c r="F131">
        <v>327.82</v>
      </c>
      <c r="G131">
        <v>11211.44</v>
      </c>
      <c r="H131">
        <v>5</v>
      </c>
      <c r="I131" t="s">
        <v>53</v>
      </c>
      <c r="J131" t="s">
        <v>170</v>
      </c>
      <c r="K131" t="s">
        <v>436</v>
      </c>
      <c r="L131" t="s">
        <v>27</v>
      </c>
    </row>
    <row r="132" spans="1:12" x14ac:dyDescent="0.3">
      <c r="A132" t="s">
        <v>437</v>
      </c>
      <c r="B132" t="s">
        <v>438</v>
      </c>
      <c r="C132" t="s">
        <v>123</v>
      </c>
      <c r="D132" t="s">
        <v>15</v>
      </c>
      <c r="E132">
        <v>45</v>
      </c>
      <c r="F132">
        <v>24.38</v>
      </c>
      <c r="G132">
        <v>877.68</v>
      </c>
      <c r="H132">
        <v>20</v>
      </c>
      <c r="I132" t="s">
        <v>46</v>
      </c>
      <c r="J132" t="s">
        <v>124</v>
      </c>
      <c r="K132" t="s">
        <v>439</v>
      </c>
      <c r="L132" t="s">
        <v>27</v>
      </c>
    </row>
    <row r="133" spans="1:12" x14ac:dyDescent="0.3">
      <c r="A133" t="s">
        <v>440</v>
      </c>
      <c r="B133" t="s">
        <v>441</v>
      </c>
      <c r="C133" t="s">
        <v>90</v>
      </c>
      <c r="D133" t="s">
        <v>23</v>
      </c>
      <c r="E133">
        <v>40</v>
      </c>
      <c r="F133">
        <v>35.619999999999997</v>
      </c>
      <c r="G133">
        <v>1139.8399999999999</v>
      </c>
      <c r="H133">
        <v>20</v>
      </c>
      <c r="I133" t="s">
        <v>46</v>
      </c>
      <c r="J133" t="s">
        <v>244</v>
      </c>
      <c r="K133" t="s">
        <v>442</v>
      </c>
      <c r="L133" t="s">
        <v>19</v>
      </c>
    </row>
    <row r="134" spans="1:12" x14ac:dyDescent="0.3">
      <c r="A134" t="s">
        <v>443</v>
      </c>
      <c r="B134" t="s">
        <v>444</v>
      </c>
      <c r="C134" t="s">
        <v>58</v>
      </c>
      <c r="D134" t="s">
        <v>35</v>
      </c>
      <c r="E134">
        <v>33</v>
      </c>
      <c r="F134">
        <v>287.77999999999997</v>
      </c>
      <c r="G134">
        <v>8547.07</v>
      </c>
      <c r="H134">
        <v>10</v>
      </c>
      <c r="I134" t="s">
        <v>46</v>
      </c>
      <c r="J134" t="s">
        <v>83</v>
      </c>
      <c r="K134" t="s">
        <v>445</v>
      </c>
      <c r="L134" t="s">
        <v>31</v>
      </c>
    </row>
    <row r="135" spans="1:12" x14ac:dyDescent="0.3">
      <c r="A135" t="s">
        <v>446</v>
      </c>
      <c r="B135" t="s">
        <v>447</v>
      </c>
      <c r="C135" t="s">
        <v>22</v>
      </c>
      <c r="D135" t="s">
        <v>23</v>
      </c>
      <c r="E135">
        <v>30</v>
      </c>
      <c r="F135">
        <v>27.49</v>
      </c>
      <c r="G135">
        <v>824.7</v>
      </c>
      <c r="H135">
        <v>0</v>
      </c>
      <c r="I135" t="s">
        <v>53</v>
      </c>
      <c r="J135" t="s">
        <v>134</v>
      </c>
      <c r="K135" t="s">
        <v>448</v>
      </c>
      <c r="L135" t="s">
        <v>19</v>
      </c>
    </row>
    <row r="136" spans="1:12" x14ac:dyDescent="0.3">
      <c r="A136" t="s">
        <v>449</v>
      </c>
      <c r="B136" t="s">
        <v>450</v>
      </c>
      <c r="C136" t="s">
        <v>63</v>
      </c>
      <c r="D136" t="s">
        <v>15</v>
      </c>
      <c r="E136">
        <v>24</v>
      </c>
      <c r="F136">
        <v>47.71</v>
      </c>
      <c r="G136">
        <v>916.03</v>
      </c>
      <c r="H136">
        <v>20</v>
      </c>
      <c r="I136" t="s">
        <v>16</v>
      </c>
      <c r="J136" t="s">
        <v>17</v>
      </c>
      <c r="K136" t="s">
        <v>451</v>
      </c>
      <c r="L136" t="s">
        <v>27</v>
      </c>
    </row>
    <row r="137" spans="1:12" x14ac:dyDescent="0.3">
      <c r="A137" t="s">
        <v>452</v>
      </c>
      <c r="B137" t="s">
        <v>29</v>
      </c>
      <c r="C137" t="s">
        <v>63</v>
      </c>
      <c r="D137" t="s">
        <v>15</v>
      </c>
      <c r="E137">
        <v>32</v>
      </c>
      <c r="F137">
        <v>76.89</v>
      </c>
      <c r="G137">
        <v>2460.48</v>
      </c>
      <c r="H137">
        <v>0</v>
      </c>
      <c r="I137" t="s">
        <v>16</v>
      </c>
      <c r="J137" t="s">
        <v>17</v>
      </c>
      <c r="K137" t="s">
        <v>289</v>
      </c>
      <c r="L137" t="s">
        <v>69</v>
      </c>
    </row>
    <row r="138" spans="1:12" x14ac:dyDescent="0.3">
      <c r="A138" t="s">
        <v>453</v>
      </c>
      <c r="B138" t="s">
        <v>454</v>
      </c>
      <c r="C138" t="s">
        <v>72</v>
      </c>
      <c r="D138" t="s">
        <v>73</v>
      </c>
      <c r="E138">
        <v>5</v>
      </c>
      <c r="F138">
        <v>499.57</v>
      </c>
      <c r="G138">
        <v>2248.0700000000002</v>
      </c>
      <c r="H138">
        <v>10</v>
      </c>
      <c r="I138" t="s">
        <v>46</v>
      </c>
      <c r="J138" t="s">
        <v>124</v>
      </c>
      <c r="K138" t="s">
        <v>455</v>
      </c>
      <c r="L138" t="s">
        <v>49</v>
      </c>
    </row>
    <row r="139" spans="1:12" x14ac:dyDescent="0.3">
      <c r="A139" t="s">
        <v>456</v>
      </c>
      <c r="B139" t="s">
        <v>457</v>
      </c>
      <c r="C139" t="s">
        <v>99</v>
      </c>
      <c r="D139" t="s">
        <v>23</v>
      </c>
      <c r="E139">
        <v>40</v>
      </c>
      <c r="F139">
        <v>13.06</v>
      </c>
      <c r="G139">
        <v>470.16</v>
      </c>
      <c r="H139">
        <v>10</v>
      </c>
      <c r="I139" t="s">
        <v>46</v>
      </c>
      <c r="J139" t="s">
        <v>124</v>
      </c>
      <c r="K139" t="s">
        <v>458</v>
      </c>
      <c r="L139" t="s">
        <v>69</v>
      </c>
    </row>
    <row r="140" spans="1:12" x14ac:dyDescent="0.3">
      <c r="A140" t="s">
        <v>459</v>
      </c>
      <c r="B140" t="s">
        <v>460</v>
      </c>
      <c r="C140" t="s">
        <v>72</v>
      </c>
      <c r="D140" t="s">
        <v>73</v>
      </c>
      <c r="E140">
        <v>43</v>
      </c>
      <c r="F140">
        <v>335.63</v>
      </c>
      <c r="G140">
        <v>14432.09</v>
      </c>
      <c r="H140">
        <v>0</v>
      </c>
      <c r="I140" t="s">
        <v>24</v>
      </c>
      <c r="J140" t="s">
        <v>59</v>
      </c>
      <c r="K140" t="s">
        <v>461</v>
      </c>
      <c r="L140" t="s">
        <v>19</v>
      </c>
    </row>
    <row r="141" spans="1:12" x14ac:dyDescent="0.3">
      <c r="A141" t="s">
        <v>462</v>
      </c>
      <c r="B141" t="s">
        <v>463</v>
      </c>
      <c r="C141" t="s">
        <v>58</v>
      </c>
      <c r="D141" t="s">
        <v>35</v>
      </c>
      <c r="E141">
        <v>32</v>
      </c>
      <c r="F141">
        <v>355.11</v>
      </c>
      <c r="G141">
        <v>10795.34</v>
      </c>
      <c r="H141">
        <v>5</v>
      </c>
      <c r="I141" t="s">
        <v>24</v>
      </c>
      <c r="J141" t="s">
        <v>25</v>
      </c>
      <c r="K141" t="s">
        <v>55</v>
      </c>
      <c r="L141" t="s">
        <v>31</v>
      </c>
    </row>
    <row r="142" spans="1:12" x14ac:dyDescent="0.3">
      <c r="A142" t="s">
        <v>464</v>
      </c>
      <c r="B142" t="s">
        <v>465</v>
      </c>
      <c r="C142" t="s">
        <v>103</v>
      </c>
      <c r="D142" t="s">
        <v>35</v>
      </c>
      <c r="E142">
        <v>46</v>
      </c>
      <c r="F142">
        <v>274.70999999999998</v>
      </c>
      <c r="G142">
        <v>12004.83</v>
      </c>
      <c r="H142">
        <v>5</v>
      </c>
      <c r="I142" t="s">
        <v>46</v>
      </c>
      <c r="J142" t="s">
        <v>78</v>
      </c>
      <c r="K142" t="s">
        <v>466</v>
      </c>
      <c r="L142" t="s">
        <v>31</v>
      </c>
    </row>
    <row r="143" spans="1:12" x14ac:dyDescent="0.3">
      <c r="A143" t="s">
        <v>467</v>
      </c>
      <c r="B143" t="s">
        <v>291</v>
      </c>
      <c r="C143" t="s">
        <v>58</v>
      </c>
      <c r="D143" t="s">
        <v>35</v>
      </c>
      <c r="E143">
        <v>46</v>
      </c>
      <c r="F143">
        <v>424.79</v>
      </c>
      <c r="G143">
        <v>17586.310000000001</v>
      </c>
      <c r="H143">
        <v>10</v>
      </c>
      <c r="I143" t="s">
        <v>53</v>
      </c>
      <c r="J143" t="s">
        <v>141</v>
      </c>
      <c r="K143" t="s">
        <v>468</v>
      </c>
      <c r="L143" t="s">
        <v>49</v>
      </c>
    </row>
    <row r="144" spans="1:12" x14ac:dyDescent="0.3">
      <c r="A144" t="s">
        <v>469</v>
      </c>
      <c r="B144" t="s">
        <v>470</v>
      </c>
      <c r="C144" t="s">
        <v>82</v>
      </c>
      <c r="D144" t="s">
        <v>73</v>
      </c>
      <c r="E144">
        <v>15</v>
      </c>
      <c r="F144">
        <v>395.69</v>
      </c>
      <c r="G144">
        <v>5638.58</v>
      </c>
      <c r="H144">
        <v>5</v>
      </c>
      <c r="I144" t="s">
        <v>46</v>
      </c>
      <c r="J144" t="s">
        <v>124</v>
      </c>
      <c r="K144" t="s">
        <v>383</v>
      </c>
      <c r="L144" t="s">
        <v>31</v>
      </c>
    </row>
    <row r="145" spans="1:12" x14ac:dyDescent="0.3">
      <c r="A145" t="s">
        <v>471</v>
      </c>
      <c r="B145" t="s">
        <v>472</v>
      </c>
      <c r="C145" t="s">
        <v>95</v>
      </c>
      <c r="D145" t="s">
        <v>35</v>
      </c>
      <c r="E145">
        <v>12</v>
      </c>
      <c r="F145">
        <v>1069.95</v>
      </c>
      <c r="G145">
        <v>12839.4</v>
      </c>
      <c r="H145">
        <v>0</v>
      </c>
      <c r="I145" t="s">
        <v>16</v>
      </c>
      <c r="J145" t="s">
        <v>91</v>
      </c>
      <c r="K145" t="s">
        <v>473</v>
      </c>
      <c r="L145" t="s">
        <v>49</v>
      </c>
    </row>
    <row r="146" spans="1:12" x14ac:dyDescent="0.3">
      <c r="A146" t="s">
        <v>474</v>
      </c>
      <c r="B146" t="s">
        <v>475</v>
      </c>
      <c r="C146" t="s">
        <v>123</v>
      </c>
      <c r="D146" t="s">
        <v>15</v>
      </c>
      <c r="E146">
        <v>11</v>
      </c>
      <c r="F146">
        <v>35.03</v>
      </c>
      <c r="G146">
        <v>385.33</v>
      </c>
      <c r="H146">
        <v>0</v>
      </c>
      <c r="I146" t="s">
        <v>46</v>
      </c>
      <c r="J146" t="s">
        <v>124</v>
      </c>
      <c r="K146" t="s">
        <v>476</v>
      </c>
      <c r="L146" t="s">
        <v>19</v>
      </c>
    </row>
    <row r="147" spans="1:12" x14ac:dyDescent="0.3">
      <c r="A147" t="s">
        <v>477</v>
      </c>
      <c r="B147" t="s">
        <v>478</v>
      </c>
      <c r="C147" t="s">
        <v>95</v>
      </c>
      <c r="D147" t="s">
        <v>35</v>
      </c>
      <c r="E147">
        <v>16</v>
      </c>
      <c r="F147">
        <v>1009.59</v>
      </c>
      <c r="G147">
        <v>16153.44</v>
      </c>
      <c r="H147">
        <v>0</v>
      </c>
      <c r="I147" t="s">
        <v>16</v>
      </c>
      <c r="J147" t="s">
        <v>111</v>
      </c>
      <c r="K147" t="s">
        <v>479</v>
      </c>
      <c r="L147" t="s">
        <v>31</v>
      </c>
    </row>
    <row r="148" spans="1:12" x14ac:dyDescent="0.3">
      <c r="A148" t="s">
        <v>480</v>
      </c>
      <c r="B148" t="s">
        <v>481</v>
      </c>
      <c r="C148" t="s">
        <v>45</v>
      </c>
      <c r="D148" t="s">
        <v>23</v>
      </c>
      <c r="E148">
        <v>47</v>
      </c>
      <c r="F148">
        <v>174.18</v>
      </c>
      <c r="G148">
        <v>8186.46</v>
      </c>
      <c r="H148">
        <v>0</v>
      </c>
      <c r="I148" t="s">
        <v>53</v>
      </c>
      <c r="J148" t="s">
        <v>134</v>
      </c>
      <c r="K148" t="s">
        <v>482</v>
      </c>
      <c r="L148" t="s">
        <v>31</v>
      </c>
    </row>
    <row r="149" spans="1:12" x14ac:dyDescent="0.3">
      <c r="A149" t="s">
        <v>483</v>
      </c>
      <c r="B149" t="s">
        <v>484</v>
      </c>
      <c r="C149" t="s">
        <v>90</v>
      </c>
      <c r="D149" t="s">
        <v>23</v>
      </c>
      <c r="E149">
        <v>40</v>
      </c>
      <c r="F149">
        <v>33.57</v>
      </c>
      <c r="G149">
        <v>1275.6600000000001</v>
      </c>
      <c r="H149">
        <v>5</v>
      </c>
      <c r="I149" t="s">
        <v>16</v>
      </c>
      <c r="J149" t="s">
        <v>111</v>
      </c>
      <c r="K149" t="s">
        <v>485</v>
      </c>
      <c r="L149" t="s">
        <v>27</v>
      </c>
    </row>
    <row r="150" spans="1:12" x14ac:dyDescent="0.3">
      <c r="A150" t="s">
        <v>486</v>
      </c>
      <c r="B150" t="s">
        <v>487</v>
      </c>
      <c r="C150" t="s">
        <v>90</v>
      </c>
      <c r="D150" t="s">
        <v>23</v>
      </c>
      <c r="E150">
        <v>7</v>
      </c>
      <c r="F150">
        <v>28.55</v>
      </c>
      <c r="G150">
        <v>189.86</v>
      </c>
      <c r="H150">
        <v>5</v>
      </c>
      <c r="I150" t="s">
        <v>24</v>
      </c>
      <c r="J150" t="s">
        <v>41</v>
      </c>
      <c r="K150" t="s">
        <v>488</v>
      </c>
      <c r="L150" t="s">
        <v>19</v>
      </c>
    </row>
    <row r="151" spans="1:12" x14ac:dyDescent="0.3">
      <c r="A151" t="s">
        <v>489</v>
      </c>
      <c r="B151" t="s">
        <v>490</v>
      </c>
      <c r="C151" t="s">
        <v>99</v>
      </c>
      <c r="D151" t="s">
        <v>23</v>
      </c>
      <c r="E151">
        <v>4</v>
      </c>
      <c r="F151">
        <v>29.84</v>
      </c>
      <c r="G151">
        <v>113.39</v>
      </c>
      <c r="H151">
        <v>5</v>
      </c>
      <c r="I151" t="s">
        <v>24</v>
      </c>
      <c r="J151" t="s">
        <v>104</v>
      </c>
      <c r="K151" t="s">
        <v>491</v>
      </c>
      <c r="L151" t="s">
        <v>31</v>
      </c>
    </row>
    <row r="152" spans="1:12" x14ac:dyDescent="0.3">
      <c r="A152" t="s">
        <v>492</v>
      </c>
      <c r="B152" t="s">
        <v>493</v>
      </c>
      <c r="C152" t="s">
        <v>52</v>
      </c>
      <c r="D152" t="s">
        <v>35</v>
      </c>
      <c r="E152">
        <v>16</v>
      </c>
      <c r="F152">
        <v>145.46</v>
      </c>
      <c r="G152">
        <v>2327.36</v>
      </c>
      <c r="H152">
        <v>0</v>
      </c>
      <c r="I152" t="s">
        <v>16</v>
      </c>
      <c r="J152" t="s">
        <v>111</v>
      </c>
      <c r="K152" t="s">
        <v>494</v>
      </c>
      <c r="L152" t="s">
        <v>69</v>
      </c>
    </row>
    <row r="153" spans="1:12" x14ac:dyDescent="0.3">
      <c r="A153" t="s">
        <v>495</v>
      </c>
      <c r="B153" t="s">
        <v>496</v>
      </c>
      <c r="C153" t="s">
        <v>123</v>
      </c>
      <c r="D153" t="s">
        <v>15</v>
      </c>
      <c r="E153">
        <v>2</v>
      </c>
      <c r="F153">
        <v>31.76</v>
      </c>
      <c r="G153">
        <v>57.17</v>
      </c>
      <c r="H153">
        <v>10</v>
      </c>
      <c r="I153" t="s">
        <v>53</v>
      </c>
      <c r="J153" t="s">
        <v>170</v>
      </c>
      <c r="K153" t="s">
        <v>497</v>
      </c>
      <c r="L153" t="s">
        <v>31</v>
      </c>
    </row>
    <row r="154" spans="1:12" x14ac:dyDescent="0.3">
      <c r="A154" t="s">
        <v>498</v>
      </c>
      <c r="B154" t="s">
        <v>499</v>
      </c>
      <c r="C154" t="s">
        <v>58</v>
      </c>
      <c r="D154" t="s">
        <v>35</v>
      </c>
      <c r="E154">
        <v>15</v>
      </c>
      <c r="F154">
        <v>426.15</v>
      </c>
      <c r="G154">
        <v>6072.64</v>
      </c>
      <c r="H154">
        <v>5</v>
      </c>
      <c r="I154" t="s">
        <v>46</v>
      </c>
      <c r="J154" t="s">
        <v>83</v>
      </c>
      <c r="K154" t="s">
        <v>500</v>
      </c>
      <c r="L154" t="s">
        <v>31</v>
      </c>
    </row>
    <row r="155" spans="1:12" x14ac:dyDescent="0.3">
      <c r="A155" t="s">
        <v>501</v>
      </c>
      <c r="B155" t="s">
        <v>502</v>
      </c>
      <c r="C155" t="s">
        <v>52</v>
      </c>
      <c r="D155" t="s">
        <v>35</v>
      </c>
      <c r="E155">
        <v>22</v>
      </c>
      <c r="F155">
        <v>172.23</v>
      </c>
      <c r="G155">
        <v>3220.7</v>
      </c>
      <c r="H155">
        <v>15</v>
      </c>
      <c r="I155" t="s">
        <v>46</v>
      </c>
      <c r="J155" t="s">
        <v>78</v>
      </c>
      <c r="K155" t="s">
        <v>503</v>
      </c>
      <c r="L155" t="s">
        <v>19</v>
      </c>
    </row>
    <row r="156" spans="1:12" x14ac:dyDescent="0.3">
      <c r="A156" t="s">
        <v>504</v>
      </c>
      <c r="B156" t="s">
        <v>505</v>
      </c>
      <c r="C156" t="s">
        <v>95</v>
      </c>
      <c r="D156" t="s">
        <v>35</v>
      </c>
      <c r="E156">
        <v>49</v>
      </c>
      <c r="F156">
        <v>1031.46</v>
      </c>
      <c r="G156">
        <v>48014.46</v>
      </c>
      <c r="H156">
        <v>5</v>
      </c>
      <c r="I156" t="s">
        <v>24</v>
      </c>
      <c r="J156" t="s">
        <v>41</v>
      </c>
      <c r="K156" t="s">
        <v>506</v>
      </c>
      <c r="L156" t="s">
        <v>69</v>
      </c>
    </row>
    <row r="157" spans="1:12" x14ac:dyDescent="0.3">
      <c r="A157" t="s">
        <v>507</v>
      </c>
      <c r="B157" t="s">
        <v>508</v>
      </c>
      <c r="C157" t="s">
        <v>14</v>
      </c>
      <c r="D157" t="s">
        <v>15</v>
      </c>
      <c r="E157">
        <v>30</v>
      </c>
      <c r="F157">
        <v>59.43</v>
      </c>
      <c r="G157">
        <v>1693.76</v>
      </c>
      <c r="H157">
        <v>5</v>
      </c>
      <c r="I157" t="s">
        <v>24</v>
      </c>
      <c r="J157" t="s">
        <v>25</v>
      </c>
      <c r="K157" t="s">
        <v>509</v>
      </c>
      <c r="L157" t="s">
        <v>69</v>
      </c>
    </row>
    <row r="158" spans="1:12" x14ac:dyDescent="0.3">
      <c r="A158" t="s">
        <v>510</v>
      </c>
      <c r="B158" t="s">
        <v>511</v>
      </c>
      <c r="C158" t="s">
        <v>63</v>
      </c>
      <c r="D158" t="s">
        <v>15</v>
      </c>
      <c r="E158">
        <v>13</v>
      </c>
      <c r="F158">
        <v>65.83</v>
      </c>
      <c r="G158">
        <v>855.79</v>
      </c>
      <c r="H158">
        <v>0</v>
      </c>
      <c r="I158" t="s">
        <v>53</v>
      </c>
      <c r="J158" t="s">
        <v>170</v>
      </c>
      <c r="K158" t="s">
        <v>512</v>
      </c>
      <c r="L158" t="s">
        <v>19</v>
      </c>
    </row>
    <row r="159" spans="1:12" x14ac:dyDescent="0.3">
      <c r="A159" t="s">
        <v>513</v>
      </c>
      <c r="B159" t="s">
        <v>514</v>
      </c>
      <c r="C159" t="s">
        <v>58</v>
      </c>
      <c r="D159" t="s">
        <v>35</v>
      </c>
      <c r="E159">
        <v>15</v>
      </c>
      <c r="F159">
        <v>237.76</v>
      </c>
      <c r="G159">
        <v>3388.08</v>
      </c>
      <c r="H159">
        <v>5</v>
      </c>
      <c r="I159" t="s">
        <v>46</v>
      </c>
      <c r="J159" t="s">
        <v>83</v>
      </c>
      <c r="K159" t="s">
        <v>515</v>
      </c>
      <c r="L159" t="s">
        <v>19</v>
      </c>
    </row>
    <row r="160" spans="1:12" x14ac:dyDescent="0.3">
      <c r="A160" t="s">
        <v>516</v>
      </c>
      <c r="B160" t="s">
        <v>517</v>
      </c>
      <c r="C160" t="s">
        <v>34</v>
      </c>
      <c r="D160" t="s">
        <v>35</v>
      </c>
      <c r="E160">
        <v>32</v>
      </c>
      <c r="F160">
        <v>851.27</v>
      </c>
      <c r="G160">
        <v>24516.58</v>
      </c>
      <c r="H160">
        <v>10</v>
      </c>
      <c r="I160" t="s">
        <v>46</v>
      </c>
      <c r="J160" t="s">
        <v>244</v>
      </c>
      <c r="K160" t="s">
        <v>518</v>
      </c>
      <c r="L160" t="s">
        <v>31</v>
      </c>
    </row>
    <row r="161" spans="1:12" x14ac:dyDescent="0.3">
      <c r="A161" t="s">
        <v>519</v>
      </c>
      <c r="B161" t="s">
        <v>520</v>
      </c>
      <c r="C161" t="s">
        <v>103</v>
      </c>
      <c r="D161" t="s">
        <v>35</v>
      </c>
      <c r="E161">
        <v>11</v>
      </c>
      <c r="F161">
        <v>392.91</v>
      </c>
      <c r="G161">
        <v>4322.01</v>
      </c>
      <c r="H161">
        <v>0</v>
      </c>
      <c r="I161" t="s">
        <v>46</v>
      </c>
      <c r="J161" t="s">
        <v>83</v>
      </c>
      <c r="K161" t="s">
        <v>167</v>
      </c>
      <c r="L161" t="s">
        <v>69</v>
      </c>
    </row>
    <row r="162" spans="1:12" x14ac:dyDescent="0.3">
      <c r="A162" t="s">
        <v>521</v>
      </c>
      <c r="B162" t="s">
        <v>522</v>
      </c>
      <c r="C162" t="s">
        <v>99</v>
      </c>
      <c r="D162" t="s">
        <v>23</v>
      </c>
      <c r="E162">
        <v>40</v>
      </c>
      <c r="F162">
        <v>17.87</v>
      </c>
      <c r="G162">
        <v>679.06</v>
      </c>
      <c r="H162">
        <v>5</v>
      </c>
      <c r="I162" t="s">
        <v>16</v>
      </c>
      <c r="J162" t="s">
        <v>111</v>
      </c>
      <c r="K162" t="s">
        <v>523</v>
      </c>
      <c r="L162" t="s">
        <v>69</v>
      </c>
    </row>
    <row r="163" spans="1:12" x14ac:dyDescent="0.3">
      <c r="A163" t="s">
        <v>524</v>
      </c>
      <c r="B163" t="s">
        <v>525</v>
      </c>
      <c r="C163" t="s">
        <v>14</v>
      </c>
      <c r="D163" t="s">
        <v>15</v>
      </c>
      <c r="E163">
        <v>44</v>
      </c>
      <c r="F163">
        <v>67.94</v>
      </c>
      <c r="G163">
        <v>2839.89</v>
      </c>
      <c r="H163">
        <v>5</v>
      </c>
      <c r="I163" t="s">
        <v>46</v>
      </c>
      <c r="J163" t="s">
        <v>78</v>
      </c>
      <c r="K163" t="s">
        <v>526</v>
      </c>
      <c r="L163" t="s">
        <v>31</v>
      </c>
    </row>
    <row r="164" spans="1:12" x14ac:dyDescent="0.3">
      <c r="A164" t="s">
        <v>527</v>
      </c>
      <c r="B164" t="s">
        <v>528</v>
      </c>
      <c r="C164" t="s">
        <v>22</v>
      </c>
      <c r="D164" t="s">
        <v>23</v>
      </c>
      <c r="E164">
        <v>29</v>
      </c>
      <c r="F164">
        <v>31.02</v>
      </c>
      <c r="G164">
        <v>719.66</v>
      </c>
      <c r="H164">
        <v>20</v>
      </c>
      <c r="I164" t="s">
        <v>16</v>
      </c>
      <c r="J164" t="s">
        <v>111</v>
      </c>
      <c r="K164" t="s">
        <v>337</v>
      </c>
      <c r="L164" t="s">
        <v>19</v>
      </c>
    </row>
    <row r="165" spans="1:12" x14ac:dyDescent="0.3">
      <c r="A165" t="s">
        <v>529</v>
      </c>
      <c r="B165" t="s">
        <v>530</v>
      </c>
      <c r="C165" t="s">
        <v>52</v>
      </c>
      <c r="D165" t="s">
        <v>35</v>
      </c>
      <c r="E165">
        <v>12</v>
      </c>
      <c r="F165">
        <v>355.03</v>
      </c>
      <c r="G165">
        <v>4047.34</v>
      </c>
      <c r="H165">
        <v>5</v>
      </c>
      <c r="I165" t="s">
        <v>53</v>
      </c>
      <c r="J165" t="s">
        <v>141</v>
      </c>
      <c r="K165" t="s">
        <v>531</v>
      </c>
      <c r="L165" t="s">
        <v>49</v>
      </c>
    </row>
    <row r="166" spans="1:12" x14ac:dyDescent="0.3">
      <c r="A166" t="s">
        <v>532</v>
      </c>
      <c r="B166" t="s">
        <v>533</v>
      </c>
      <c r="C166" t="s">
        <v>82</v>
      </c>
      <c r="D166" t="s">
        <v>73</v>
      </c>
      <c r="E166">
        <v>9</v>
      </c>
      <c r="F166">
        <v>788.38</v>
      </c>
      <c r="G166">
        <v>6031.11</v>
      </c>
      <c r="H166">
        <v>15</v>
      </c>
      <c r="I166" t="s">
        <v>46</v>
      </c>
      <c r="J166" t="s">
        <v>78</v>
      </c>
      <c r="K166" t="s">
        <v>534</v>
      </c>
      <c r="L166" t="s">
        <v>49</v>
      </c>
    </row>
    <row r="167" spans="1:12" x14ac:dyDescent="0.3">
      <c r="A167" t="s">
        <v>535</v>
      </c>
      <c r="B167" t="s">
        <v>536</v>
      </c>
      <c r="C167" t="s">
        <v>72</v>
      </c>
      <c r="D167" t="s">
        <v>73</v>
      </c>
      <c r="E167">
        <v>47</v>
      </c>
      <c r="F167">
        <v>192.03</v>
      </c>
      <c r="G167">
        <v>9025.41</v>
      </c>
      <c r="H167">
        <v>0</v>
      </c>
      <c r="I167" t="s">
        <v>24</v>
      </c>
      <c r="J167" t="s">
        <v>59</v>
      </c>
      <c r="K167" t="s">
        <v>537</v>
      </c>
      <c r="L167" t="s">
        <v>69</v>
      </c>
    </row>
    <row r="168" spans="1:12" x14ac:dyDescent="0.3">
      <c r="A168" t="s">
        <v>538</v>
      </c>
      <c r="B168" t="s">
        <v>539</v>
      </c>
      <c r="C168" t="s">
        <v>72</v>
      </c>
      <c r="D168" t="s">
        <v>73</v>
      </c>
      <c r="E168">
        <v>3</v>
      </c>
      <c r="F168">
        <v>454.14</v>
      </c>
      <c r="G168">
        <v>1089.94</v>
      </c>
      <c r="H168">
        <v>20</v>
      </c>
      <c r="I168" t="s">
        <v>53</v>
      </c>
      <c r="J168" t="s">
        <v>141</v>
      </c>
      <c r="K168" t="s">
        <v>257</v>
      </c>
      <c r="L168" t="s">
        <v>31</v>
      </c>
    </row>
    <row r="169" spans="1:12" x14ac:dyDescent="0.3">
      <c r="A169" t="s">
        <v>540</v>
      </c>
      <c r="B169" t="s">
        <v>541</v>
      </c>
      <c r="C169" t="s">
        <v>45</v>
      </c>
      <c r="D169" t="s">
        <v>23</v>
      </c>
      <c r="E169">
        <v>4</v>
      </c>
      <c r="F169">
        <v>34.86</v>
      </c>
      <c r="G169">
        <v>111.55</v>
      </c>
      <c r="H169">
        <v>20</v>
      </c>
      <c r="I169" t="s">
        <v>16</v>
      </c>
      <c r="J169" t="s">
        <v>74</v>
      </c>
      <c r="K169" t="s">
        <v>542</v>
      </c>
      <c r="L169" t="s">
        <v>69</v>
      </c>
    </row>
    <row r="170" spans="1:12" x14ac:dyDescent="0.3">
      <c r="A170" t="s">
        <v>543</v>
      </c>
      <c r="B170" t="s">
        <v>544</v>
      </c>
      <c r="C170" t="s">
        <v>45</v>
      </c>
      <c r="D170" t="s">
        <v>23</v>
      </c>
      <c r="E170">
        <v>46</v>
      </c>
      <c r="F170">
        <v>39.92</v>
      </c>
      <c r="G170">
        <v>1652.69</v>
      </c>
      <c r="H170">
        <v>10</v>
      </c>
      <c r="I170" t="s">
        <v>53</v>
      </c>
      <c r="J170" t="s">
        <v>67</v>
      </c>
      <c r="K170" t="s">
        <v>334</v>
      </c>
      <c r="L170" t="s">
        <v>69</v>
      </c>
    </row>
    <row r="171" spans="1:12" x14ac:dyDescent="0.3">
      <c r="A171" t="s">
        <v>545</v>
      </c>
      <c r="B171" t="s">
        <v>546</v>
      </c>
      <c r="C171" t="s">
        <v>63</v>
      </c>
      <c r="D171" t="s">
        <v>15</v>
      </c>
      <c r="E171">
        <v>18</v>
      </c>
      <c r="F171">
        <v>26.65</v>
      </c>
      <c r="G171">
        <v>431.73</v>
      </c>
      <c r="H171">
        <v>10</v>
      </c>
      <c r="I171" t="s">
        <v>24</v>
      </c>
      <c r="J171" t="s">
        <v>104</v>
      </c>
      <c r="K171" t="s">
        <v>547</v>
      </c>
      <c r="L171" t="s">
        <v>49</v>
      </c>
    </row>
    <row r="172" spans="1:12" x14ac:dyDescent="0.3">
      <c r="A172" t="s">
        <v>548</v>
      </c>
      <c r="B172" t="s">
        <v>549</v>
      </c>
      <c r="C172" t="s">
        <v>82</v>
      </c>
      <c r="D172" t="s">
        <v>73</v>
      </c>
      <c r="E172">
        <v>3</v>
      </c>
      <c r="F172">
        <v>362.32</v>
      </c>
      <c r="G172">
        <v>978.26</v>
      </c>
      <c r="H172">
        <v>10</v>
      </c>
      <c r="I172" t="s">
        <v>46</v>
      </c>
      <c r="J172" t="s">
        <v>244</v>
      </c>
      <c r="K172" t="s">
        <v>550</v>
      </c>
      <c r="L172" t="s">
        <v>31</v>
      </c>
    </row>
    <row r="173" spans="1:12" x14ac:dyDescent="0.3">
      <c r="A173" t="s">
        <v>551</v>
      </c>
      <c r="B173" t="s">
        <v>552</v>
      </c>
      <c r="C173" t="s">
        <v>45</v>
      </c>
      <c r="D173" t="s">
        <v>23</v>
      </c>
      <c r="E173">
        <v>19</v>
      </c>
      <c r="F173">
        <v>193.23</v>
      </c>
      <c r="G173">
        <v>3304.23</v>
      </c>
      <c r="H173">
        <v>10</v>
      </c>
      <c r="I173" t="s">
        <v>16</v>
      </c>
      <c r="J173" t="s">
        <v>74</v>
      </c>
      <c r="K173" t="s">
        <v>553</v>
      </c>
      <c r="L173" t="s">
        <v>19</v>
      </c>
    </row>
    <row r="174" spans="1:12" x14ac:dyDescent="0.3">
      <c r="A174" t="s">
        <v>554</v>
      </c>
      <c r="B174" t="s">
        <v>555</v>
      </c>
      <c r="C174" t="s">
        <v>34</v>
      </c>
      <c r="D174" t="s">
        <v>35</v>
      </c>
      <c r="E174">
        <v>4</v>
      </c>
      <c r="F174">
        <v>750.93</v>
      </c>
      <c r="G174">
        <v>3003.72</v>
      </c>
      <c r="H174">
        <v>0</v>
      </c>
      <c r="I174" t="s">
        <v>16</v>
      </c>
      <c r="J174" t="s">
        <v>74</v>
      </c>
      <c r="K174" t="s">
        <v>556</v>
      </c>
      <c r="L174" t="s">
        <v>19</v>
      </c>
    </row>
    <row r="175" spans="1:12" x14ac:dyDescent="0.3">
      <c r="A175" t="s">
        <v>557</v>
      </c>
      <c r="B175" t="s">
        <v>558</v>
      </c>
      <c r="C175" t="s">
        <v>99</v>
      </c>
      <c r="D175" t="s">
        <v>23</v>
      </c>
      <c r="E175">
        <v>5</v>
      </c>
      <c r="F175">
        <v>27.27</v>
      </c>
      <c r="G175">
        <v>115.9</v>
      </c>
      <c r="H175">
        <v>15</v>
      </c>
      <c r="I175" t="s">
        <v>16</v>
      </c>
      <c r="J175" t="s">
        <v>111</v>
      </c>
      <c r="K175" t="s">
        <v>192</v>
      </c>
      <c r="L175" t="s">
        <v>49</v>
      </c>
    </row>
    <row r="176" spans="1:12" x14ac:dyDescent="0.3">
      <c r="A176" t="s">
        <v>559</v>
      </c>
      <c r="B176" t="s">
        <v>560</v>
      </c>
      <c r="C176" t="s">
        <v>40</v>
      </c>
      <c r="D176" t="s">
        <v>23</v>
      </c>
      <c r="E176">
        <v>21</v>
      </c>
      <c r="F176">
        <v>58.83</v>
      </c>
      <c r="G176">
        <v>1111.8900000000001</v>
      </c>
      <c r="H176">
        <v>10</v>
      </c>
      <c r="I176" t="s">
        <v>46</v>
      </c>
      <c r="J176" t="s">
        <v>124</v>
      </c>
      <c r="K176" t="s">
        <v>561</v>
      </c>
      <c r="L176" t="s">
        <v>69</v>
      </c>
    </row>
    <row r="177" spans="1:12" x14ac:dyDescent="0.3">
      <c r="A177" t="s">
        <v>562</v>
      </c>
      <c r="B177" t="s">
        <v>563</v>
      </c>
      <c r="C177" t="s">
        <v>63</v>
      </c>
      <c r="D177" t="s">
        <v>15</v>
      </c>
      <c r="E177">
        <v>37</v>
      </c>
      <c r="F177">
        <v>49.64</v>
      </c>
      <c r="G177">
        <v>1469.34</v>
      </c>
      <c r="H177">
        <v>20</v>
      </c>
      <c r="I177" t="s">
        <v>24</v>
      </c>
      <c r="J177" t="s">
        <v>59</v>
      </c>
      <c r="K177" t="s">
        <v>564</v>
      </c>
      <c r="L177" t="s">
        <v>19</v>
      </c>
    </row>
    <row r="178" spans="1:12" x14ac:dyDescent="0.3">
      <c r="A178" t="s">
        <v>565</v>
      </c>
      <c r="B178" t="s">
        <v>566</v>
      </c>
      <c r="C178" t="s">
        <v>45</v>
      </c>
      <c r="D178" t="s">
        <v>23</v>
      </c>
      <c r="E178">
        <v>7</v>
      </c>
      <c r="F178">
        <v>124.12</v>
      </c>
      <c r="G178">
        <v>781.96</v>
      </c>
      <c r="H178">
        <v>10</v>
      </c>
      <c r="I178" t="s">
        <v>24</v>
      </c>
      <c r="J178" t="s">
        <v>41</v>
      </c>
      <c r="K178" t="s">
        <v>567</v>
      </c>
      <c r="L178" t="s">
        <v>49</v>
      </c>
    </row>
    <row r="179" spans="1:12" x14ac:dyDescent="0.3">
      <c r="A179" t="s">
        <v>568</v>
      </c>
      <c r="B179" t="s">
        <v>569</v>
      </c>
      <c r="C179" t="s">
        <v>72</v>
      </c>
      <c r="D179" t="s">
        <v>73</v>
      </c>
      <c r="E179">
        <v>39</v>
      </c>
      <c r="F179">
        <v>459.03</v>
      </c>
      <c r="G179">
        <v>14321.74</v>
      </c>
      <c r="H179">
        <v>20</v>
      </c>
      <c r="I179" t="s">
        <v>24</v>
      </c>
      <c r="J179" t="s">
        <v>41</v>
      </c>
      <c r="K179" t="s">
        <v>570</v>
      </c>
      <c r="L179" t="s">
        <v>27</v>
      </c>
    </row>
    <row r="180" spans="1:12" x14ac:dyDescent="0.3">
      <c r="A180" t="s">
        <v>571</v>
      </c>
      <c r="B180" t="s">
        <v>572</v>
      </c>
      <c r="C180" t="s">
        <v>95</v>
      </c>
      <c r="D180" t="s">
        <v>35</v>
      </c>
      <c r="E180">
        <v>1</v>
      </c>
      <c r="F180">
        <v>1136.25</v>
      </c>
      <c r="G180">
        <v>1079.44</v>
      </c>
      <c r="H180">
        <v>5</v>
      </c>
      <c r="I180" t="s">
        <v>46</v>
      </c>
      <c r="J180" t="s">
        <v>47</v>
      </c>
      <c r="K180" t="s">
        <v>430</v>
      </c>
      <c r="L180" t="s">
        <v>27</v>
      </c>
    </row>
    <row r="181" spans="1:12" x14ac:dyDescent="0.3">
      <c r="A181" t="s">
        <v>573</v>
      </c>
      <c r="B181" t="s">
        <v>574</v>
      </c>
      <c r="C181" t="s">
        <v>14</v>
      </c>
      <c r="D181" t="s">
        <v>15</v>
      </c>
      <c r="E181">
        <v>39</v>
      </c>
      <c r="F181">
        <v>119.39</v>
      </c>
      <c r="G181">
        <v>4423.3999999999996</v>
      </c>
      <c r="H181">
        <v>5</v>
      </c>
      <c r="I181" t="s">
        <v>16</v>
      </c>
      <c r="J181" t="s">
        <v>160</v>
      </c>
      <c r="K181" t="s">
        <v>575</v>
      </c>
      <c r="L181" t="s">
        <v>19</v>
      </c>
    </row>
    <row r="182" spans="1:12" x14ac:dyDescent="0.3">
      <c r="A182" t="s">
        <v>576</v>
      </c>
      <c r="B182" t="s">
        <v>577</v>
      </c>
      <c r="C182" t="s">
        <v>22</v>
      </c>
      <c r="D182" t="s">
        <v>23</v>
      </c>
      <c r="E182">
        <v>17</v>
      </c>
      <c r="F182">
        <v>35.56</v>
      </c>
      <c r="G182">
        <v>604.52</v>
      </c>
      <c r="H182">
        <v>0</v>
      </c>
      <c r="I182" t="s">
        <v>46</v>
      </c>
      <c r="J182" t="s">
        <v>83</v>
      </c>
      <c r="K182" t="s">
        <v>578</v>
      </c>
      <c r="L182" t="s">
        <v>49</v>
      </c>
    </row>
    <row r="183" spans="1:12" x14ac:dyDescent="0.3">
      <c r="A183" t="s">
        <v>579</v>
      </c>
      <c r="B183" t="s">
        <v>580</v>
      </c>
      <c r="C183" t="s">
        <v>90</v>
      </c>
      <c r="D183" t="s">
        <v>23</v>
      </c>
      <c r="E183">
        <v>34</v>
      </c>
      <c r="F183">
        <v>36.700000000000003</v>
      </c>
      <c r="G183">
        <v>1247.8</v>
      </c>
      <c r="H183">
        <v>0</v>
      </c>
      <c r="I183" t="s">
        <v>24</v>
      </c>
      <c r="J183" t="s">
        <v>41</v>
      </c>
      <c r="K183" t="s">
        <v>581</v>
      </c>
      <c r="L183" t="s">
        <v>19</v>
      </c>
    </row>
    <row r="184" spans="1:12" x14ac:dyDescent="0.3">
      <c r="A184" t="s">
        <v>582</v>
      </c>
      <c r="B184" t="s">
        <v>583</v>
      </c>
      <c r="C184" t="s">
        <v>40</v>
      </c>
      <c r="D184" t="s">
        <v>23</v>
      </c>
      <c r="E184">
        <v>28</v>
      </c>
      <c r="F184">
        <v>79.739999999999995</v>
      </c>
      <c r="G184">
        <v>2121.08</v>
      </c>
      <c r="H184">
        <v>5</v>
      </c>
      <c r="I184" t="s">
        <v>53</v>
      </c>
      <c r="J184" t="s">
        <v>141</v>
      </c>
      <c r="K184" t="s">
        <v>207</v>
      </c>
      <c r="L184" t="s">
        <v>31</v>
      </c>
    </row>
    <row r="185" spans="1:12" x14ac:dyDescent="0.3">
      <c r="A185" t="s">
        <v>584</v>
      </c>
      <c r="B185" t="s">
        <v>585</v>
      </c>
      <c r="C185" t="s">
        <v>123</v>
      </c>
      <c r="D185" t="s">
        <v>15</v>
      </c>
      <c r="E185">
        <v>31</v>
      </c>
      <c r="F185">
        <v>19.77</v>
      </c>
      <c r="G185">
        <v>612.87</v>
      </c>
      <c r="H185">
        <v>0</v>
      </c>
      <c r="I185" t="s">
        <v>24</v>
      </c>
      <c r="J185" t="s">
        <v>25</v>
      </c>
      <c r="K185" t="s">
        <v>448</v>
      </c>
      <c r="L185" t="s">
        <v>27</v>
      </c>
    </row>
    <row r="186" spans="1:12" x14ac:dyDescent="0.3">
      <c r="A186" t="s">
        <v>586</v>
      </c>
      <c r="B186" t="s">
        <v>587</v>
      </c>
      <c r="C186" t="s">
        <v>72</v>
      </c>
      <c r="D186" t="s">
        <v>73</v>
      </c>
      <c r="E186">
        <v>40</v>
      </c>
      <c r="F186">
        <v>360.72</v>
      </c>
      <c r="G186">
        <v>14428.8</v>
      </c>
      <c r="H186">
        <v>0</v>
      </c>
      <c r="I186" t="s">
        <v>16</v>
      </c>
      <c r="J186" t="s">
        <v>91</v>
      </c>
      <c r="K186" t="s">
        <v>561</v>
      </c>
      <c r="L186" t="s">
        <v>27</v>
      </c>
    </row>
    <row r="187" spans="1:12" x14ac:dyDescent="0.3">
      <c r="A187" t="s">
        <v>588</v>
      </c>
      <c r="B187" t="s">
        <v>589</v>
      </c>
      <c r="C187" t="s">
        <v>72</v>
      </c>
      <c r="D187" t="s">
        <v>73</v>
      </c>
      <c r="E187">
        <v>15</v>
      </c>
      <c r="F187">
        <v>422.43</v>
      </c>
      <c r="G187">
        <v>6019.63</v>
      </c>
      <c r="H187">
        <v>5</v>
      </c>
      <c r="I187" t="s">
        <v>16</v>
      </c>
      <c r="J187" t="s">
        <v>160</v>
      </c>
      <c r="K187" t="s">
        <v>590</v>
      </c>
      <c r="L187" t="s">
        <v>69</v>
      </c>
    </row>
    <row r="188" spans="1:12" x14ac:dyDescent="0.3">
      <c r="A188" t="s">
        <v>591</v>
      </c>
      <c r="B188" t="s">
        <v>592</v>
      </c>
      <c r="C188" t="s">
        <v>14</v>
      </c>
      <c r="D188" t="s">
        <v>15</v>
      </c>
      <c r="E188">
        <v>40</v>
      </c>
      <c r="F188">
        <v>101.95</v>
      </c>
      <c r="G188">
        <v>3466.3</v>
      </c>
      <c r="H188">
        <v>15</v>
      </c>
      <c r="I188" t="s">
        <v>24</v>
      </c>
      <c r="J188" t="s">
        <v>36</v>
      </c>
      <c r="K188" t="s">
        <v>593</v>
      </c>
      <c r="L188" t="s">
        <v>27</v>
      </c>
    </row>
    <row r="189" spans="1:12" x14ac:dyDescent="0.3">
      <c r="A189" t="s">
        <v>594</v>
      </c>
      <c r="B189" t="s">
        <v>595</v>
      </c>
      <c r="C189" t="s">
        <v>14</v>
      </c>
      <c r="D189" t="s">
        <v>15</v>
      </c>
      <c r="E189">
        <v>37</v>
      </c>
      <c r="F189">
        <v>70.95</v>
      </c>
      <c r="G189">
        <v>2493.89</v>
      </c>
      <c r="H189">
        <v>5</v>
      </c>
      <c r="I189" t="s">
        <v>24</v>
      </c>
      <c r="J189" t="s">
        <v>41</v>
      </c>
      <c r="K189" t="s">
        <v>596</v>
      </c>
      <c r="L189" t="s">
        <v>19</v>
      </c>
    </row>
    <row r="190" spans="1:12" x14ac:dyDescent="0.3">
      <c r="A190" t="s">
        <v>597</v>
      </c>
      <c r="B190" t="s">
        <v>598</v>
      </c>
      <c r="C190" t="s">
        <v>45</v>
      </c>
      <c r="D190" t="s">
        <v>23</v>
      </c>
      <c r="E190">
        <v>26</v>
      </c>
      <c r="F190">
        <v>184.86</v>
      </c>
      <c r="G190">
        <v>4806.3599999999997</v>
      </c>
      <c r="H190">
        <v>0</v>
      </c>
      <c r="I190" t="s">
        <v>16</v>
      </c>
      <c r="J190" t="s">
        <v>91</v>
      </c>
      <c r="K190" t="s">
        <v>599</v>
      </c>
      <c r="L190" t="s">
        <v>49</v>
      </c>
    </row>
    <row r="191" spans="1:12" x14ac:dyDescent="0.3">
      <c r="A191" t="s">
        <v>600</v>
      </c>
      <c r="B191" t="s">
        <v>601</v>
      </c>
      <c r="C191" t="s">
        <v>58</v>
      </c>
      <c r="D191" t="s">
        <v>35</v>
      </c>
      <c r="E191">
        <v>44</v>
      </c>
      <c r="F191">
        <v>298.56</v>
      </c>
      <c r="G191">
        <v>13136.64</v>
      </c>
      <c r="H191">
        <v>0</v>
      </c>
      <c r="I191" t="s">
        <v>53</v>
      </c>
      <c r="J191" t="s">
        <v>54</v>
      </c>
      <c r="K191" t="s">
        <v>602</v>
      </c>
      <c r="L191" t="s">
        <v>27</v>
      </c>
    </row>
    <row r="192" spans="1:12" x14ac:dyDescent="0.3">
      <c r="A192" t="s">
        <v>603</v>
      </c>
      <c r="B192" t="s">
        <v>604</v>
      </c>
      <c r="C192" t="s">
        <v>95</v>
      </c>
      <c r="D192" t="s">
        <v>35</v>
      </c>
      <c r="E192">
        <v>49</v>
      </c>
      <c r="F192">
        <v>1057.0999999999999</v>
      </c>
      <c r="G192">
        <v>44028.22</v>
      </c>
      <c r="H192">
        <v>15</v>
      </c>
      <c r="I192" t="s">
        <v>46</v>
      </c>
      <c r="J192" t="s">
        <v>244</v>
      </c>
      <c r="K192" t="s">
        <v>605</v>
      </c>
      <c r="L192" t="s">
        <v>27</v>
      </c>
    </row>
    <row r="193" spans="1:12" x14ac:dyDescent="0.3">
      <c r="A193" t="s">
        <v>606</v>
      </c>
      <c r="B193" t="s">
        <v>607</v>
      </c>
      <c r="C193" t="s">
        <v>63</v>
      </c>
      <c r="D193" t="s">
        <v>15</v>
      </c>
      <c r="E193">
        <v>28</v>
      </c>
      <c r="F193">
        <v>57.94</v>
      </c>
      <c r="G193">
        <v>1297.8599999999999</v>
      </c>
      <c r="H193">
        <v>20</v>
      </c>
      <c r="I193" t="s">
        <v>46</v>
      </c>
      <c r="J193" t="s">
        <v>124</v>
      </c>
      <c r="K193" t="s">
        <v>608</v>
      </c>
      <c r="L193" t="s">
        <v>31</v>
      </c>
    </row>
    <row r="194" spans="1:12" x14ac:dyDescent="0.3">
      <c r="A194" t="s">
        <v>609</v>
      </c>
      <c r="B194" t="s">
        <v>610</v>
      </c>
      <c r="C194" t="s">
        <v>58</v>
      </c>
      <c r="D194" t="s">
        <v>35</v>
      </c>
      <c r="E194">
        <v>27</v>
      </c>
      <c r="F194">
        <v>339.73</v>
      </c>
      <c r="G194">
        <v>9172.7099999999991</v>
      </c>
      <c r="H194">
        <v>0</v>
      </c>
      <c r="I194" t="s">
        <v>53</v>
      </c>
      <c r="J194" t="s">
        <v>141</v>
      </c>
      <c r="K194" t="s">
        <v>611</v>
      </c>
      <c r="L194" t="s">
        <v>27</v>
      </c>
    </row>
    <row r="195" spans="1:12" x14ac:dyDescent="0.3">
      <c r="A195" t="s">
        <v>612</v>
      </c>
      <c r="B195" t="s">
        <v>273</v>
      </c>
      <c r="C195" t="s">
        <v>99</v>
      </c>
      <c r="D195" t="s">
        <v>23</v>
      </c>
      <c r="E195">
        <v>14</v>
      </c>
      <c r="F195">
        <v>24.9</v>
      </c>
      <c r="G195">
        <v>331.17</v>
      </c>
      <c r="H195">
        <v>5</v>
      </c>
      <c r="I195" t="s">
        <v>46</v>
      </c>
      <c r="J195" t="s">
        <v>244</v>
      </c>
      <c r="K195" t="s">
        <v>613</v>
      </c>
      <c r="L195" t="s">
        <v>49</v>
      </c>
    </row>
    <row r="196" spans="1:12" x14ac:dyDescent="0.3">
      <c r="A196" t="s">
        <v>614</v>
      </c>
      <c r="B196" t="s">
        <v>615</v>
      </c>
      <c r="C196" t="s">
        <v>45</v>
      </c>
      <c r="D196" t="s">
        <v>23</v>
      </c>
      <c r="E196">
        <v>4</v>
      </c>
      <c r="F196">
        <v>32.840000000000003</v>
      </c>
      <c r="G196">
        <v>124.79</v>
      </c>
      <c r="H196">
        <v>5</v>
      </c>
      <c r="I196" t="s">
        <v>24</v>
      </c>
      <c r="J196" t="s">
        <v>104</v>
      </c>
      <c r="K196" t="s">
        <v>616</v>
      </c>
      <c r="L196" t="s">
        <v>19</v>
      </c>
    </row>
    <row r="197" spans="1:12" x14ac:dyDescent="0.3">
      <c r="A197" t="s">
        <v>617</v>
      </c>
      <c r="B197" t="s">
        <v>618</v>
      </c>
      <c r="C197" t="s">
        <v>123</v>
      </c>
      <c r="D197" t="s">
        <v>15</v>
      </c>
      <c r="E197">
        <v>27</v>
      </c>
      <c r="F197">
        <v>23.16</v>
      </c>
      <c r="G197">
        <v>625.32000000000005</v>
      </c>
      <c r="H197">
        <v>0</v>
      </c>
      <c r="I197" t="s">
        <v>46</v>
      </c>
      <c r="J197" t="s">
        <v>78</v>
      </c>
      <c r="K197" t="s">
        <v>619</v>
      </c>
      <c r="L197" t="s">
        <v>31</v>
      </c>
    </row>
    <row r="198" spans="1:12" x14ac:dyDescent="0.3">
      <c r="A198" t="s">
        <v>620</v>
      </c>
      <c r="B198" t="s">
        <v>621</v>
      </c>
      <c r="C198" t="s">
        <v>99</v>
      </c>
      <c r="D198" t="s">
        <v>23</v>
      </c>
      <c r="E198">
        <v>12</v>
      </c>
      <c r="F198">
        <v>19.43</v>
      </c>
      <c r="G198">
        <v>221.5</v>
      </c>
      <c r="H198">
        <v>5</v>
      </c>
      <c r="I198" t="s">
        <v>24</v>
      </c>
      <c r="J198" t="s">
        <v>25</v>
      </c>
      <c r="K198" t="s">
        <v>622</v>
      </c>
      <c r="L198" t="s">
        <v>31</v>
      </c>
    </row>
    <row r="199" spans="1:12" x14ac:dyDescent="0.3">
      <c r="A199" t="s">
        <v>623</v>
      </c>
      <c r="B199" t="s">
        <v>546</v>
      </c>
      <c r="C199" t="s">
        <v>82</v>
      </c>
      <c r="D199" t="s">
        <v>73</v>
      </c>
      <c r="E199">
        <v>19</v>
      </c>
      <c r="F199">
        <v>720.79</v>
      </c>
      <c r="G199">
        <v>11640.76</v>
      </c>
      <c r="H199">
        <v>15</v>
      </c>
      <c r="I199" t="s">
        <v>24</v>
      </c>
      <c r="J199" t="s">
        <v>59</v>
      </c>
      <c r="K199" t="s">
        <v>491</v>
      </c>
      <c r="L199" t="s">
        <v>31</v>
      </c>
    </row>
    <row r="200" spans="1:12" x14ac:dyDescent="0.3">
      <c r="A200" t="s">
        <v>624</v>
      </c>
      <c r="B200" t="s">
        <v>625</v>
      </c>
      <c r="C200" t="s">
        <v>22</v>
      </c>
      <c r="D200" t="s">
        <v>23</v>
      </c>
      <c r="E200">
        <v>25</v>
      </c>
      <c r="F200">
        <v>27.22</v>
      </c>
      <c r="G200">
        <v>680.5</v>
      </c>
      <c r="H200">
        <v>0</v>
      </c>
      <c r="I200" t="s">
        <v>24</v>
      </c>
      <c r="J200" t="s">
        <v>104</v>
      </c>
      <c r="K200" t="s">
        <v>626</v>
      </c>
      <c r="L200" t="s">
        <v>31</v>
      </c>
    </row>
    <row r="201" spans="1:12" x14ac:dyDescent="0.3">
      <c r="A201" t="s">
        <v>627</v>
      </c>
      <c r="B201" t="s">
        <v>628</v>
      </c>
      <c r="C201" t="s">
        <v>45</v>
      </c>
      <c r="D201" t="s">
        <v>23</v>
      </c>
      <c r="E201">
        <v>14</v>
      </c>
      <c r="F201">
        <v>95.46</v>
      </c>
      <c r="G201">
        <v>1269.6199999999999</v>
      </c>
      <c r="H201">
        <v>5</v>
      </c>
      <c r="I201" t="s">
        <v>24</v>
      </c>
      <c r="J201" t="s">
        <v>41</v>
      </c>
      <c r="K201" t="s">
        <v>629</v>
      </c>
      <c r="L201" t="s">
        <v>27</v>
      </c>
    </row>
    <row r="202" spans="1:12" x14ac:dyDescent="0.3">
      <c r="A202" t="s">
        <v>630</v>
      </c>
      <c r="B202" t="s">
        <v>631</v>
      </c>
      <c r="C202" t="s">
        <v>82</v>
      </c>
      <c r="D202" t="s">
        <v>73</v>
      </c>
      <c r="E202">
        <v>43</v>
      </c>
      <c r="F202">
        <v>505.66</v>
      </c>
      <c r="G202">
        <v>20656.21</v>
      </c>
      <c r="H202">
        <v>5</v>
      </c>
      <c r="I202" t="s">
        <v>16</v>
      </c>
      <c r="J202" t="s">
        <v>160</v>
      </c>
      <c r="K202" t="s">
        <v>531</v>
      </c>
      <c r="L202" t="s">
        <v>19</v>
      </c>
    </row>
    <row r="203" spans="1:12" x14ac:dyDescent="0.3">
      <c r="A203" t="s">
        <v>632</v>
      </c>
      <c r="B203" t="s">
        <v>511</v>
      </c>
      <c r="C203" t="s">
        <v>52</v>
      </c>
      <c r="D203" t="s">
        <v>35</v>
      </c>
      <c r="E203">
        <v>24</v>
      </c>
      <c r="F203">
        <v>257.92</v>
      </c>
      <c r="G203">
        <v>5571.07</v>
      </c>
      <c r="H203">
        <v>10</v>
      </c>
      <c r="I203" t="s">
        <v>16</v>
      </c>
      <c r="J203" t="s">
        <v>91</v>
      </c>
      <c r="K203" t="s">
        <v>157</v>
      </c>
      <c r="L203" t="s">
        <v>19</v>
      </c>
    </row>
    <row r="204" spans="1:12" x14ac:dyDescent="0.3">
      <c r="A204" t="s">
        <v>633</v>
      </c>
      <c r="B204" t="s">
        <v>634</v>
      </c>
      <c r="C204" t="s">
        <v>90</v>
      </c>
      <c r="D204" t="s">
        <v>23</v>
      </c>
      <c r="E204">
        <v>4</v>
      </c>
      <c r="F204">
        <v>38.56</v>
      </c>
      <c r="G204">
        <v>154.24</v>
      </c>
      <c r="H204">
        <v>0</v>
      </c>
      <c r="I204" t="s">
        <v>24</v>
      </c>
      <c r="J204" t="s">
        <v>41</v>
      </c>
      <c r="K204" t="s">
        <v>616</v>
      </c>
      <c r="L204" t="s">
        <v>49</v>
      </c>
    </row>
    <row r="205" spans="1:12" x14ac:dyDescent="0.3">
      <c r="A205" t="s">
        <v>635</v>
      </c>
      <c r="B205" t="s">
        <v>636</v>
      </c>
      <c r="C205" t="s">
        <v>52</v>
      </c>
      <c r="D205" t="s">
        <v>35</v>
      </c>
      <c r="E205">
        <v>14</v>
      </c>
      <c r="F205">
        <v>329.22</v>
      </c>
      <c r="G205">
        <v>3687.26</v>
      </c>
      <c r="H205">
        <v>20</v>
      </c>
      <c r="I205" t="s">
        <v>53</v>
      </c>
      <c r="J205" t="s">
        <v>67</v>
      </c>
      <c r="K205" t="s">
        <v>637</v>
      </c>
      <c r="L205" t="s">
        <v>49</v>
      </c>
    </row>
    <row r="206" spans="1:12" x14ac:dyDescent="0.3">
      <c r="A206" t="s">
        <v>638</v>
      </c>
      <c r="B206" t="s">
        <v>44</v>
      </c>
      <c r="C206" t="s">
        <v>58</v>
      </c>
      <c r="D206" t="s">
        <v>35</v>
      </c>
      <c r="E206">
        <v>21</v>
      </c>
      <c r="F206">
        <v>412.1</v>
      </c>
      <c r="G206">
        <v>7788.69</v>
      </c>
      <c r="H206">
        <v>10</v>
      </c>
      <c r="I206" t="s">
        <v>24</v>
      </c>
      <c r="J206" t="s">
        <v>59</v>
      </c>
      <c r="K206" t="s">
        <v>639</v>
      </c>
      <c r="L206" t="s">
        <v>49</v>
      </c>
    </row>
    <row r="207" spans="1:12" x14ac:dyDescent="0.3">
      <c r="A207" t="s">
        <v>640</v>
      </c>
      <c r="B207" t="s">
        <v>641</v>
      </c>
      <c r="C207" t="s">
        <v>14</v>
      </c>
      <c r="D207" t="s">
        <v>15</v>
      </c>
      <c r="E207">
        <v>22</v>
      </c>
      <c r="F207">
        <v>55.03</v>
      </c>
      <c r="G207">
        <v>968.53</v>
      </c>
      <c r="H207">
        <v>20</v>
      </c>
      <c r="I207" t="s">
        <v>16</v>
      </c>
      <c r="J207" t="s">
        <v>74</v>
      </c>
      <c r="K207" t="s">
        <v>642</v>
      </c>
      <c r="L207" t="s">
        <v>49</v>
      </c>
    </row>
    <row r="208" spans="1:12" x14ac:dyDescent="0.3">
      <c r="A208" t="s">
        <v>643</v>
      </c>
      <c r="B208" t="s">
        <v>644</v>
      </c>
      <c r="C208" t="s">
        <v>14</v>
      </c>
      <c r="D208" t="s">
        <v>15</v>
      </c>
      <c r="E208">
        <v>50</v>
      </c>
      <c r="F208">
        <v>82.8</v>
      </c>
      <c r="G208">
        <v>4140</v>
      </c>
      <c r="H208">
        <v>0</v>
      </c>
      <c r="I208" t="s">
        <v>24</v>
      </c>
      <c r="J208" t="s">
        <v>25</v>
      </c>
      <c r="K208" t="s">
        <v>645</v>
      </c>
      <c r="L208" t="s">
        <v>69</v>
      </c>
    </row>
    <row r="209" spans="1:12" x14ac:dyDescent="0.3">
      <c r="A209" t="s">
        <v>646</v>
      </c>
      <c r="B209" t="s">
        <v>647</v>
      </c>
      <c r="C209" t="s">
        <v>40</v>
      </c>
      <c r="D209" t="s">
        <v>23</v>
      </c>
      <c r="E209">
        <v>36</v>
      </c>
      <c r="F209">
        <v>36.5</v>
      </c>
      <c r="G209">
        <v>1051.2</v>
      </c>
      <c r="H209">
        <v>20</v>
      </c>
      <c r="I209" t="s">
        <v>24</v>
      </c>
      <c r="J209" t="s">
        <v>104</v>
      </c>
      <c r="K209" t="s">
        <v>648</v>
      </c>
      <c r="L209" t="s">
        <v>27</v>
      </c>
    </row>
    <row r="210" spans="1:12" x14ac:dyDescent="0.3">
      <c r="A210" t="s">
        <v>649</v>
      </c>
      <c r="B210" t="s">
        <v>650</v>
      </c>
      <c r="C210" t="s">
        <v>22</v>
      </c>
      <c r="D210" t="s">
        <v>23</v>
      </c>
      <c r="E210">
        <v>34</v>
      </c>
      <c r="F210">
        <v>20.04</v>
      </c>
      <c r="G210">
        <v>681.36</v>
      </c>
      <c r="H210">
        <v>0</v>
      </c>
      <c r="I210" t="s">
        <v>24</v>
      </c>
      <c r="J210" t="s">
        <v>104</v>
      </c>
      <c r="K210" t="s">
        <v>651</v>
      </c>
      <c r="L210" t="s">
        <v>69</v>
      </c>
    </row>
    <row r="211" spans="1:12" x14ac:dyDescent="0.3">
      <c r="A211" t="s">
        <v>652</v>
      </c>
      <c r="B211" t="s">
        <v>653</v>
      </c>
      <c r="C211" t="s">
        <v>90</v>
      </c>
      <c r="D211" t="s">
        <v>23</v>
      </c>
      <c r="E211">
        <v>14</v>
      </c>
      <c r="F211">
        <v>44.34</v>
      </c>
      <c r="G211">
        <v>620.76</v>
      </c>
      <c r="H211">
        <v>0</v>
      </c>
      <c r="I211" t="s">
        <v>24</v>
      </c>
      <c r="J211" t="s">
        <v>59</v>
      </c>
      <c r="K211" t="s">
        <v>654</v>
      </c>
      <c r="L211" t="s">
        <v>27</v>
      </c>
    </row>
    <row r="212" spans="1:12" x14ac:dyDescent="0.3">
      <c r="A212" t="s">
        <v>655</v>
      </c>
      <c r="B212" t="s">
        <v>656</v>
      </c>
      <c r="C212" t="s">
        <v>103</v>
      </c>
      <c r="D212" t="s">
        <v>35</v>
      </c>
      <c r="E212">
        <v>16</v>
      </c>
      <c r="F212">
        <v>519.89</v>
      </c>
      <c r="G212">
        <v>7486.42</v>
      </c>
      <c r="H212">
        <v>10</v>
      </c>
      <c r="I212" t="s">
        <v>16</v>
      </c>
      <c r="J212" t="s">
        <v>160</v>
      </c>
      <c r="K212" t="s">
        <v>657</v>
      </c>
      <c r="L212" t="s">
        <v>31</v>
      </c>
    </row>
    <row r="213" spans="1:12" x14ac:dyDescent="0.3">
      <c r="A213" t="s">
        <v>658</v>
      </c>
      <c r="B213" t="s">
        <v>659</v>
      </c>
      <c r="C213" t="s">
        <v>103</v>
      </c>
      <c r="D213" t="s">
        <v>35</v>
      </c>
      <c r="E213">
        <v>42</v>
      </c>
      <c r="F213">
        <v>558.97</v>
      </c>
      <c r="G213">
        <v>19955.23</v>
      </c>
      <c r="H213">
        <v>15</v>
      </c>
      <c r="I213" t="s">
        <v>53</v>
      </c>
      <c r="J213" t="s">
        <v>141</v>
      </c>
      <c r="K213" t="s">
        <v>660</v>
      </c>
      <c r="L213" t="s">
        <v>31</v>
      </c>
    </row>
    <row r="214" spans="1:12" x14ac:dyDescent="0.3">
      <c r="A214" t="s">
        <v>661</v>
      </c>
      <c r="B214" t="s">
        <v>662</v>
      </c>
      <c r="C214" t="s">
        <v>34</v>
      </c>
      <c r="D214" t="s">
        <v>35</v>
      </c>
      <c r="E214">
        <v>16</v>
      </c>
      <c r="F214">
        <v>509.05</v>
      </c>
      <c r="G214">
        <v>7737.56</v>
      </c>
      <c r="H214">
        <v>5</v>
      </c>
      <c r="I214" t="s">
        <v>24</v>
      </c>
      <c r="J214" t="s">
        <v>59</v>
      </c>
      <c r="K214" t="s">
        <v>663</v>
      </c>
      <c r="L214" t="s">
        <v>69</v>
      </c>
    </row>
    <row r="215" spans="1:12" x14ac:dyDescent="0.3">
      <c r="A215" t="s">
        <v>664</v>
      </c>
      <c r="B215" t="s">
        <v>665</v>
      </c>
      <c r="C215" t="s">
        <v>72</v>
      </c>
      <c r="D215" t="s">
        <v>73</v>
      </c>
      <c r="E215">
        <v>32</v>
      </c>
      <c r="F215">
        <v>354.88</v>
      </c>
      <c r="G215">
        <v>10220.540000000001</v>
      </c>
      <c r="H215">
        <v>10</v>
      </c>
      <c r="I215" t="s">
        <v>16</v>
      </c>
      <c r="J215" t="s">
        <v>111</v>
      </c>
      <c r="K215" t="s">
        <v>666</v>
      </c>
      <c r="L215" t="s">
        <v>31</v>
      </c>
    </row>
    <row r="216" spans="1:12" x14ac:dyDescent="0.3">
      <c r="A216" t="s">
        <v>667</v>
      </c>
      <c r="B216" t="s">
        <v>356</v>
      </c>
      <c r="C216" t="s">
        <v>22</v>
      </c>
      <c r="D216" t="s">
        <v>23</v>
      </c>
      <c r="E216">
        <v>35</v>
      </c>
      <c r="F216">
        <v>38.75</v>
      </c>
      <c r="G216">
        <v>1152.81</v>
      </c>
      <c r="H216">
        <v>15</v>
      </c>
      <c r="I216" t="s">
        <v>24</v>
      </c>
      <c r="J216" t="s">
        <v>41</v>
      </c>
      <c r="K216" t="s">
        <v>430</v>
      </c>
      <c r="L216" t="s">
        <v>31</v>
      </c>
    </row>
    <row r="217" spans="1:12" x14ac:dyDescent="0.3">
      <c r="A217" t="s">
        <v>668</v>
      </c>
      <c r="B217" t="s">
        <v>669</v>
      </c>
      <c r="C217" t="s">
        <v>40</v>
      </c>
      <c r="D217" t="s">
        <v>23</v>
      </c>
      <c r="E217">
        <v>42</v>
      </c>
      <c r="F217">
        <v>65.62</v>
      </c>
      <c r="G217">
        <v>2480.44</v>
      </c>
      <c r="H217">
        <v>10</v>
      </c>
      <c r="I217" t="s">
        <v>53</v>
      </c>
      <c r="J217" t="s">
        <v>67</v>
      </c>
      <c r="K217" t="s">
        <v>670</v>
      </c>
      <c r="L217" t="s">
        <v>27</v>
      </c>
    </row>
    <row r="218" spans="1:12" x14ac:dyDescent="0.3">
      <c r="A218" t="s">
        <v>671</v>
      </c>
      <c r="B218" t="s">
        <v>672</v>
      </c>
      <c r="C218" t="s">
        <v>82</v>
      </c>
      <c r="D218" t="s">
        <v>73</v>
      </c>
      <c r="E218">
        <v>29</v>
      </c>
      <c r="F218">
        <v>680.47</v>
      </c>
      <c r="G218">
        <v>17760.27</v>
      </c>
      <c r="H218">
        <v>10</v>
      </c>
      <c r="I218" t="s">
        <v>46</v>
      </c>
      <c r="J218" t="s">
        <v>78</v>
      </c>
      <c r="K218" t="s">
        <v>673</v>
      </c>
      <c r="L218" t="s">
        <v>49</v>
      </c>
    </row>
    <row r="219" spans="1:12" x14ac:dyDescent="0.3">
      <c r="A219" t="s">
        <v>674</v>
      </c>
      <c r="B219" t="s">
        <v>675</v>
      </c>
      <c r="C219" t="s">
        <v>99</v>
      </c>
      <c r="D219" t="s">
        <v>23</v>
      </c>
      <c r="E219">
        <v>30</v>
      </c>
      <c r="F219">
        <v>25.51</v>
      </c>
      <c r="G219">
        <v>688.77</v>
      </c>
      <c r="H219">
        <v>10</v>
      </c>
      <c r="I219" t="s">
        <v>53</v>
      </c>
      <c r="J219" t="s">
        <v>54</v>
      </c>
      <c r="K219" t="s">
        <v>395</v>
      </c>
      <c r="L219" t="s">
        <v>19</v>
      </c>
    </row>
    <row r="220" spans="1:12" x14ac:dyDescent="0.3">
      <c r="A220" t="s">
        <v>676</v>
      </c>
      <c r="B220" t="s">
        <v>541</v>
      </c>
      <c r="C220" t="s">
        <v>99</v>
      </c>
      <c r="D220" t="s">
        <v>23</v>
      </c>
      <c r="E220">
        <v>23</v>
      </c>
      <c r="F220">
        <v>27.52</v>
      </c>
      <c r="G220">
        <v>601.30999999999995</v>
      </c>
      <c r="H220">
        <v>5</v>
      </c>
      <c r="I220" t="s">
        <v>16</v>
      </c>
      <c r="J220" t="s">
        <v>160</v>
      </c>
      <c r="K220" t="s">
        <v>430</v>
      </c>
      <c r="L220" t="s">
        <v>69</v>
      </c>
    </row>
    <row r="221" spans="1:12" x14ac:dyDescent="0.3">
      <c r="A221" t="s">
        <v>677</v>
      </c>
      <c r="B221" t="s">
        <v>478</v>
      </c>
      <c r="C221" t="s">
        <v>90</v>
      </c>
      <c r="D221" t="s">
        <v>23</v>
      </c>
      <c r="E221">
        <v>25</v>
      </c>
      <c r="F221">
        <v>39.950000000000003</v>
      </c>
      <c r="G221">
        <v>898.88</v>
      </c>
      <c r="H221">
        <v>10</v>
      </c>
      <c r="I221" t="s">
        <v>53</v>
      </c>
      <c r="J221" t="s">
        <v>54</v>
      </c>
      <c r="K221" t="s">
        <v>678</v>
      </c>
      <c r="L221" t="s">
        <v>49</v>
      </c>
    </row>
    <row r="222" spans="1:12" x14ac:dyDescent="0.3">
      <c r="A222" t="s">
        <v>679</v>
      </c>
      <c r="B222" t="s">
        <v>680</v>
      </c>
      <c r="C222" t="s">
        <v>45</v>
      </c>
      <c r="D222" t="s">
        <v>23</v>
      </c>
      <c r="E222">
        <v>50</v>
      </c>
      <c r="F222">
        <v>60.71</v>
      </c>
      <c r="G222">
        <v>2731.95</v>
      </c>
      <c r="H222">
        <v>10</v>
      </c>
      <c r="I222" t="s">
        <v>24</v>
      </c>
      <c r="J222" t="s">
        <v>41</v>
      </c>
      <c r="K222" t="s">
        <v>681</v>
      </c>
      <c r="L222" t="s">
        <v>49</v>
      </c>
    </row>
    <row r="223" spans="1:12" x14ac:dyDescent="0.3">
      <c r="A223" t="s">
        <v>682</v>
      </c>
      <c r="B223" t="s">
        <v>683</v>
      </c>
      <c r="C223" t="s">
        <v>103</v>
      </c>
      <c r="D223" t="s">
        <v>35</v>
      </c>
      <c r="E223">
        <v>9</v>
      </c>
      <c r="F223">
        <v>347.72</v>
      </c>
      <c r="G223">
        <v>2973.01</v>
      </c>
      <c r="H223">
        <v>5</v>
      </c>
      <c r="I223" t="s">
        <v>16</v>
      </c>
      <c r="J223" t="s">
        <v>160</v>
      </c>
      <c r="K223" t="s">
        <v>684</v>
      </c>
      <c r="L223" t="s">
        <v>49</v>
      </c>
    </row>
    <row r="224" spans="1:12" x14ac:dyDescent="0.3">
      <c r="A224" t="s">
        <v>685</v>
      </c>
      <c r="B224" t="s">
        <v>686</v>
      </c>
      <c r="C224" t="s">
        <v>40</v>
      </c>
      <c r="D224" t="s">
        <v>23</v>
      </c>
      <c r="E224">
        <v>23</v>
      </c>
      <c r="F224">
        <v>52.28</v>
      </c>
      <c r="G224">
        <v>1142.32</v>
      </c>
      <c r="H224">
        <v>5</v>
      </c>
      <c r="I224" t="s">
        <v>16</v>
      </c>
      <c r="J224" t="s">
        <v>91</v>
      </c>
      <c r="K224" t="s">
        <v>687</v>
      </c>
      <c r="L224" t="s">
        <v>19</v>
      </c>
    </row>
    <row r="225" spans="1:12" x14ac:dyDescent="0.3">
      <c r="A225" t="s">
        <v>688</v>
      </c>
      <c r="B225" t="s">
        <v>689</v>
      </c>
      <c r="C225" t="s">
        <v>45</v>
      </c>
      <c r="D225" t="s">
        <v>23</v>
      </c>
      <c r="E225">
        <v>10</v>
      </c>
      <c r="F225">
        <v>54.28</v>
      </c>
      <c r="G225">
        <v>488.52</v>
      </c>
      <c r="H225">
        <v>10</v>
      </c>
      <c r="I225" t="s">
        <v>24</v>
      </c>
      <c r="J225" t="s">
        <v>104</v>
      </c>
      <c r="K225" t="s">
        <v>690</v>
      </c>
      <c r="L225" t="s">
        <v>27</v>
      </c>
    </row>
    <row r="226" spans="1:12" x14ac:dyDescent="0.3">
      <c r="A226" t="s">
        <v>691</v>
      </c>
      <c r="B226" t="s">
        <v>692</v>
      </c>
      <c r="C226" t="s">
        <v>82</v>
      </c>
      <c r="D226" t="s">
        <v>73</v>
      </c>
      <c r="E226">
        <v>35</v>
      </c>
      <c r="F226">
        <v>524.15</v>
      </c>
      <c r="G226">
        <v>14676.2</v>
      </c>
      <c r="H226">
        <v>20</v>
      </c>
      <c r="I226" t="s">
        <v>16</v>
      </c>
      <c r="J226" t="s">
        <v>74</v>
      </c>
      <c r="K226" t="s">
        <v>693</v>
      </c>
      <c r="L226" t="s">
        <v>69</v>
      </c>
    </row>
    <row r="227" spans="1:12" x14ac:dyDescent="0.3">
      <c r="A227" t="s">
        <v>694</v>
      </c>
      <c r="B227" t="s">
        <v>695</v>
      </c>
      <c r="C227" t="s">
        <v>103</v>
      </c>
      <c r="D227" t="s">
        <v>35</v>
      </c>
      <c r="E227">
        <v>47</v>
      </c>
      <c r="F227">
        <v>581.71</v>
      </c>
      <c r="G227">
        <v>25973.35</v>
      </c>
      <c r="H227">
        <v>5</v>
      </c>
      <c r="I227" t="s">
        <v>53</v>
      </c>
      <c r="J227" t="s">
        <v>54</v>
      </c>
      <c r="K227" t="s">
        <v>488</v>
      </c>
      <c r="L227" t="s">
        <v>27</v>
      </c>
    </row>
    <row r="228" spans="1:12" x14ac:dyDescent="0.3">
      <c r="A228" t="s">
        <v>696</v>
      </c>
      <c r="B228" t="s">
        <v>697</v>
      </c>
      <c r="C228" t="s">
        <v>99</v>
      </c>
      <c r="D228" t="s">
        <v>23</v>
      </c>
      <c r="E228">
        <v>15</v>
      </c>
      <c r="F228">
        <v>21.06</v>
      </c>
      <c r="G228">
        <v>300.10000000000002</v>
      </c>
      <c r="H228">
        <v>5</v>
      </c>
      <c r="I228" t="s">
        <v>53</v>
      </c>
      <c r="J228" t="s">
        <v>54</v>
      </c>
      <c r="K228" t="s">
        <v>698</v>
      </c>
      <c r="L228" t="s">
        <v>27</v>
      </c>
    </row>
    <row r="229" spans="1:12" x14ac:dyDescent="0.3">
      <c r="A229" t="s">
        <v>699</v>
      </c>
      <c r="B229" t="s">
        <v>700</v>
      </c>
      <c r="C229" t="s">
        <v>99</v>
      </c>
      <c r="D229" t="s">
        <v>23</v>
      </c>
      <c r="E229">
        <v>42</v>
      </c>
      <c r="F229">
        <v>20.85</v>
      </c>
      <c r="G229">
        <v>788.13</v>
      </c>
      <c r="H229">
        <v>10</v>
      </c>
      <c r="I229" t="s">
        <v>53</v>
      </c>
      <c r="J229" t="s">
        <v>134</v>
      </c>
      <c r="K229" t="s">
        <v>701</v>
      </c>
      <c r="L229" t="s">
        <v>69</v>
      </c>
    </row>
    <row r="230" spans="1:12" x14ac:dyDescent="0.3">
      <c r="A230" t="s">
        <v>702</v>
      </c>
      <c r="B230" t="s">
        <v>703</v>
      </c>
      <c r="C230" t="s">
        <v>22</v>
      </c>
      <c r="D230" t="s">
        <v>23</v>
      </c>
      <c r="E230">
        <v>45</v>
      </c>
      <c r="F230">
        <v>32.85</v>
      </c>
      <c r="G230">
        <v>1256.51</v>
      </c>
      <c r="H230">
        <v>15</v>
      </c>
      <c r="I230" t="s">
        <v>53</v>
      </c>
      <c r="J230" t="s">
        <v>54</v>
      </c>
      <c r="K230" t="s">
        <v>690</v>
      </c>
      <c r="L230" t="s">
        <v>27</v>
      </c>
    </row>
    <row r="231" spans="1:12" x14ac:dyDescent="0.3">
      <c r="A231" t="s">
        <v>704</v>
      </c>
      <c r="B231" t="s">
        <v>705</v>
      </c>
      <c r="C231" t="s">
        <v>72</v>
      </c>
      <c r="D231" t="s">
        <v>73</v>
      </c>
      <c r="E231">
        <v>27</v>
      </c>
      <c r="F231">
        <v>220.68</v>
      </c>
      <c r="G231">
        <v>5660.44</v>
      </c>
      <c r="H231">
        <v>5</v>
      </c>
      <c r="I231" t="s">
        <v>24</v>
      </c>
      <c r="J231" t="s">
        <v>41</v>
      </c>
      <c r="K231" t="s">
        <v>204</v>
      </c>
      <c r="L231" t="s">
        <v>31</v>
      </c>
    </row>
    <row r="232" spans="1:12" x14ac:dyDescent="0.3">
      <c r="A232" t="s">
        <v>706</v>
      </c>
      <c r="B232" t="s">
        <v>707</v>
      </c>
      <c r="C232" t="s">
        <v>103</v>
      </c>
      <c r="D232" t="s">
        <v>35</v>
      </c>
      <c r="E232">
        <v>44</v>
      </c>
      <c r="F232">
        <v>322.31</v>
      </c>
      <c r="G232">
        <v>12054.39</v>
      </c>
      <c r="H232">
        <v>15</v>
      </c>
      <c r="I232" t="s">
        <v>53</v>
      </c>
      <c r="J232" t="s">
        <v>134</v>
      </c>
      <c r="K232" t="s">
        <v>708</v>
      </c>
      <c r="L232" t="s">
        <v>19</v>
      </c>
    </row>
    <row r="233" spans="1:12" x14ac:dyDescent="0.3">
      <c r="A233" t="s">
        <v>709</v>
      </c>
      <c r="B233" t="s">
        <v>710</v>
      </c>
      <c r="C233" t="s">
        <v>34</v>
      </c>
      <c r="D233" t="s">
        <v>35</v>
      </c>
      <c r="E233">
        <v>5</v>
      </c>
      <c r="F233">
        <v>726.08</v>
      </c>
      <c r="G233">
        <v>3448.88</v>
      </c>
      <c r="H233">
        <v>5</v>
      </c>
      <c r="I233" t="s">
        <v>16</v>
      </c>
      <c r="J233" t="s">
        <v>91</v>
      </c>
      <c r="K233" t="s">
        <v>711</v>
      </c>
      <c r="L233" t="s">
        <v>49</v>
      </c>
    </row>
    <row r="234" spans="1:12" x14ac:dyDescent="0.3">
      <c r="A234" t="s">
        <v>712</v>
      </c>
      <c r="B234" t="s">
        <v>713</v>
      </c>
      <c r="C234" t="s">
        <v>82</v>
      </c>
      <c r="D234" t="s">
        <v>73</v>
      </c>
      <c r="E234">
        <v>44</v>
      </c>
      <c r="F234">
        <v>356</v>
      </c>
      <c r="G234">
        <v>14097.6</v>
      </c>
      <c r="H234">
        <v>10</v>
      </c>
      <c r="I234" t="s">
        <v>24</v>
      </c>
      <c r="J234" t="s">
        <v>41</v>
      </c>
      <c r="K234" t="s">
        <v>714</v>
      </c>
      <c r="L234" t="s">
        <v>27</v>
      </c>
    </row>
    <row r="235" spans="1:12" x14ac:dyDescent="0.3">
      <c r="A235" t="s">
        <v>715</v>
      </c>
      <c r="B235" t="s">
        <v>716</v>
      </c>
      <c r="C235" t="s">
        <v>99</v>
      </c>
      <c r="D235" t="s">
        <v>23</v>
      </c>
      <c r="E235">
        <v>38</v>
      </c>
      <c r="F235">
        <v>16.5</v>
      </c>
      <c r="G235">
        <v>627</v>
      </c>
      <c r="H235">
        <v>0</v>
      </c>
      <c r="I235" t="s">
        <v>24</v>
      </c>
      <c r="J235" t="s">
        <v>41</v>
      </c>
      <c r="K235" t="s">
        <v>717</v>
      </c>
      <c r="L235" t="s">
        <v>19</v>
      </c>
    </row>
    <row r="236" spans="1:12" x14ac:dyDescent="0.3">
      <c r="A236" t="s">
        <v>718</v>
      </c>
      <c r="B236" t="s">
        <v>719</v>
      </c>
      <c r="C236" t="s">
        <v>52</v>
      </c>
      <c r="D236" t="s">
        <v>35</v>
      </c>
      <c r="E236">
        <v>42</v>
      </c>
      <c r="F236">
        <v>327.45</v>
      </c>
      <c r="G236">
        <v>12377.61</v>
      </c>
      <c r="H236">
        <v>10</v>
      </c>
      <c r="I236" t="s">
        <v>16</v>
      </c>
      <c r="J236" t="s">
        <v>17</v>
      </c>
      <c r="K236" t="s">
        <v>720</v>
      </c>
      <c r="L236" t="s">
        <v>69</v>
      </c>
    </row>
    <row r="237" spans="1:12" x14ac:dyDescent="0.3">
      <c r="A237" t="s">
        <v>721</v>
      </c>
      <c r="B237" t="s">
        <v>722</v>
      </c>
      <c r="C237" t="s">
        <v>99</v>
      </c>
      <c r="D237" t="s">
        <v>23</v>
      </c>
      <c r="E237">
        <v>26</v>
      </c>
      <c r="F237">
        <v>29.56</v>
      </c>
      <c r="G237">
        <v>691.7</v>
      </c>
      <c r="H237">
        <v>10</v>
      </c>
      <c r="I237" t="s">
        <v>16</v>
      </c>
      <c r="J237" t="s">
        <v>160</v>
      </c>
      <c r="K237" t="s">
        <v>723</v>
      </c>
      <c r="L237" t="s">
        <v>27</v>
      </c>
    </row>
    <row r="238" spans="1:12" x14ac:dyDescent="0.3">
      <c r="A238" t="s">
        <v>724</v>
      </c>
      <c r="B238" t="s">
        <v>725</v>
      </c>
      <c r="C238" t="s">
        <v>95</v>
      </c>
      <c r="D238" t="s">
        <v>35</v>
      </c>
      <c r="E238">
        <v>23</v>
      </c>
      <c r="F238">
        <v>1098.1500000000001</v>
      </c>
      <c r="G238">
        <v>23994.58</v>
      </c>
      <c r="H238">
        <v>5</v>
      </c>
      <c r="I238" t="s">
        <v>24</v>
      </c>
      <c r="J238" t="s">
        <v>36</v>
      </c>
      <c r="K238" t="s">
        <v>726</v>
      </c>
      <c r="L238" t="s">
        <v>27</v>
      </c>
    </row>
    <row r="239" spans="1:12" x14ac:dyDescent="0.3">
      <c r="A239" t="s">
        <v>727</v>
      </c>
      <c r="B239" t="s">
        <v>728</v>
      </c>
      <c r="C239" t="s">
        <v>40</v>
      </c>
      <c r="D239" t="s">
        <v>23</v>
      </c>
      <c r="E239">
        <v>33</v>
      </c>
      <c r="F239">
        <v>73.66</v>
      </c>
      <c r="G239">
        <v>2187.6999999999998</v>
      </c>
      <c r="H239">
        <v>10</v>
      </c>
      <c r="I239" t="s">
        <v>46</v>
      </c>
      <c r="J239" t="s">
        <v>83</v>
      </c>
      <c r="K239" t="s">
        <v>729</v>
      </c>
      <c r="L239" t="s">
        <v>69</v>
      </c>
    </row>
    <row r="240" spans="1:12" x14ac:dyDescent="0.3">
      <c r="A240" t="s">
        <v>730</v>
      </c>
      <c r="B240" t="s">
        <v>731</v>
      </c>
      <c r="C240" t="s">
        <v>40</v>
      </c>
      <c r="D240" t="s">
        <v>23</v>
      </c>
      <c r="E240">
        <v>18</v>
      </c>
      <c r="F240">
        <v>55.18</v>
      </c>
      <c r="G240">
        <v>844.25</v>
      </c>
      <c r="H240">
        <v>15</v>
      </c>
      <c r="I240" t="s">
        <v>46</v>
      </c>
      <c r="J240" t="s">
        <v>124</v>
      </c>
      <c r="K240" t="s">
        <v>732</v>
      </c>
      <c r="L240" t="s">
        <v>31</v>
      </c>
    </row>
    <row r="241" spans="1:12" x14ac:dyDescent="0.3">
      <c r="A241" t="s">
        <v>733</v>
      </c>
      <c r="B241" t="s">
        <v>137</v>
      </c>
      <c r="C241" t="s">
        <v>52</v>
      </c>
      <c r="D241" t="s">
        <v>35</v>
      </c>
      <c r="E241">
        <v>15</v>
      </c>
      <c r="F241">
        <v>294.58999999999997</v>
      </c>
      <c r="G241">
        <v>3976.96</v>
      </c>
      <c r="H241">
        <v>10</v>
      </c>
      <c r="I241" t="s">
        <v>16</v>
      </c>
      <c r="J241" t="s">
        <v>111</v>
      </c>
      <c r="K241" t="s">
        <v>734</v>
      </c>
      <c r="L241" t="s">
        <v>69</v>
      </c>
    </row>
    <row r="242" spans="1:12" x14ac:dyDescent="0.3">
      <c r="A242" t="s">
        <v>735</v>
      </c>
      <c r="B242" t="s">
        <v>330</v>
      </c>
      <c r="C242" t="s">
        <v>40</v>
      </c>
      <c r="D242" t="s">
        <v>23</v>
      </c>
      <c r="E242">
        <v>28</v>
      </c>
      <c r="F242">
        <v>49.1</v>
      </c>
      <c r="G242">
        <v>1374.8</v>
      </c>
      <c r="H242">
        <v>0</v>
      </c>
      <c r="I242" t="s">
        <v>16</v>
      </c>
      <c r="J242" t="s">
        <v>74</v>
      </c>
      <c r="K242" t="s">
        <v>736</v>
      </c>
      <c r="L242" t="s">
        <v>27</v>
      </c>
    </row>
    <row r="243" spans="1:12" x14ac:dyDescent="0.3">
      <c r="A243" t="s">
        <v>737</v>
      </c>
      <c r="B243" t="s">
        <v>738</v>
      </c>
      <c r="C243" t="s">
        <v>82</v>
      </c>
      <c r="D243" t="s">
        <v>73</v>
      </c>
      <c r="E243">
        <v>26</v>
      </c>
      <c r="F243">
        <v>565.84</v>
      </c>
      <c r="G243">
        <v>14711.84</v>
      </c>
      <c r="H243">
        <v>0</v>
      </c>
      <c r="I243" t="s">
        <v>24</v>
      </c>
      <c r="J243" t="s">
        <v>41</v>
      </c>
      <c r="K243" t="s">
        <v>739</v>
      </c>
      <c r="L243" t="s">
        <v>27</v>
      </c>
    </row>
    <row r="244" spans="1:12" x14ac:dyDescent="0.3">
      <c r="A244" t="s">
        <v>740</v>
      </c>
      <c r="B244" t="s">
        <v>741</v>
      </c>
      <c r="C244" t="s">
        <v>103</v>
      </c>
      <c r="D244" t="s">
        <v>35</v>
      </c>
      <c r="E244">
        <v>38</v>
      </c>
      <c r="F244">
        <v>256.58</v>
      </c>
      <c r="G244">
        <v>8775.0400000000009</v>
      </c>
      <c r="H244">
        <v>10</v>
      </c>
      <c r="I244" t="s">
        <v>46</v>
      </c>
      <c r="J244" t="s">
        <v>78</v>
      </c>
      <c r="K244" t="s">
        <v>742</v>
      </c>
      <c r="L244" t="s">
        <v>31</v>
      </c>
    </row>
    <row r="245" spans="1:12" x14ac:dyDescent="0.3">
      <c r="A245" t="s">
        <v>743</v>
      </c>
      <c r="B245" t="s">
        <v>744</v>
      </c>
      <c r="C245" t="s">
        <v>58</v>
      </c>
      <c r="D245" t="s">
        <v>35</v>
      </c>
      <c r="E245">
        <v>26</v>
      </c>
      <c r="F245">
        <v>289.13</v>
      </c>
      <c r="G245">
        <v>6765.64</v>
      </c>
      <c r="H245">
        <v>10</v>
      </c>
      <c r="I245" t="s">
        <v>53</v>
      </c>
      <c r="J245" t="s">
        <v>67</v>
      </c>
      <c r="K245" t="s">
        <v>745</v>
      </c>
      <c r="L245" t="s">
        <v>19</v>
      </c>
    </row>
    <row r="246" spans="1:12" x14ac:dyDescent="0.3">
      <c r="A246" t="s">
        <v>746</v>
      </c>
      <c r="B246" t="s">
        <v>747</v>
      </c>
      <c r="C246" t="s">
        <v>82</v>
      </c>
      <c r="D246" t="s">
        <v>73</v>
      </c>
      <c r="E246">
        <v>26</v>
      </c>
      <c r="F246">
        <v>450.69</v>
      </c>
      <c r="G246">
        <v>10546.15</v>
      </c>
      <c r="H246">
        <v>10</v>
      </c>
      <c r="I246" t="s">
        <v>53</v>
      </c>
      <c r="J246" t="s">
        <v>54</v>
      </c>
      <c r="K246" t="s">
        <v>660</v>
      </c>
      <c r="L246" t="s">
        <v>69</v>
      </c>
    </row>
    <row r="247" spans="1:12" x14ac:dyDescent="0.3">
      <c r="A247" t="s">
        <v>748</v>
      </c>
      <c r="B247" t="s">
        <v>749</v>
      </c>
      <c r="C247" t="s">
        <v>90</v>
      </c>
      <c r="D247" t="s">
        <v>23</v>
      </c>
      <c r="E247">
        <v>9</v>
      </c>
      <c r="F247">
        <v>43.94</v>
      </c>
      <c r="G247">
        <v>395.46</v>
      </c>
      <c r="H247">
        <v>0</v>
      </c>
      <c r="I247" t="s">
        <v>53</v>
      </c>
      <c r="J247" t="s">
        <v>134</v>
      </c>
      <c r="K247" t="s">
        <v>750</v>
      </c>
      <c r="L247" t="s">
        <v>19</v>
      </c>
    </row>
    <row r="248" spans="1:12" x14ac:dyDescent="0.3">
      <c r="A248" t="s">
        <v>751</v>
      </c>
      <c r="B248" t="s">
        <v>752</v>
      </c>
      <c r="C248" t="s">
        <v>34</v>
      </c>
      <c r="D248" t="s">
        <v>35</v>
      </c>
      <c r="E248">
        <v>28</v>
      </c>
      <c r="F248">
        <v>895.15</v>
      </c>
      <c r="G248">
        <v>25064.2</v>
      </c>
      <c r="H248">
        <v>0</v>
      </c>
      <c r="I248" t="s">
        <v>46</v>
      </c>
      <c r="J248" t="s">
        <v>124</v>
      </c>
      <c r="K248" t="s">
        <v>115</v>
      </c>
      <c r="L248" t="s">
        <v>31</v>
      </c>
    </row>
    <row r="249" spans="1:12" x14ac:dyDescent="0.3">
      <c r="A249" t="s">
        <v>753</v>
      </c>
      <c r="B249" t="s">
        <v>754</v>
      </c>
      <c r="C249" t="s">
        <v>52</v>
      </c>
      <c r="D249" t="s">
        <v>35</v>
      </c>
      <c r="E249">
        <v>32</v>
      </c>
      <c r="F249">
        <v>293.62</v>
      </c>
      <c r="G249">
        <v>9395.84</v>
      </c>
      <c r="H249">
        <v>0</v>
      </c>
      <c r="I249" t="s">
        <v>53</v>
      </c>
      <c r="J249" t="s">
        <v>170</v>
      </c>
      <c r="K249" t="s">
        <v>755</v>
      </c>
      <c r="L249" t="s">
        <v>49</v>
      </c>
    </row>
    <row r="250" spans="1:12" x14ac:dyDescent="0.3">
      <c r="A250" t="s">
        <v>756</v>
      </c>
      <c r="B250" t="s">
        <v>757</v>
      </c>
      <c r="C250" t="s">
        <v>123</v>
      </c>
      <c r="D250" t="s">
        <v>15</v>
      </c>
      <c r="E250">
        <v>35</v>
      </c>
      <c r="F250">
        <v>28.89</v>
      </c>
      <c r="G250">
        <v>1011.15</v>
      </c>
      <c r="H250">
        <v>0</v>
      </c>
      <c r="I250" t="s">
        <v>24</v>
      </c>
      <c r="J250" t="s">
        <v>104</v>
      </c>
      <c r="K250" t="s">
        <v>758</v>
      </c>
      <c r="L250" t="s">
        <v>49</v>
      </c>
    </row>
    <row r="251" spans="1:12" x14ac:dyDescent="0.3">
      <c r="A251" t="s">
        <v>759</v>
      </c>
      <c r="B251" t="s">
        <v>760</v>
      </c>
      <c r="C251" t="s">
        <v>34</v>
      </c>
      <c r="D251" t="s">
        <v>35</v>
      </c>
      <c r="E251">
        <v>49</v>
      </c>
      <c r="F251">
        <v>564.42999999999995</v>
      </c>
      <c r="G251">
        <v>27657.07</v>
      </c>
      <c r="H251">
        <v>0</v>
      </c>
      <c r="I251" t="s">
        <v>24</v>
      </c>
      <c r="J251" t="s">
        <v>59</v>
      </c>
      <c r="K251" t="s">
        <v>761</v>
      </c>
      <c r="L251" t="s">
        <v>19</v>
      </c>
    </row>
    <row r="252" spans="1:12" x14ac:dyDescent="0.3">
      <c r="A252" t="s">
        <v>762</v>
      </c>
      <c r="B252" t="s">
        <v>763</v>
      </c>
      <c r="C252" t="s">
        <v>123</v>
      </c>
      <c r="D252" t="s">
        <v>15</v>
      </c>
      <c r="E252">
        <v>50</v>
      </c>
      <c r="F252">
        <v>20.6</v>
      </c>
      <c r="G252">
        <v>1030</v>
      </c>
      <c r="H252">
        <v>0</v>
      </c>
      <c r="I252" t="s">
        <v>24</v>
      </c>
      <c r="J252" t="s">
        <v>104</v>
      </c>
      <c r="K252" t="s">
        <v>764</v>
      </c>
      <c r="L252" t="s">
        <v>69</v>
      </c>
    </row>
    <row r="253" spans="1:12" x14ac:dyDescent="0.3">
      <c r="A253" t="s">
        <v>765</v>
      </c>
      <c r="B253" t="s">
        <v>490</v>
      </c>
      <c r="C253" t="s">
        <v>63</v>
      </c>
      <c r="D253" t="s">
        <v>15</v>
      </c>
      <c r="E253">
        <v>35</v>
      </c>
      <c r="F253">
        <v>64.849999999999994</v>
      </c>
      <c r="G253">
        <v>2156.2600000000002</v>
      </c>
      <c r="H253">
        <v>5</v>
      </c>
      <c r="I253" t="s">
        <v>46</v>
      </c>
      <c r="J253" t="s">
        <v>124</v>
      </c>
      <c r="K253" t="s">
        <v>766</v>
      </c>
      <c r="L253" t="s">
        <v>27</v>
      </c>
    </row>
    <row r="254" spans="1:12" x14ac:dyDescent="0.3">
      <c r="A254" t="s">
        <v>767</v>
      </c>
      <c r="B254" t="s">
        <v>768</v>
      </c>
      <c r="C254" t="s">
        <v>34</v>
      </c>
      <c r="D254" t="s">
        <v>35</v>
      </c>
      <c r="E254">
        <v>7</v>
      </c>
      <c r="F254">
        <v>610.32000000000005</v>
      </c>
      <c r="G254">
        <v>4272.24</v>
      </c>
      <c r="H254">
        <v>0</v>
      </c>
      <c r="I254" t="s">
        <v>46</v>
      </c>
      <c r="J254" t="s">
        <v>124</v>
      </c>
      <c r="K254" t="s">
        <v>87</v>
      </c>
      <c r="L254" t="s">
        <v>19</v>
      </c>
    </row>
    <row r="255" spans="1:12" x14ac:dyDescent="0.3">
      <c r="A255" t="s">
        <v>769</v>
      </c>
      <c r="B255" t="s">
        <v>770</v>
      </c>
      <c r="C255" t="s">
        <v>58</v>
      </c>
      <c r="D255" t="s">
        <v>35</v>
      </c>
      <c r="E255">
        <v>19</v>
      </c>
      <c r="F255">
        <v>278.63</v>
      </c>
      <c r="G255">
        <v>4499.87</v>
      </c>
      <c r="H255">
        <v>15</v>
      </c>
      <c r="I255" t="s">
        <v>16</v>
      </c>
      <c r="J255" t="s">
        <v>17</v>
      </c>
      <c r="K255" t="s">
        <v>771</v>
      </c>
      <c r="L255" t="s">
        <v>27</v>
      </c>
    </row>
    <row r="256" spans="1:12" x14ac:dyDescent="0.3">
      <c r="A256" t="s">
        <v>772</v>
      </c>
      <c r="B256" t="s">
        <v>773</v>
      </c>
      <c r="C256" t="s">
        <v>58</v>
      </c>
      <c r="D256" t="s">
        <v>35</v>
      </c>
      <c r="E256">
        <v>38</v>
      </c>
      <c r="F256">
        <v>423.76</v>
      </c>
      <c r="G256">
        <v>16102.88</v>
      </c>
      <c r="H256">
        <v>0</v>
      </c>
      <c r="I256" t="s">
        <v>16</v>
      </c>
      <c r="J256" t="s">
        <v>160</v>
      </c>
      <c r="K256" t="s">
        <v>745</v>
      </c>
      <c r="L256" t="s">
        <v>19</v>
      </c>
    </row>
    <row r="257" spans="1:12" x14ac:dyDescent="0.3">
      <c r="A257" t="s">
        <v>774</v>
      </c>
      <c r="B257" t="s">
        <v>775</v>
      </c>
      <c r="C257" t="s">
        <v>72</v>
      </c>
      <c r="D257" t="s">
        <v>73</v>
      </c>
      <c r="E257">
        <v>13</v>
      </c>
      <c r="F257">
        <v>348.28</v>
      </c>
      <c r="G257">
        <v>4074.88</v>
      </c>
      <c r="H257">
        <v>10</v>
      </c>
      <c r="I257" t="s">
        <v>24</v>
      </c>
      <c r="J257" t="s">
        <v>59</v>
      </c>
      <c r="K257" t="s">
        <v>776</v>
      </c>
      <c r="L257" t="s">
        <v>27</v>
      </c>
    </row>
    <row r="258" spans="1:12" x14ac:dyDescent="0.3">
      <c r="A258" t="s">
        <v>777</v>
      </c>
      <c r="B258" t="s">
        <v>778</v>
      </c>
      <c r="C258" t="s">
        <v>103</v>
      </c>
      <c r="D258" t="s">
        <v>35</v>
      </c>
      <c r="E258">
        <v>28</v>
      </c>
      <c r="F258">
        <v>436.51</v>
      </c>
      <c r="G258">
        <v>11000.05</v>
      </c>
      <c r="H258">
        <v>10</v>
      </c>
      <c r="I258" t="s">
        <v>46</v>
      </c>
      <c r="J258" t="s">
        <v>83</v>
      </c>
      <c r="K258" t="s">
        <v>779</v>
      </c>
      <c r="L258" t="s">
        <v>19</v>
      </c>
    </row>
    <row r="259" spans="1:12" x14ac:dyDescent="0.3">
      <c r="A259" t="s">
        <v>780</v>
      </c>
      <c r="B259" t="s">
        <v>781</v>
      </c>
      <c r="C259" t="s">
        <v>58</v>
      </c>
      <c r="D259" t="s">
        <v>35</v>
      </c>
      <c r="E259">
        <v>46</v>
      </c>
      <c r="F259">
        <v>496.41</v>
      </c>
      <c r="G259">
        <v>18267.89</v>
      </c>
      <c r="H259">
        <v>20</v>
      </c>
      <c r="I259" t="s">
        <v>16</v>
      </c>
      <c r="J259" t="s">
        <v>17</v>
      </c>
      <c r="K259" t="s">
        <v>782</v>
      </c>
      <c r="L259" t="s">
        <v>31</v>
      </c>
    </row>
    <row r="260" spans="1:12" x14ac:dyDescent="0.3">
      <c r="A260" t="s">
        <v>783</v>
      </c>
      <c r="B260" t="s">
        <v>784</v>
      </c>
      <c r="C260" t="s">
        <v>14</v>
      </c>
      <c r="D260" t="s">
        <v>15</v>
      </c>
      <c r="E260">
        <v>21</v>
      </c>
      <c r="F260">
        <v>113.63</v>
      </c>
      <c r="G260">
        <v>2386.23</v>
      </c>
      <c r="H260">
        <v>0</v>
      </c>
      <c r="I260" t="s">
        <v>24</v>
      </c>
      <c r="J260" t="s">
        <v>41</v>
      </c>
      <c r="K260" t="s">
        <v>593</v>
      </c>
      <c r="L260" t="s">
        <v>19</v>
      </c>
    </row>
    <row r="261" spans="1:12" x14ac:dyDescent="0.3">
      <c r="A261" t="s">
        <v>785</v>
      </c>
      <c r="B261" t="s">
        <v>786</v>
      </c>
      <c r="C261" t="s">
        <v>14</v>
      </c>
      <c r="D261" t="s">
        <v>15</v>
      </c>
      <c r="E261">
        <v>14</v>
      </c>
      <c r="F261">
        <v>99.27</v>
      </c>
      <c r="G261">
        <v>1320.29</v>
      </c>
      <c r="H261">
        <v>5</v>
      </c>
      <c r="I261" t="s">
        <v>46</v>
      </c>
      <c r="J261" t="s">
        <v>83</v>
      </c>
      <c r="K261" t="s">
        <v>787</v>
      </c>
      <c r="L261" t="s">
        <v>31</v>
      </c>
    </row>
    <row r="262" spans="1:12" x14ac:dyDescent="0.3">
      <c r="A262" t="s">
        <v>788</v>
      </c>
      <c r="B262" t="s">
        <v>789</v>
      </c>
      <c r="C262" t="s">
        <v>72</v>
      </c>
      <c r="D262" t="s">
        <v>73</v>
      </c>
      <c r="E262">
        <v>17</v>
      </c>
      <c r="F262">
        <v>361.05</v>
      </c>
      <c r="G262">
        <v>5830.96</v>
      </c>
      <c r="H262">
        <v>5</v>
      </c>
      <c r="I262" t="s">
        <v>53</v>
      </c>
      <c r="J262" t="s">
        <v>54</v>
      </c>
      <c r="K262" t="s">
        <v>790</v>
      </c>
      <c r="L262" t="s">
        <v>49</v>
      </c>
    </row>
    <row r="263" spans="1:12" x14ac:dyDescent="0.3">
      <c r="A263" t="s">
        <v>791</v>
      </c>
      <c r="B263" t="s">
        <v>514</v>
      </c>
      <c r="C263" t="s">
        <v>95</v>
      </c>
      <c r="D263" t="s">
        <v>35</v>
      </c>
      <c r="E263">
        <v>22</v>
      </c>
      <c r="F263">
        <v>918.39</v>
      </c>
      <c r="G263">
        <v>16163.66</v>
      </c>
      <c r="H263">
        <v>20</v>
      </c>
      <c r="I263" t="s">
        <v>53</v>
      </c>
      <c r="J263" t="s">
        <v>134</v>
      </c>
      <c r="K263" t="s">
        <v>128</v>
      </c>
      <c r="L263" t="s">
        <v>27</v>
      </c>
    </row>
    <row r="264" spans="1:12" x14ac:dyDescent="0.3">
      <c r="A264" t="s">
        <v>792</v>
      </c>
      <c r="B264" t="s">
        <v>793</v>
      </c>
      <c r="C264" t="s">
        <v>103</v>
      </c>
      <c r="D264" t="s">
        <v>35</v>
      </c>
      <c r="E264">
        <v>39</v>
      </c>
      <c r="F264">
        <v>361.77</v>
      </c>
      <c r="G264">
        <v>11992.68</v>
      </c>
      <c r="H264">
        <v>15</v>
      </c>
      <c r="I264" t="s">
        <v>46</v>
      </c>
      <c r="J264" t="s">
        <v>124</v>
      </c>
      <c r="K264" t="s">
        <v>316</v>
      </c>
      <c r="L264" t="s">
        <v>49</v>
      </c>
    </row>
    <row r="265" spans="1:12" x14ac:dyDescent="0.3">
      <c r="A265" t="s">
        <v>794</v>
      </c>
      <c r="B265" t="s">
        <v>795</v>
      </c>
      <c r="C265" t="s">
        <v>40</v>
      </c>
      <c r="D265" t="s">
        <v>23</v>
      </c>
      <c r="E265">
        <v>40</v>
      </c>
      <c r="F265">
        <v>37.270000000000003</v>
      </c>
      <c r="G265">
        <v>1490.8</v>
      </c>
      <c r="H265">
        <v>0</v>
      </c>
      <c r="I265" t="s">
        <v>24</v>
      </c>
      <c r="J265" t="s">
        <v>25</v>
      </c>
      <c r="K265" t="s">
        <v>260</v>
      </c>
      <c r="L265" t="s">
        <v>19</v>
      </c>
    </row>
    <row r="266" spans="1:12" x14ac:dyDescent="0.3">
      <c r="A266" t="s">
        <v>796</v>
      </c>
      <c r="B266" t="s">
        <v>797</v>
      </c>
      <c r="C266" t="s">
        <v>58</v>
      </c>
      <c r="D266" t="s">
        <v>35</v>
      </c>
      <c r="E266">
        <v>16</v>
      </c>
      <c r="F266">
        <v>442.42</v>
      </c>
      <c r="G266">
        <v>6724.78</v>
      </c>
      <c r="H266">
        <v>5</v>
      </c>
      <c r="I266" t="s">
        <v>16</v>
      </c>
      <c r="J266" t="s">
        <v>111</v>
      </c>
      <c r="K266" t="s">
        <v>639</v>
      </c>
      <c r="L266" t="s">
        <v>27</v>
      </c>
    </row>
    <row r="267" spans="1:12" x14ac:dyDescent="0.3">
      <c r="A267" t="s">
        <v>798</v>
      </c>
      <c r="B267" t="s">
        <v>799</v>
      </c>
      <c r="C267" t="s">
        <v>45</v>
      </c>
      <c r="D267" t="s">
        <v>23</v>
      </c>
      <c r="E267">
        <v>36</v>
      </c>
      <c r="F267">
        <v>49.37</v>
      </c>
      <c r="G267">
        <v>1777.32</v>
      </c>
      <c r="H267">
        <v>0</v>
      </c>
      <c r="I267" t="s">
        <v>24</v>
      </c>
      <c r="J267" t="s">
        <v>25</v>
      </c>
      <c r="K267" t="s">
        <v>651</v>
      </c>
      <c r="L267" t="s">
        <v>31</v>
      </c>
    </row>
    <row r="268" spans="1:12" x14ac:dyDescent="0.3">
      <c r="A268" t="s">
        <v>800</v>
      </c>
      <c r="B268" t="s">
        <v>801</v>
      </c>
      <c r="C268" t="s">
        <v>34</v>
      </c>
      <c r="D268" t="s">
        <v>35</v>
      </c>
      <c r="E268">
        <v>15</v>
      </c>
      <c r="F268">
        <v>727.01</v>
      </c>
      <c r="G268">
        <v>9269.3799999999992</v>
      </c>
      <c r="H268">
        <v>15</v>
      </c>
      <c r="I268" t="s">
        <v>53</v>
      </c>
      <c r="J268" t="s">
        <v>170</v>
      </c>
      <c r="K268" t="s">
        <v>802</v>
      </c>
      <c r="L268" t="s">
        <v>31</v>
      </c>
    </row>
    <row r="269" spans="1:12" x14ac:dyDescent="0.3">
      <c r="A269" t="s">
        <v>803</v>
      </c>
      <c r="B269" t="s">
        <v>804</v>
      </c>
      <c r="C269" t="s">
        <v>14</v>
      </c>
      <c r="D269" t="s">
        <v>15</v>
      </c>
      <c r="E269">
        <v>3</v>
      </c>
      <c r="F269">
        <v>53.83</v>
      </c>
      <c r="G269">
        <v>153.41999999999999</v>
      </c>
      <c r="H269">
        <v>5</v>
      </c>
      <c r="I269" t="s">
        <v>53</v>
      </c>
      <c r="J269" t="s">
        <v>141</v>
      </c>
      <c r="K269" t="s">
        <v>805</v>
      </c>
      <c r="L269" t="s">
        <v>49</v>
      </c>
    </row>
    <row r="270" spans="1:12" x14ac:dyDescent="0.3">
      <c r="A270" t="s">
        <v>806</v>
      </c>
      <c r="B270" t="s">
        <v>153</v>
      </c>
      <c r="C270" t="s">
        <v>82</v>
      </c>
      <c r="D270" t="s">
        <v>73</v>
      </c>
      <c r="E270">
        <v>34</v>
      </c>
      <c r="F270">
        <v>773.52</v>
      </c>
      <c r="G270">
        <v>23669.71</v>
      </c>
      <c r="H270">
        <v>10</v>
      </c>
      <c r="I270" t="s">
        <v>24</v>
      </c>
      <c r="J270" t="s">
        <v>36</v>
      </c>
      <c r="K270" t="s">
        <v>807</v>
      </c>
      <c r="L270" t="s">
        <v>19</v>
      </c>
    </row>
    <row r="271" spans="1:12" x14ac:dyDescent="0.3">
      <c r="A271" t="s">
        <v>808</v>
      </c>
      <c r="B271" t="s">
        <v>809</v>
      </c>
      <c r="C271" t="s">
        <v>82</v>
      </c>
      <c r="D271" t="s">
        <v>73</v>
      </c>
      <c r="E271">
        <v>34</v>
      </c>
      <c r="F271">
        <v>648.09</v>
      </c>
      <c r="G271">
        <v>20933.310000000001</v>
      </c>
      <c r="H271">
        <v>5</v>
      </c>
      <c r="I271" t="s">
        <v>24</v>
      </c>
      <c r="J271" t="s">
        <v>41</v>
      </c>
      <c r="K271" t="s">
        <v>687</v>
      </c>
      <c r="L271" t="s">
        <v>31</v>
      </c>
    </row>
    <row r="272" spans="1:12" x14ac:dyDescent="0.3">
      <c r="A272" t="s">
        <v>810</v>
      </c>
      <c r="B272" t="s">
        <v>811</v>
      </c>
      <c r="C272" t="s">
        <v>45</v>
      </c>
      <c r="D272" t="s">
        <v>23</v>
      </c>
      <c r="E272">
        <v>23</v>
      </c>
      <c r="F272">
        <v>50.13</v>
      </c>
      <c r="G272">
        <v>1095.3399999999999</v>
      </c>
      <c r="H272">
        <v>5</v>
      </c>
      <c r="I272" t="s">
        <v>46</v>
      </c>
      <c r="J272" t="s">
        <v>78</v>
      </c>
      <c r="K272" t="s">
        <v>812</v>
      </c>
      <c r="L272" t="s">
        <v>69</v>
      </c>
    </row>
    <row r="273" spans="1:12" x14ac:dyDescent="0.3">
      <c r="A273" t="s">
        <v>813</v>
      </c>
      <c r="B273" t="s">
        <v>814</v>
      </c>
      <c r="C273" t="s">
        <v>90</v>
      </c>
      <c r="D273" t="s">
        <v>23</v>
      </c>
      <c r="E273">
        <v>25</v>
      </c>
      <c r="F273">
        <v>23.18</v>
      </c>
      <c r="G273">
        <v>579.5</v>
      </c>
      <c r="H273">
        <v>0</v>
      </c>
      <c r="I273" t="s">
        <v>53</v>
      </c>
      <c r="J273" t="s">
        <v>54</v>
      </c>
      <c r="K273" t="s">
        <v>815</v>
      </c>
      <c r="L273" t="s">
        <v>49</v>
      </c>
    </row>
    <row r="274" spans="1:12" x14ac:dyDescent="0.3">
      <c r="A274" t="s">
        <v>816</v>
      </c>
      <c r="B274" t="s">
        <v>680</v>
      </c>
      <c r="C274" t="s">
        <v>58</v>
      </c>
      <c r="D274" t="s">
        <v>35</v>
      </c>
      <c r="E274">
        <v>47</v>
      </c>
      <c r="F274">
        <v>238.87</v>
      </c>
      <c r="G274">
        <v>10665.55</v>
      </c>
      <c r="H274">
        <v>5</v>
      </c>
      <c r="I274" t="s">
        <v>53</v>
      </c>
      <c r="J274" t="s">
        <v>134</v>
      </c>
      <c r="K274" t="s">
        <v>817</v>
      </c>
      <c r="L274" t="s">
        <v>31</v>
      </c>
    </row>
    <row r="275" spans="1:12" x14ac:dyDescent="0.3">
      <c r="A275" t="s">
        <v>818</v>
      </c>
      <c r="B275" t="s">
        <v>604</v>
      </c>
      <c r="C275" t="s">
        <v>103</v>
      </c>
      <c r="D275" t="s">
        <v>35</v>
      </c>
      <c r="E275">
        <v>44</v>
      </c>
      <c r="F275">
        <v>359.23</v>
      </c>
      <c r="G275">
        <v>13435.2</v>
      </c>
      <c r="H275">
        <v>15</v>
      </c>
      <c r="I275" t="s">
        <v>53</v>
      </c>
      <c r="J275" t="s">
        <v>170</v>
      </c>
      <c r="K275" t="s">
        <v>215</v>
      </c>
      <c r="L275" t="s">
        <v>19</v>
      </c>
    </row>
    <row r="276" spans="1:12" x14ac:dyDescent="0.3">
      <c r="A276" t="s">
        <v>819</v>
      </c>
      <c r="B276" t="s">
        <v>820</v>
      </c>
      <c r="C276" t="s">
        <v>82</v>
      </c>
      <c r="D276" t="s">
        <v>73</v>
      </c>
      <c r="E276">
        <v>29</v>
      </c>
      <c r="F276">
        <v>550.74</v>
      </c>
      <c r="G276">
        <v>14374.31</v>
      </c>
      <c r="H276">
        <v>10</v>
      </c>
      <c r="I276" t="s">
        <v>16</v>
      </c>
      <c r="J276" t="s">
        <v>160</v>
      </c>
      <c r="K276" t="s">
        <v>821</v>
      </c>
      <c r="L276" t="s">
        <v>31</v>
      </c>
    </row>
    <row r="277" spans="1:12" x14ac:dyDescent="0.3">
      <c r="A277" t="s">
        <v>822</v>
      </c>
      <c r="B277" t="s">
        <v>823</v>
      </c>
      <c r="C277" t="s">
        <v>90</v>
      </c>
      <c r="D277" t="s">
        <v>23</v>
      </c>
      <c r="E277">
        <v>20</v>
      </c>
      <c r="F277">
        <v>15.8</v>
      </c>
      <c r="G277">
        <v>316</v>
      </c>
      <c r="H277">
        <v>0</v>
      </c>
      <c r="I277" t="s">
        <v>16</v>
      </c>
      <c r="J277" t="s">
        <v>111</v>
      </c>
      <c r="K277" t="s">
        <v>497</v>
      </c>
      <c r="L277" t="s">
        <v>69</v>
      </c>
    </row>
    <row r="278" spans="1:12" x14ac:dyDescent="0.3">
      <c r="A278" t="s">
        <v>824</v>
      </c>
      <c r="B278" t="s">
        <v>825</v>
      </c>
      <c r="C278" t="s">
        <v>90</v>
      </c>
      <c r="D278" t="s">
        <v>23</v>
      </c>
      <c r="E278">
        <v>43</v>
      </c>
      <c r="F278">
        <v>18.829999999999998</v>
      </c>
      <c r="G278">
        <v>688.24</v>
      </c>
      <c r="H278">
        <v>15</v>
      </c>
      <c r="I278" t="s">
        <v>53</v>
      </c>
      <c r="J278" t="s">
        <v>141</v>
      </c>
      <c r="K278" t="s">
        <v>479</v>
      </c>
      <c r="L278" t="s">
        <v>31</v>
      </c>
    </row>
    <row r="279" spans="1:12" x14ac:dyDescent="0.3">
      <c r="A279" t="s">
        <v>826</v>
      </c>
      <c r="B279" t="s">
        <v>827</v>
      </c>
      <c r="C279" t="s">
        <v>52</v>
      </c>
      <c r="D279" t="s">
        <v>35</v>
      </c>
      <c r="E279">
        <v>7</v>
      </c>
      <c r="F279">
        <v>254.45</v>
      </c>
      <c r="G279">
        <v>1692.09</v>
      </c>
      <c r="H279">
        <v>5</v>
      </c>
      <c r="I279" t="s">
        <v>24</v>
      </c>
      <c r="J279" t="s">
        <v>104</v>
      </c>
      <c r="K279" t="s">
        <v>534</v>
      </c>
      <c r="L279" t="s">
        <v>31</v>
      </c>
    </row>
    <row r="280" spans="1:12" x14ac:dyDescent="0.3">
      <c r="A280" t="s">
        <v>828</v>
      </c>
      <c r="B280" t="s">
        <v>829</v>
      </c>
      <c r="C280" t="s">
        <v>22</v>
      </c>
      <c r="D280" t="s">
        <v>23</v>
      </c>
      <c r="E280">
        <v>17</v>
      </c>
      <c r="F280">
        <v>15.97</v>
      </c>
      <c r="G280">
        <v>244.34</v>
      </c>
      <c r="H280">
        <v>10</v>
      </c>
      <c r="I280" t="s">
        <v>16</v>
      </c>
      <c r="J280" t="s">
        <v>91</v>
      </c>
      <c r="K280" t="s">
        <v>830</v>
      </c>
      <c r="L280" t="s">
        <v>69</v>
      </c>
    </row>
    <row r="281" spans="1:12" x14ac:dyDescent="0.3">
      <c r="A281" t="s">
        <v>831</v>
      </c>
      <c r="B281" t="s">
        <v>832</v>
      </c>
      <c r="C281" t="s">
        <v>72</v>
      </c>
      <c r="D281" t="s">
        <v>73</v>
      </c>
      <c r="E281">
        <v>22</v>
      </c>
      <c r="F281">
        <v>463.26</v>
      </c>
      <c r="G281">
        <v>10191.719999999999</v>
      </c>
      <c r="H281">
        <v>0</v>
      </c>
      <c r="I281" t="s">
        <v>46</v>
      </c>
      <c r="J281" t="s">
        <v>83</v>
      </c>
      <c r="K281" t="s">
        <v>833</v>
      </c>
      <c r="L281" t="s">
        <v>31</v>
      </c>
    </row>
    <row r="282" spans="1:12" x14ac:dyDescent="0.3">
      <c r="A282" t="s">
        <v>834</v>
      </c>
      <c r="B282" t="s">
        <v>835</v>
      </c>
      <c r="C282" t="s">
        <v>123</v>
      </c>
      <c r="D282" t="s">
        <v>15</v>
      </c>
      <c r="E282">
        <v>29</v>
      </c>
      <c r="F282">
        <v>25.35</v>
      </c>
      <c r="G282">
        <v>661.64</v>
      </c>
      <c r="H282">
        <v>10</v>
      </c>
      <c r="I282" t="s">
        <v>16</v>
      </c>
      <c r="J282" t="s">
        <v>17</v>
      </c>
      <c r="K282" t="s">
        <v>836</v>
      </c>
      <c r="L282" t="s">
        <v>49</v>
      </c>
    </row>
    <row r="283" spans="1:12" x14ac:dyDescent="0.3">
      <c r="A283" t="s">
        <v>837</v>
      </c>
      <c r="B283" t="s">
        <v>838</v>
      </c>
      <c r="C283" t="s">
        <v>63</v>
      </c>
      <c r="D283" t="s">
        <v>15</v>
      </c>
      <c r="E283">
        <v>6</v>
      </c>
      <c r="F283">
        <v>68.040000000000006</v>
      </c>
      <c r="G283">
        <v>326.58999999999997</v>
      </c>
      <c r="H283">
        <v>20</v>
      </c>
      <c r="I283" t="s">
        <v>24</v>
      </c>
      <c r="J283" t="s">
        <v>104</v>
      </c>
      <c r="K283" t="s">
        <v>839</v>
      </c>
      <c r="L283" t="s">
        <v>69</v>
      </c>
    </row>
    <row r="284" spans="1:12" x14ac:dyDescent="0.3">
      <c r="A284" t="s">
        <v>840</v>
      </c>
      <c r="B284" t="s">
        <v>841</v>
      </c>
      <c r="C284" t="s">
        <v>52</v>
      </c>
      <c r="D284" t="s">
        <v>35</v>
      </c>
      <c r="E284">
        <v>24</v>
      </c>
      <c r="F284">
        <v>230.19</v>
      </c>
      <c r="G284">
        <v>5524.56</v>
      </c>
      <c r="H284">
        <v>0</v>
      </c>
      <c r="I284" t="s">
        <v>16</v>
      </c>
      <c r="J284" t="s">
        <v>160</v>
      </c>
      <c r="K284" t="s">
        <v>842</v>
      </c>
      <c r="L284" t="s">
        <v>69</v>
      </c>
    </row>
    <row r="285" spans="1:12" x14ac:dyDescent="0.3">
      <c r="A285" t="s">
        <v>843</v>
      </c>
      <c r="B285" t="s">
        <v>844</v>
      </c>
      <c r="C285" t="s">
        <v>99</v>
      </c>
      <c r="D285" t="s">
        <v>23</v>
      </c>
      <c r="E285">
        <v>1</v>
      </c>
      <c r="F285">
        <v>27.9</v>
      </c>
      <c r="G285">
        <v>27.9</v>
      </c>
      <c r="H285">
        <v>0</v>
      </c>
      <c r="I285" t="s">
        <v>46</v>
      </c>
      <c r="J285" t="s">
        <v>244</v>
      </c>
      <c r="K285" t="s">
        <v>742</v>
      </c>
      <c r="L285" t="s">
        <v>31</v>
      </c>
    </row>
    <row r="286" spans="1:12" x14ac:dyDescent="0.3">
      <c r="A286" t="s">
        <v>845</v>
      </c>
      <c r="B286" t="s">
        <v>760</v>
      </c>
      <c r="C286" t="s">
        <v>22</v>
      </c>
      <c r="D286" t="s">
        <v>23</v>
      </c>
      <c r="E286">
        <v>42</v>
      </c>
      <c r="F286">
        <v>15.8</v>
      </c>
      <c r="G286">
        <v>530.88</v>
      </c>
      <c r="H286">
        <v>20</v>
      </c>
      <c r="I286" t="s">
        <v>24</v>
      </c>
      <c r="J286" t="s">
        <v>59</v>
      </c>
      <c r="K286" t="s">
        <v>717</v>
      </c>
      <c r="L286" t="s">
        <v>49</v>
      </c>
    </row>
    <row r="287" spans="1:12" x14ac:dyDescent="0.3">
      <c r="A287" t="s">
        <v>846</v>
      </c>
      <c r="B287" t="s">
        <v>847</v>
      </c>
      <c r="C287" t="s">
        <v>95</v>
      </c>
      <c r="D287" t="s">
        <v>35</v>
      </c>
      <c r="E287">
        <v>8</v>
      </c>
      <c r="F287">
        <v>1174.54</v>
      </c>
      <c r="G287">
        <v>7986.87</v>
      </c>
      <c r="H287">
        <v>15</v>
      </c>
      <c r="I287" t="s">
        <v>24</v>
      </c>
      <c r="J287" t="s">
        <v>25</v>
      </c>
      <c r="K287" t="s">
        <v>848</v>
      </c>
      <c r="L287" t="s">
        <v>31</v>
      </c>
    </row>
    <row r="288" spans="1:12" x14ac:dyDescent="0.3">
      <c r="A288" t="s">
        <v>849</v>
      </c>
      <c r="B288" t="s">
        <v>850</v>
      </c>
      <c r="C288" t="s">
        <v>40</v>
      </c>
      <c r="D288" t="s">
        <v>23</v>
      </c>
      <c r="E288">
        <v>21</v>
      </c>
      <c r="F288">
        <v>62.6</v>
      </c>
      <c r="G288">
        <v>1314.6</v>
      </c>
      <c r="H288">
        <v>0</v>
      </c>
      <c r="I288" t="s">
        <v>16</v>
      </c>
      <c r="J288" t="s">
        <v>160</v>
      </c>
      <c r="K288" t="s">
        <v>851</v>
      </c>
      <c r="L288" t="s">
        <v>19</v>
      </c>
    </row>
    <row r="289" spans="1:12" x14ac:dyDescent="0.3">
      <c r="A289" t="s">
        <v>852</v>
      </c>
      <c r="B289" t="s">
        <v>853</v>
      </c>
      <c r="C289" t="s">
        <v>95</v>
      </c>
      <c r="D289" t="s">
        <v>35</v>
      </c>
      <c r="E289">
        <v>41</v>
      </c>
      <c r="F289">
        <v>1104.3599999999999</v>
      </c>
      <c r="G289">
        <v>45278.76</v>
      </c>
      <c r="H289">
        <v>0</v>
      </c>
      <c r="I289" t="s">
        <v>16</v>
      </c>
      <c r="J289" t="s">
        <v>74</v>
      </c>
      <c r="K289" t="s">
        <v>854</v>
      </c>
      <c r="L289" t="s">
        <v>19</v>
      </c>
    </row>
    <row r="290" spans="1:12" x14ac:dyDescent="0.3">
      <c r="A290" t="s">
        <v>855</v>
      </c>
      <c r="B290" t="s">
        <v>856</v>
      </c>
      <c r="C290" t="s">
        <v>22</v>
      </c>
      <c r="D290" t="s">
        <v>23</v>
      </c>
      <c r="E290">
        <v>28</v>
      </c>
      <c r="F290">
        <v>20.100000000000001</v>
      </c>
      <c r="G290">
        <v>506.52</v>
      </c>
      <c r="H290">
        <v>10</v>
      </c>
      <c r="I290" t="s">
        <v>46</v>
      </c>
      <c r="J290" t="s">
        <v>83</v>
      </c>
      <c r="K290" t="s">
        <v>857</v>
      </c>
      <c r="L290" t="s">
        <v>27</v>
      </c>
    </row>
    <row r="291" spans="1:12" x14ac:dyDescent="0.3">
      <c r="A291" t="s">
        <v>858</v>
      </c>
      <c r="B291" t="s">
        <v>859</v>
      </c>
      <c r="C291" t="s">
        <v>95</v>
      </c>
      <c r="D291" t="s">
        <v>35</v>
      </c>
      <c r="E291">
        <v>48</v>
      </c>
      <c r="F291">
        <v>1072.57</v>
      </c>
      <c r="G291">
        <v>43760.86</v>
      </c>
      <c r="H291">
        <v>15</v>
      </c>
      <c r="I291" t="s">
        <v>46</v>
      </c>
      <c r="J291" t="s">
        <v>78</v>
      </c>
      <c r="K291" t="s">
        <v>860</v>
      </c>
      <c r="L291" t="s">
        <v>19</v>
      </c>
    </row>
    <row r="292" spans="1:12" x14ac:dyDescent="0.3">
      <c r="A292" t="s">
        <v>861</v>
      </c>
      <c r="B292" t="s">
        <v>862</v>
      </c>
      <c r="C292" t="s">
        <v>52</v>
      </c>
      <c r="D292" t="s">
        <v>35</v>
      </c>
      <c r="E292">
        <v>34</v>
      </c>
      <c r="F292">
        <v>271.64</v>
      </c>
      <c r="G292">
        <v>9235.76</v>
      </c>
      <c r="H292">
        <v>0</v>
      </c>
      <c r="I292" t="s">
        <v>46</v>
      </c>
      <c r="J292" t="s">
        <v>78</v>
      </c>
      <c r="K292" t="s">
        <v>863</v>
      </c>
      <c r="L292" t="s">
        <v>69</v>
      </c>
    </row>
    <row r="293" spans="1:12" x14ac:dyDescent="0.3">
      <c r="A293" t="s">
        <v>864</v>
      </c>
      <c r="B293" t="s">
        <v>865</v>
      </c>
      <c r="C293" t="s">
        <v>82</v>
      </c>
      <c r="D293" t="s">
        <v>73</v>
      </c>
      <c r="E293">
        <v>6</v>
      </c>
      <c r="F293">
        <v>424.29</v>
      </c>
      <c r="G293">
        <v>2036.59</v>
      </c>
      <c r="H293">
        <v>20</v>
      </c>
      <c r="I293" t="s">
        <v>24</v>
      </c>
      <c r="J293" t="s">
        <v>36</v>
      </c>
      <c r="K293" t="s">
        <v>201</v>
      </c>
      <c r="L293" t="s">
        <v>31</v>
      </c>
    </row>
    <row r="294" spans="1:12" x14ac:dyDescent="0.3">
      <c r="A294" t="s">
        <v>866</v>
      </c>
      <c r="B294" t="s">
        <v>153</v>
      </c>
      <c r="C294" t="s">
        <v>34</v>
      </c>
      <c r="D294" t="s">
        <v>35</v>
      </c>
      <c r="E294">
        <v>4</v>
      </c>
      <c r="F294">
        <v>801.65</v>
      </c>
      <c r="G294">
        <v>2885.94</v>
      </c>
      <c r="H294">
        <v>10</v>
      </c>
      <c r="I294" t="s">
        <v>53</v>
      </c>
      <c r="J294" t="s">
        <v>141</v>
      </c>
      <c r="K294" t="s">
        <v>274</v>
      </c>
      <c r="L294" t="s">
        <v>27</v>
      </c>
    </row>
    <row r="295" spans="1:12" x14ac:dyDescent="0.3">
      <c r="A295" t="s">
        <v>867</v>
      </c>
      <c r="B295" t="s">
        <v>868</v>
      </c>
      <c r="C295" t="s">
        <v>52</v>
      </c>
      <c r="D295" t="s">
        <v>35</v>
      </c>
      <c r="E295">
        <v>45</v>
      </c>
      <c r="F295">
        <v>137.80000000000001</v>
      </c>
      <c r="G295">
        <v>6201</v>
      </c>
      <c r="H295">
        <v>0</v>
      </c>
      <c r="I295" t="s">
        <v>16</v>
      </c>
      <c r="J295" t="s">
        <v>160</v>
      </c>
      <c r="K295" t="s">
        <v>575</v>
      </c>
      <c r="L295" t="s">
        <v>49</v>
      </c>
    </row>
    <row r="296" spans="1:12" x14ac:dyDescent="0.3">
      <c r="A296" t="s">
        <v>869</v>
      </c>
      <c r="B296" t="s">
        <v>870</v>
      </c>
      <c r="C296" t="s">
        <v>40</v>
      </c>
      <c r="D296" t="s">
        <v>23</v>
      </c>
      <c r="E296">
        <v>11</v>
      </c>
      <c r="F296">
        <v>68.28</v>
      </c>
      <c r="G296">
        <v>638.41999999999996</v>
      </c>
      <c r="H296">
        <v>15</v>
      </c>
      <c r="I296" t="s">
        <v>24</v>
      </c>
      <c r="J296" t="s">
        <v>36</v>
      </c>
      <c r="K296" t="s">
        <v>331</v>
      </c>
      <c r="L296" t="s">
        <v>49</v>
      </c>
    </row>
    <row r="297" spans="1:12" x14ac:dyDescent="0.3">
      <c r="A297" t="s">
        <v>871</v>
      </c>
      <c r="B297" t="s">
        <v>872</v>
      </c>
      <c r="C297" t="s">
        <v>72</v>
      </c>
      <c r="D297" t="s">
        <v>73</v>
      </c>
      <c r="E297">
        <v>4</v>
      </c>
      <c r="F297">
        <v>406.94</v>
      </c>
      <c r="G297">
        <v>1627.76</v>
      </c>
      <c r="H297">
        <v>0</v>
      </c>
      <c r="I297" t="s">
        <v>24</v>
      </c>
      <c r="J297" t="s">
        <v>104</v>
      </c>
      <c r="K297" t="s">
        <v>873</v>
      </c>
      <c r="L297" t="s">
        <v>19</v>
      </c>
    </row>
    <row r="298" spans="1:12" x14ac:dyDescent="0.3">
      <c r="A298" t="s">
        <v>874</v>
      </c>
      <c r="B298" t="s">
        <v>875</v>
      </c>
      <c r="C298" t="s">
        <v>58</v>
      </c>
      <c r="D298" t="s">
        <v>35</v>
      </c>
      <c r="E298">
        <v>32</v>
      </c>
      <c r="F298">
        <v>320.99</v>
      </c>
      <c r="G298">
        <v>10271.68</v>
      </c>
      <c r="H298">
        <v>0</v>
      </c>
      <c r="I298" t="s">
        <v>46</v>
      </c>
      <c r="J298" t="s">
        <v>124</v>
      </c>
      <c r="K298" t="s">
        <v>135</v>
      </c>
      <c r="L298" t="s">
        <v>27</v>
      </c>
    </row>
    <row r="299" spans="1:12" x14ac:dyDescent="0.3">
      <c r="A299" t="s">
        <v>876</v>
      </c>
      <c r="B299" t="s">
        <v>877</v>
      </c>
      <c r="C299" t="s">
        <v>34</v>
      </c>
      <c r="D299" t="s">
        <v>35</v>
      </c>
      <c r="E299">
        <v>49</v>
      </c>
      <c r="F299">
        <v>725.05</v>
      </c>
      <c r="G299">
        <v>33751.08</v>
      </c>
      <c r="H299">
        <v>5</v>
      </c>
      <c r="I299" t="s">
        <v>16</v>
      </c>
      <c r="J299" t="s">
        <v>74</v>
      </c>
      <c r="K299" t="s">
        <v>596</v>
      </c>
      <c r="L299" t="s">
        <v>19</v>
      </c>
    </row>
    <row r="300" spans="1:12" x14ac:dyDescent="0.3">
      <c r="A300" t="s">
        <v>878</v>
      </c>
      <c r="B300" t="s">
        <v>879</v>
      </c>
      <c r="C300" t="s">
        <v>99</v>
      </c>
      <c r="D300" t="s">
        <v>23</v>
      </c>
      <c r="E300">
        <v>6</v>
      </c>
      <c r="F300">
        <v>12.3</v>
      </c>
      <c r="G300">
        <v>62.73</v>
      </c>
      <c r="H300">
        <v>15</v>
      </c>
      <c r="I300" t="s">
        <v>24</v>
      </c>
      <c r="J300" t="s">
        <v>41</v>
      </c>
      <c r="K300" t="s">
        <v>880</v>
      </c>
      <c r="L300" t="s">
        <v>69</v>
      </c>
    </row>
    <row r="301" spans="1:12" x14ac:dyDescent="0.3">
      <c r="A301" t="s">
        <v>881</v>
      </c>
      <c r="B301" t="s">
        <v>882</v>
      </c>
      <c r="C301" t="s">
        <v>14</v>
      </c>
      <c r="D301" t="s">
        <v>15</v>
      </c>
      <c r="E301">
        <v>49</v>
      </c>
      <c r="F301">
        <v>63.26</v>
      </c>
      <c r="G301">
        <v>3099.74</v>
      </c>
      <c r="H301">
        <v>0</v>
      </c>
      <c r="I301" t="s">
        <v>53</v>
      </c>
      <c r="J301" t="s">
        <v>54</v>
      </c>
      <c r="K301" t="s">
        <v>883</v>
      </c>
      <c r="L301" t="s">
        <v>31</v>
      </c>
    </row>
    <row r="302" spans="1:12" x14ac:dyDescent="0.3">
      <c r="A302" t="s">
        <v>884</v>
      </c>
      <c r="B302" t="s">
        <v>885</v>
      </c>
      <c r="C302" t="s">
        <v>63</v>
      </c>
      <c r="D302" t="s">
        <v>15</v>
      </c>
      <c r="E302">
        <v>30</v>
      </c>
      <c r="F302">
        <v>49.53</v>
      </c>
      <c r="G302">
        <v>1337.31</v>
      </c>
      <c r="H302">
        <v>10</v>
      </c>
      <c r="I302" t="s">
        <v>16</v>
      </c>
      <c r="J302" t="s">
        <v>160</v>
      </c>
      <c r="K302" t="s">
        <v>886</v>
      </c>
      <c r="L302" t="s">
        <v>31</v>
      </c>
    </row>
    <row r="303" spans="1:12" x14ac:dyDescent="0.3">
      <c r="A303" t="s">
        <v>887</v>
      </c>
      <c r="B303" t="s">
        <v>641</v>
      </c>
      <c r="C303" t="s">
        <v>90</v>
      </c>
      <c r="D303" t="s">
        <v>23</v>
      </c>
      <c r="E303">
        <v>12</v>
      </c>
      <c r="F303">
        <v>19.53</v>
      </c>
      <c r="G303">
        <v>210.92</v>
      </c>
      <c r="H303">
        <v>10</v>
      </c>
      <c r="I303" t="s">
        <v>53</v>
      </c>
      <c r="J303" t="s">
        <v>67</v>
      </c>
      <c r="K303" t="s">
        <v>888</v>
      </c>
      <c r="L303" t="s">
        <v>69</v>
      </c>
    </row>
    <row r="304" spans="1:12" x14ac:dyDescent="0.3">
      <c r="A304" t="s">
        <v>889</v>
      </c>
      <c r="B304" t="s">
        <v>890</v>
      </c>
      <c r="C304" t="s">
        <v>14</v>
      </c>
      <c r="D304" t="s">
        <v>15</v>
      </c>
      <c r="E304">
        <v>26</v>
      </c>
      <c r="F304">
        <v>91</v>
      </c>
      <c r="G304">
        <v>2129.4</v>
      </c>
      <c r="H304">
        <v>10</v>
      </c>
      <c r="I304" t="s">
        <v>16</v>
      </c>
      <c r="J304" t="s">
        <v>17</v>
      </c>
      <c r="K304" t="s">
        <v>891</v>
      </c>
      <c r="L304" t="s">
        <v>69</v>
      </c>
    </row>
    <row r="305" spans="1:12" x14ac:dyDescent="0.3">
      <c r="A305" t="s">
        <v>892</v>
      </c>
      <c r="B305" t="s">
        <v>893</v>
      </c>
      <c r="C305" t="s">
        <v>22</v>
      </c>
      <c r="D305" t="s">
        <v>23</v>
      </c>
      <c r="E305">
        <v>43</v>
      </c>
      <c r="F305">
        <v>16.190000000000001</v>
      </c>
      <c r="G305">
        <v>556.94000000000005</v>
      </c>
      <c r="H305">
        <v>20</v>
      </c>
      <c r="I305" t="s">
        <v>24</v>
      </c>
      <c r="J305" t="s">
        <v>59</v>
      </c>
      <c r="K305" t="s">
        <v>542</v>
      </c>
      <c r="L305" t="s">
        <v>69</v>
      </c>
    </row>
    <row r="306" spans="1:12" x14ac:dyDescent="0.3">
      <c r="A306" t="s">
        <v>894</v>
      </c>
      <c r="B306" t="s">
        <v>895</v>
      </c>
      <c r="C306" t="s">
        <v>99</v>
      </c>
      <c r="D306" t="s">
        <v>23</v>
      </c>
      <c r="E306">
        <v>25</v>
      </c>
      <c r="F306">
        <v>11.94</v>
      </c>
      <c r="G306">
        <v>298.5</v>
      </c>
      <c r="H306">
        <v>0</v>
      </c>
      <c r="I306" t="s">
        <v>46</v>
      </c>
      <c r="J306" t="s">
        <v>124</v>
      </c>
      <c r="K306" t="s">
        <v>55</v>
      </c>
      <c r="L306" t="s">
        <v>31</v>
      </c>
    </row>
    <row r="307" spans="1:12" x14ac:dyDescent="0.3">
      <c r="A307" t="s">
        <v>896</v>
      </c>
      <c r="B307" t="s">
        <v>897</v>
      </c>
      <c r="C307" t="s">
        <v>63</v>
      </c>
      <c r="D307" t="s">
        <v>15</v>
      </c>
      <c r="E307">
        <v>35</v>
      </c>
      <c r="F307">
        <v>35.79</v>
      </c>
      <c r="G307">
        <v>1190.02</v>
      </c>
      <c r="H307">
        <v>5</v>
      </c>
      <c r="I307" t="s">
        <v>24</v>
      </c>
      <c r="J307" t="s">
        <v>59</v>
      </c>
      <c r="K307" t="s">
        <v>898</v>
      </c>
      <c r="L307" t="s">
        <v>69</v>
      </c>
    </row>
    <row r="308" spans="1:12" x14ac:dyDescent="0.3">
      <c r="A308" t="s">
        <v>899</v>
      </c>
      <c r="B308" t="s">
        <v>900</v>
      </c>
      <c r="C308" t="s">
        <v>90</v>
      </c>
      <c r="D308" t="s">
        <v>23</v>
      </c>
      <c r="E308">
        <v>3</v>
      </c>
      <c r="F308">
        <v>41.58</v>
      </c>
      <c r="G308">
        <v>118.5</v>
      </c>
      <c r="H308">
        <v>5</v>
      </c>
      <c r="I308" t="s">
        <v>46</v>
      </c>
      <c r="J308" t="s">
        <v>244</v>
      </c>
      <c r="K308" t="s">
        <v>901</v>
      </c>
      <c r="L308" t="s">
        <v>49</v>
      </c>
    </row>
    <row r="309" spans="1:12" x14ac:dyDescent="0.3">
      <c r="A309" t="s">
        <v>902</v>
      </c>
      <c r="B309" t="s">
        <v>903</v>
      </c>
      <c r="C309" t="s">
        <v>40</v>
      </c>
      <c r="D309" t="s">
        <v>23</v>
      </c>
      <c r="E309">
        <v>12</v>
      </c>
      <c r="F309">
        <v>31.61</v>
      </c>
      <c r="G309">
        <v>360.35</v>
      </c>
      <c r="H309">
        <v>5</v>
      </c>
      <c r="I309" t="s">
        <v>24</v>
      </c>
      <c r="J309" t="s">
        <v>41</v>
      </c>
      <c r="K309" t="s">
        <v>904</v>
      </c>
      <c r="L309" t="s">
        <v>27</v>
      </c>
    </row>
    <row r="310" spans="1:12" x14ac:dyDescent="0.3">
      <c r="A310" t="s">
        <v>905</v>
      </c>
      <c r="B310" t="s">
        <v>906</v>
      </c>
      <c r="C310" t="s">
        <v>103</v>
      </c>
      <c r="D310" t="s">
        <v>35</v>
      </c>
      <c r="E310">
        <v>16</v>
      </c>
      <c r="F310">
        <v>325.27999999999997</v>
      </c>
      <c r="G310">
        <v>4684.03</v>
      </c>
      <c r="H310">
        <v>10</v>
      </c>
      <c r="I310" t="s">
        <v>46</v>
      </c>
      <c r="J310" t="s">
        <v>78</v>
      </c>
      <c r="K310" t="s">
        <v>907</v>
      </c>
      <c r="L310" t="s">
        <v>31</v>
      </c>
    </row>
    <row r="311" spans="1:12" x14ac:dyDescent="0.3">
      <c r="A311" t="s">
        <v>908</v>
      </c>
      <c r="B311" t="s">
        <v>909</v>
      </c>
      <c r="C311" t="s">
        <v>82</v>
      </c>
      <c r="D311" t="s">
        <v>73</v>
      </c>
      <c r="E311">
        <v>8</v>
      </c>
      <c r="F311">
        <v>747.73</v>
      </c>
      <c r="G311">
        <v>5981.84</v>
      </c>
      <c r="H311">
        <v>0</v>
      </c>
      <c r="I311" t="s">
        <v>53</v>
      </c>
      <c r="J311" t="s">
        <v>67</v>
      </c>
      <c r="K311" t="s">
        <v>910</v>
      </c>
      <c r="L311" t="s">
        <v>27</v>
      </c>
    </row>
    <row r="312" spans="1:12" x14ac:dyDescent="0.3">
      <c r="A312" t="s">
        <v>911</v>
      </c>
      <c r="B312" t="s">
        <v>912</v>
      </c>
      <c r="C312" t="s">
        <v>82</v>
      </c>
      <c r="D312" t="s">
        <v>73</v>
      </c>
      <c r="E312">
        <v>45</v>
      </c>
      <c r="F312">
        <v>654.98</v>
      </c>
      <c r="G312">
        <v>28000.400000000001</v>
      </c>
      <c r="H312">
        <v>5</v>
      </c>
      <c r="I312" t="s">
        <v>53</v>
      </c>
      <c r="J312" t="s">
        <v>134</v>
      </c>
      <c r="K312" t="s">
        <v>913</v>
      </c>
      <c r="L312" t="s">
        <v>49</v>
      </c>
    </row>
    <row r="313" spans="1:12" x14ac:dyDescent="0.3">
      <c r="A313" t="s">
        <v>914</v>
      </c>
      <c r="B313" t="s">
        <v>703</v>
      </c>
      <c r="C313" t="s">
        <v>22</v>
      </c>
      <c r="D313" t="s">
        <v>23</v>
      </c>
      <c r="E313">
        <v>20</v>
      </c>
      <c r="F313">
        <v>24.98</v>
      </c>
      <c r="G313">
        <v>474.62</v>
      </c>
      <c r="H313">
        <v>5</v>
      </c>
      <c r="I313" t="s">
        <v>24</v>
      </c>
      <c r="J313" t="s">
        <v>25</v>
      </c>
      <c r="K313" t="s">
        <v>915</v>
      </c>
      <c r="L313" t="s">
        <v>49</v>
      </c>
    </row>
    <row r="314" spans="1:12" x14ac:dyDescent="0.3">
      <c r="A314" t="s">
        <v>916</v>
      </c>
      <c r="B314" t="s">
        <v>917</v>
      </c>
      <c r="C314" t="s">
        <v>63</v>
      </c>
      <c r="D314" t="s">
        <v>15</v>
      </c>
      <c r="E314">
        <v>26</v>
      </c>
      <c r="F314">
        <v>63.33</v>
      </c>
      <c r="G314">
        <v>1481.92</v>
      </c>
      <c r="H314">
        <v>10</v>
      </c>
      <c r="I314" t="s">
        <v>16</v>
      </c>
      <c r="J314" t="s">
        <v>160</v>
      </c>
      <c r="K314" t="s">
        <v>383</v>
      </c>
      <c r="L314" t="s">
        <v>69</v>
      </c>
    </row>
    <row r="315" spans="1:12" x14ac:dyDescent="0.3">
      <c r="A315" t="s">
        <v>918</v>
      </c>
      <c r="B315" t="s">
        <v>919</v>
      </c>
      <c r="C315" t="s">
        <v>40</v>
      </c>
      <c r="D315" t="s">
        <v>23</v>
      </c>
      <c r="E315">
        <v>46</v>
      </c>
      <c r="F315">
        <v>79.64</v>
      </c>
      <c r="G315">
        <v>3297.1</v>
      </c>
      <c r="H315">
        <v>10</v>
      </c>
      <c r="I315" t="s">
        <v>46</v>
      </c>
      <c r="J315" t="s">
        <v>244</v>
      </c>
      <c r="K315" t="s">
        <v>920</v>
      </c>
      <c r="L315" t="s">
        <v>27</v>
      </c>
    </row>
    <row r="316" spans="1:12" x14ac:dyDescent="0.3">
      <c r="A316" t="s">
        <v>921</v>
      </c>
      <c r="B316" t="s">
        <v>922</v>
      </c>
      <c r="C316" t="s">
        <v>52</v>
      </c>
      <c r="D316" t="s">
        <v>35</v>
      </c>
      <c r="E316">
        <v>12</v>
      </c>
      <c r="F316">
        <v>289.37</v>
      </c>
      <c r="G316">
        <v>3125.2</v>
      </c>
      <c r="H316">
        <v>10</v>
      </c>
      <c r="I316" t="s">
        <v>16</v>
      </c>
      <c r="J316" t="s">
        <v>74</v>
      </c>
      <c r="K316" t="s">
        <v>923</v>
      </c>
      <c r="L316" t="s">
        <v>49</v>
      </c>
    </row>
    <row r="317" spans="1:12" x14ac:dyDescent="0.3">
      <c r="A317" t="s">
        <v>924</v>
      </c>
      <c r="B317" t="s">
        <v>925</v>
      </c>
      <c r="C317" t="s">
        <v>40</v>
      </c>
      <c r="D317" t="s">
        <v>23</v>
      </c>
      <c r="E317">
        <v>22</v>
      </c>
      <c r="F317">
        <v>31.31</v>
      </c>
      <c r="G317">
        <v>619.94000000000005</v>
      </c>
      <c r="H317">
        <v>10</v>
      </c>
      <c r="I317" t="s">
        <v>46</v>
      </c>
      <c r="J317" t="s">
        <v>244</v>
      </c>
      <c r="K317" t="s">
        <v>926</v>
      </c>
      <c r="L317" t="s">
        <v>19</v>
      </c>
    </row>
    <row r="318" spans="1:12" x14ac:dyDescent="0.3">
      <c r="A318" t="s">
        <v>927</v>
      </c>
      <c r="B318" t="s">
        <v>928</v>
      </c>
      <c r="C318" t="s">
        <v>14</v>
      </c>
      <c r="D318" t="s">
        <v>15</v>
      </c>
      <c r="E318">
        <v>31</v>
      </c>
      <c r="F318">
        <v>96.35</v>
      </c>
      <c r="G318">
        <v>2986.85</v>
      </c>
      <c r="H318">
        <v>0</v>
      </c>
      <c r="I318" t="s">
        <v>46</v>
      </c>
      <c r="J318" t="s">
        <v>124</v>
      </c>
      <c r="K318" t="s">
        <v>929</v>
      </c>
      <c r="L318" t="s">
        <v>69</v>
      </c>
    </row>
    <row r="319" spans="1:12" x14ac:dyDescent="0.3">
      <c r="A319" t="s">
        <v>930</v>
      </c>
      <c r="B319" t="s">
        <v>150</v>
      </c>
      <c r="C319" t="s">
        <v>34</v>
      </c>
      <c r="D319" t="s">
        <v>35</v>
      </c>
      <c r="E319">
        <v>9</v>
      </c>
      <c r="F319">
        <v>426.04</v>
      </c>
      <c r="G319">
        <v>3834.36</v>
      </c>
      <c r="H319">
        <v>0</v>
      </c>
      <c r="I319" t="s">
        <v>16</v>
      </c>
      <c r="J319" t="s">
        <v>160</v>
      </c>
      <c r="K319" t="s">
        <v>729</v>
      </c>
      <c r="L319" t="s">
        <v>69</v>
      </c>
    </row>
    <row r="320" spans="1:12" x14ac:dyDescent="0.3">
      <c r="A320" t="s">
        <v>931</v>
      </c>
      <c r="B320" t="s">
        <v>932</v>
      </c>
      <c r="C320" t="s">
        <v>22</v>
      </c>
      <c r="D320" t="s">
        <v>23</v>
      </c>
      <c r="E320">
        <v>24</v>
      </c>
      <c r="F320">
        <v>29.35</v>
      </c>
      <c r="G320">
        <v>563.52</v>
      </c>
      <c r="H320">
        <v>20</v>
      </c>
      <c r="I320" t="s">
        <v>16</v>
      </c>
      <c r="J320" t="s">
        <v>160</v>
      </c>
      <c r="K320" t="s">
        <v>933</v>
      </c>
      <c r="L320" t="s">
        <v>19</v>
      </c>
    </row>
    <row r="321" spans="1:12" x14ac:dyDescent="0.3">
      <c r="A321" t="s">
        <v>934</v>
      </c>
      <c r="B321" t="s">
        <v>935</v>
      </c>
      <c r="C321" t="s">
        <v>52</v>
      </c>
      <c r="D321" t="s">
        <v>35</v>
      </c>
      <c r="E321">
        <v>30</v>
      </c>
      <c r="F321">
        <v>203.5</v>
      </c>
      <c r="G321">
        <v>6105</v>
      </c>
      <c r="H321">
        <v>0</v>
      </c>
      <c r="I321" t="s">
        <v>53</v>
      </c>
      <c r="J321" t="s">
        <v>141</v>
      </c>
      <c r="K321" t="s">
        <v>468</v>
      </c>
      <c r="L321" t="s">
        <v>49</v>
      </c>
    </row>
    <row r="322" spans="1:12" x14ac:dyDescent="0.3">
      <c r="A322" t="s">
        <v>936</v>
      </c>
      <c r="B322" t="s">
        <v>166</v>
      </c>
      <c r="C322" t="s">
        <v>58</v>
      </c>
      <c r="D322" t="s">
        <v>35</v>
      </c>
      <c r="E322">
        <v>22</v>
      </c>
      <c r="F322">
        <v>283.44</v>
      </c>
      <c r="G322">
        <v>5612.11</v>
      </c>
      <c r="H322">
        <v>10</v>
      </c>
      <c r="I322" t="s">
        <v>16</v>
      </c>
      <c r="J322" t="s">
        <v>111</v>
      </c>
      <c r="K322" t="s">
        <v>937</v>
      </c>
      <c r="L322" t="s">
        <v>31</v>
      </c>
    </row>
    <row r="323" spans="1:12" x14ac:dyDescent="0.3">
      <c r="A323" t="s">
        <v>938</v>
      </c>
      <c r="B323" t="s">
        <v>939</v>
      </c>
      <c r="C323" t="s">
        <v>123</v>
      </c>
      <c r="D323" t="s">
        <v>15</v>
      </c>
      <c r="E323">
        <v>15</v>
      </c>
      <c r="F323">
        <v>42.02</v>
      </c>
      <c r="G323">
        <v>630.29999999999995</v>
      </c>
      <c r="H323">
        <v>0</v>
      </c>
      <c r="I323" t="s">
        <v>46</v>
      </c>
      <c r="J323" t="s">
        <v>83</v>
      </c>
      <c r="K323" t="s">
        <v>660</v>
      </c>
      <c r="L323" t="s">
        <v>69</v>
      </c>
    </row>
    <row r="324" spans="1:12" x14ac:dyDescent="0.3">
      <c r="A324" t="s">
        <v>940</v>
      </c>
      <c r="B324" t="s">
        <v>941</v>
      </c>
      <c r="C324" t="s">
        <v>123</v>
      </c>
      <c r="D324" t="s">
        <v>15</v>
      </c>
      <c r="E324">
        <v>47</v>
      </c>
      <c r="F324">
        <v>24.28</v>
      </c>
      <c r="G324">
        <v>1084.0999999999999</v>
      </c>
      <c r="H324">
        <v>5</v>
      </c>
      <c r="I324" t="s">
        <v>16</v>
      </c>
      <c r="J324" t="s">
        <v>74</v>
      </c>
      <c r="K324" t="s">
        <v>942</v>
      </c>
      <c r="L324" t="s">
        <v>31</v>
      </c>
    </row>
    <row r="325" spans="1:12" x14ac:dyDescent="0.3">
      <c r="A325" t="s">
        <v>943</v>
      </c>
      <c r="B325" t="s">
        <v>944</v>
      </c>
      <c r="C325" t="s">
        <v>90</v>
      </c>
      <c r="D325" t="s">
        <v>23</v>
      </c>
      <c r="E325">
        <v>29</v>
      </c>
      <c r="F325">
        <v>35.76</v>
      </c>
      <c r="G325">
        <v>881.48</v>
      </c>
      <c r="H325">
        <v>15</v>
      </c>
      <c r="I325" t="s">
        <v>24</v>
      </c>
      <c r="J325" t="s">
        <v>104</v>
      </c>
      <c r="K325" t="s">
        <v>945</v>
      </c>
      <c r="L325" t="s">
        <v>19</v>
      </c>
    </row>
    <row r="326" spans="1:12" x14ac:dyDescent="0.3">
      <c r="A326" t="s">
        <v>946</v>
      </c>
      <c r="B326" t="s">
        <v>947</v>
      </c>
      <c r="C326" t="s">
        <v>82</v>
      </c>
      <c r="D326" t="s">
        <v>73</v>
      </c>
      <c r="E326">
        <v>5</v>
      </c>
      <c r="F326">
        <v>376.56</v>
      </c>
      <c r="G326">
        <v>1600.38</v>
      </c>
      <c r="H326">
        <v>15</v>
      </c>
      <c r="I326" t="s">
        <v>46</v>
      </c>
      <c r="J326" t="s">
        <v>78</v>
      </c>
      <c r="K326" t="s">
        <v>570</v>
      </c>
      <c r="L326" t="s">
        <v>49</v>
      </c>
    </row>
    <row r="327" spans="1:12" x14ac:dyDescent="0.3">
      <c r="A327" t="s">
        <v>948</v>
      </c>
      <c r="B327" t="s">
        <v>949</v>
      </c>
      <c r="C327" t="s">
        <v>82</v>
      </c>
      <c r="D327" t="s">
        <v>73</v>
      </c>
      <c r="E327">
        <v>18</v>
      </c>
      <c r="F327">
        <v>495.9</v>
      </c>
      <c r="G327">
        <v>8926.2000000000007</v>
      </c>
      <c r="H327">
        <v>0</v>
      </c>
      <c r="I327" t="s">
        <v>53</v>
      </c>
      <c r="J327" t="s">
        <v>54</v>
      </c>
      <c r="K327" t="s">
        <v>950</v>
      </c>
      <c r="L327" t="s">
        <v>31</v>
      </c>
    </row>
    <row r="328" spans="1:12" x14ac:dyDescent="0.3">
      <c r="A328" t="s">
        <v>951</v>
      </c>
      <c r="B328" t="s">
        <v>952</v>
      </c>
      <c r="C328" t="s">
        <v>123</v>
      </c>
      <c r="D328" t="s">
        <v>15</v>
      </c>
      <c r="E328">
        <v>39</v>
      </c>
      <c r="F328">
        <v>30.3</v>
      </c>
      <c r="G328">
        <v>1004.45</v>
      </c>
      <c r="H328">
        <v>15</v>
      </c>
      <c r="I328" t="s">
        <v>24</v>
      </c>
      <c r="J328" t="s">
        <v>25</v>
      </c>
      <c r="K328" t="s">
        <v>953</v>
      </c>
      <c r="L328" t="s">
        <v>49</v>
      </c>
    </row>
    <row r="329" spans="1:12" x14ac:dyDescent="0.3">
      <c r="A329" t="s">
        <v>954</v>
      </c>
      <c r="B329" t="s">
        <v>763</v>
      </c>
      <c r="C329" t="s">
        <v>40</v>
      </c>
      <c r="D329" t="s">
        <v>23</v>
      </c>
      <c r="E329">
        <v>24</v>
      </c>
      <c r="F329">
        <v>51.39</v>
      </c>
      <c r="G329">
        <v>1233.3599999999999</v>
      </c>
      <c r="H329">
        <v>0</v>
      </c>
      <c r="I329" t="s">
        <v>46</v>
      </c>
      <c r="J329" t="s">
        <v>244</v>
      </c>
      <c r="K329" t="s">
        <v>955</v>
      </c>
      <c r="L329" t="s">
        <v>31</v>
      </c>
    </row>
    <row r="330" spans="1:12" x14ac:dyDescent="0.3">
      <c r="A330" t="s">
        <v>956</v>
      </c>
      <c r="B330" t="s">
        <v>957</v>
      </c>
      <c r="C330" t="s">
        <v>95</v>
      </c>
      <c r="D330" t="s">
        <v>35</v>
      </c>
      <c r="E330">
        <v>17</v>
      </c>
      <c r="F330">
        <v>939.17</v>
      </c>
      <c r="G330">
        <v>15167.6</v>
      </c>
      <c r="H330">
        <v>5</v>
      </c>
      <c r="I330" t="s">
        <v>16</v>
      </c>
      <c r="J330" t="s">
        <v>17</v>
      </c>
      <c r="K330" t="s">
        <v>958</v>
      </c>
      <c r="L330" t="s">
        <v>31</v>
      </c>
    </row>
    <row r="331" spans="1:12" x14ac:dyDescent="0.3">
      <c r="A331" t="s">
        <v>959</v>
      </c>
      <c r="B331" t="s">
        <v>960</v>
      </c>
      <c r="C331" t="s">
        <v>45</v>
      </c>
      <c r="D331" t="s">
        <v>23</v>
      </c>
      <c r="E331">
        <v>1</v>
      </c>
      <c r="F331">
        <v>89.37</v>
      </c>
      <c r="G331">
        <v>71.5</v>
      </c>
      <c r="H331">
        <v>20</v>
      </c>
      <c r="I331" t="s">
        <v>53</v>
      </c>
      <c r="J331" t="s">
        <v>141</v>
      </c>
      <c r="K331" t="s">
        <v>961</v>
      </c>
      <c r="L331" t="s">
        <v>31</v>
      </c>
    </row>
    <row r="332" spans="1:12" x14ac:dyDescent="0.3">
      <c r="A332" t="s">
        <v>962</v>
      </c>
      <c r="B332" t="s">
        <v>963</v>
      </c>
      <c r="C332" t="s">
        <v>103</v>
      </c>
      <c r="D332" t="s">
        <v>35</v>
      </c>
      <c r="E332">
        <v>8</v>
      </c>
      <c r="F332">
        <v>303.57</v>
      </c>
      <c r="G332">
        <v>2185.6999999999998</v>
      </c>
      <c r="H332">
        <v>10</v>
      </c>
      <c r="I332" t="s">
        <v>53</v>
      </c>
      <c r="J332" t="s">
        <v>67</v>
      </c>
      <c r="K332" t="s">
        <v>964</v>
      </c>
      <c r="L332" t="s">
        <v>69</v>
      </c>
    </row>
    <row r="333" spans="1:12" x14ac:dyDescent="0.3">
      <c r="A333" t="s">
        <v>965</v>
      </c>
      <c r="B333" t="s">
        <v>966</v>
      </c>
      <c r="C333" t="s">
        <v>123</v>
      </c>
      <c r="D333" t="s">
        <v>15</v>
      </c>
      <c r="E333">
        <v>31</v>
      </c>
      <c r="F333">
        <v>32.93</v>
      </c>
      <c r="G333">
        <v>1020.83</v>
      </c>
      <c r="H333">
        <v>0</v>
      </c>
      <c r="I333" t="s">
        <v>53</v>
      </c>
      <c r="J333" t="s">
        <v>170</v>
      </c>
      <c r="K333" t="s">
        <v>967</v>
      </c>
      <c r="L333" t="s">
        <v>49</v>
      </c>
    </row>
    <row r="334" spans="1:12" x14ac:dyDescent="0.3">
      <c r="A334" t="s">
        <v>968</v>
      </c>
      <c r="B334" t="s">
        <v>969</v>
      </c>
      <c r="C334" t="s">
        <v>58</v>
      </c>
      <c r="D334" t="s">
        <v>35</v>
      </c>
      <c r="E334">
        <v>46</v>
      </c>
      <c r="F334">
        <v>493.25</v>
      </c>
      <c r="G334">
        <v>21555.03</v>
      </c>
      <c r="H334">
        <v>5</v>
      </c>
      <c r="I334" t="s">
        <v>16</v>
      </c>
      <c r="J334" t="s">
        <v>111</v>
      </c>
      <c r="K334" t="s">
        <v>596</v>
      </c>
      <c r="L334" t="s">
        <v>19</v>
      </c>
    </row>
    <row r="335" spans="1:12" x14ac:dyDescent="0.3">
      <c r="A335" t="s">
        <v>970</v>
      </c>
      <c r="B335" t="s">
        <v>971</v>
      </c>
      <c r="C335" t="s">
        <v>40</v>
      </c>
      <c r="D335" t="s">
        <v>23</v>
      </c>
      <c r="E335">
        <v>25</v>
      </c>
      <c r="F335">
        <v>41.44</v>
      </c>
      <c r="G335">
        <v>984.2</v>
      </c>
      <c r="H335">
        <v>5</v>
      </c>
      <c r="I335" t="s">
        <v>24</v>
      </c>
      <c r="J335" t="s">
        <v>104</v>
      </c>
      <c r="K335" t="s">
        <v>395</v>
      </c>
      <c r="L335" t="s">
        <v>49</v>
      </c>
    </row>
    <row r="336" spans="1:12" x14ac:dyDescent="0.3">
      <c r="A336" t="s">
        <v>972</v>
      </c>
      <c r="B336" t="s">
        <v>102</v>
      </c>
      <c r="C336" t="s">
        <v>14</v>
      </c>
      <c r="D336" t="s">
        <v>15</v>
      </c>
      <c r="E336">
        <v>40</v>
      </c>
      <c r="F336">
        <v>85.84</v>
      </c>
      <c r="G336">
        <v>3261.92</v>
      </c>
      <c r="H336">
        <v>5</v>
      </c>
      <c r="I336" t="s">
        <v>53</v>
      </c>
      <c r="J336" t="s">
        <v>134</v>
      </c>
      <c r="K336" t="s">
        <v>542</v>
      </c>
      <c r="L336" t="s">
        <v>49</v>
      </c>
    </row>
    <row r="337" spans="1:12" x14ac:dyDescent="0.3">
      <c r="A337" t="s">
        <v>973</v>
      </c>
      <c r="B337" t="s">
        <v>974</v>
      </c>
      <c r="C337" t="s">
        <v>123</v>
      </c>
      <c r="D337" t="s">
        <v>15</v>
      </c>
      <c r="E337">
        <v>6</v>
      </c>
      <c r="F337">
        <v>34.479999999999997</v>
      </c>
      <c r="G337">
        <v>186.19</v>
      </c>
      <c r="H337">
        <v>10</v>
      </c>
      <c r="I337" t="s">
        <v>46</v>
      </c>
      <c r="J337" t="s">
        <v>83</v>
      </c>
      <c r="K337" t="s">
        <v>975</v>
      </c>
      <c r="L337" t="s">
        <v>31</v>
      </c>
    </row>
    <row r="338" spans="1:12" x14ac:dyDescent="0.3">
      <c r="A338" t="s">
        <v>976</v>
      </c>
      <c r="B338" t="s">
        <v>977</v>
      </c>
      <c r="C338" t="s">
        <v>45</v>
      </c>
      <c r="D338" t="s">
        <v>23</v>
      </c>
      <c r="E338">
        <v>36</v>
      </c>
      <c r="F338">
        <v>93.14</v>
      </c>
      <c r="G338">
        <v>3353.04</v>
      </c>
      <c r="H338">
        <v>0</v>
      </c>
      <c r="I338" t="s">
        <v>46</v>
      </c>
      <c r="J338" t="s">
        <v>47</v>
      </c>
      <c r="K338" t="s">
        <v>978</v>
      </c>
      <c r="L338" t="s">
        <v>69</v>
      </c>
    </row>
    <row r="339" spans="1:12" x14ac:dyDescent="0.3">
      <c r="A339" t="s">
        <v>979</v>
      </c>
      <c r="B339" t="s">
        <v>980</v>
      </c>
      <c r="C339" t="s">
        <v>95</v>
      </c>
      <c r="D339" t="s">
        <v>35</v>
      </c>
      <c r="E339">
        <v>10</v>
      </c>
      <c r="F339">
        <v>1124</v>
      </c>
      <c r="G339">
        <v>10116</v>
      </c>
      <c r="H339">
        <v>10</v>
      </c>
      <c r="I339" t="s">
        <v>46</v>
      </c>
      <c r="J339" t="s">
        <v>124</v>
      </c>
      <c r="K339" t="s">
        <v>766</v>
      </c>
      <c r="L339" t="s">
        <v>69</v>
      </c>
    </row>
    <row r="340" spans="1:12" x14ac:dyDescent="0.3">
      <c r="A340" t="s">
        <v>981</v>
      </c>
      <c r="B340" t="s">
        <v>982</v>
      </c>
      <c r="C340" t="s">
        <v>95</v>
      </c>
      <c r="D340" t="s">
        <v>35</v>
      </c>
      <c r="E340">
        <v>32</v>
      </c>
      <c r="F340">
        <v>1124.83</v>
      </c>
      <c r="G340">
        <v>30595.38</v>
      </c>
      <c r="H340">
        <v>15</v>
      </c>
      <c r="I340" t="s">
        <v>53</v>
      </c>
      <c r="J340" t="s">
        <v>141</v>
      </c>
      <c r="K340" t="s">
        <v>955</v>
      </c>
      <c r="L340" t="s">
        <v>19</v>
      </c>
    </row>
    <row r="341" spans="1:12" x14ac:dyDescent="0.3">
      <c r="A341" t="s">
        <v>983</v>
      </c>
      <c r="B341" t="s">
        <v>984</v>
      </c>
      <c r="C341" t="s">
        <v>103</v>
      </c>
      <c r="D341" t="s">
        <v>35</v>
      </c>
      <c r="E341">
        <v>25</v>
      </c>
      <c r="F341">
        <v>399.92</v>
      </c>
      <c r="G341">
        <v>9998</v>
      </c>
      <c r="H341">
        <v>0</v>
      </c>
      <c r="I341" t="s">
        <v>24</v>
      </c>
      <c r="J341" t="s">
        <v>104</v>
      </c>
      <c r="K341" t="s">
        <v>518</v>
      </c>
      <c r="L341" t="s">
        <v>27</v>
      </c>
    </row>
    <row r="342" spans="1:12" x14ac:dyDescent="0.3">
      <c r="A342" t="s">
        <v>985</v>
      </c>
      <c r="B342" t="s">
        <v>291</v>
      </c>
      <c r="C342" t="s">
        <v>52</v>
      </c>
      <c r="D342" t="s">
        <v>35</v>
      </c>
      <c r="E342">
        <v>44</v>
      </c>
      <c r="F342">
        <v>153.82</v>
      </c>
      <c r="G342">
        <v>6429.68</v>
      </c>
      <c r="H342">
        <v>5</v>
      </c>
      <c r="I342" t="s">
        <v>24</v>
      </c>
      <c r="J342" t="s">
        <v>25</v>
      </c>
      <c r="K342" t="s">
        <v>986</v>
      </c>
      <c r="L342" t="s">
        <v>49</v>
      </c>
    </row>
    <row r="343" spans="1:12" x14ac:dyDescent="0.3">
      <c r="A343" t="s">
        <v>987</v>
      </c>
      <c r="B343" t="s">
        <v>988</v>
      </c>
      <c r="C343" t="s">
        <v>34</v>
      </c>
      <c r="D343" t="s">
        <v>35</v>
      </c>
      <c r="E343">
        <v>8</v>
      </c>
      <c r="F343">
        <v>773.86</v>
      </c>
      <c r="G343">
        <v>4952.7</v>
      </c>
      <c r="H343">
        <v>20</v>
      </c>
      <c r="I343" t="s">
        <v>46</v>
      </c>
      <c r="J343" t="s">
        <v>78</v>
      </c>
      <c r="K343" t="s">
        <v>989</v>
      </c>
      <c r="L343" t="s">
        <v>49</v>
      </c>
    </row>
    <row r="344" spans="1:12" x14ac:dyDescent="0.3">
      <c r="A344" t="s">
        <v>990</v>
      </c>
      <c r="B344" t="s">
        <v>991</v>
      </c>
      <c r="C344" t="s">
        <v>22</v>
      </c>
      <c r="D344" t="s">
        <v>23</v>
      </c>
      <c r="E344">
        <v>39</v>
      </c>
      <c r="F344">
        <v>29.49</v>
      </c>
      <c r="G344">
        <v>1150.1099999999999</v>
      </c>
      <c r="H344">
        <v>0</v>
      </c>
      <c r="I344" t="s">
        <v>16</v>
      </c>
      <c r="J344" t="s">
        <v>91</v>
      </c>
      <c r="K344" t="s">
        <v>992</v>
      </c>
      <c r="L344" t="s">
        <v>31</v>
      </c>
    </row>
    <row r="345" spans="1:12" x14ac:dyDescent="0.3">
      <c r="A345" t="s">
        <v>993</v>
      </c>
      <c r="B345" t="s">
        <v>994</v>
      </c>
      <c r="C345" t="s">
        <v>90</v>
      </c>
      <c r="D345" t="s">
        <v>23</v>
      </c>
      <c r="E345">
        <v>4</v>
      </c>
      <c r="F345">
        <v>28.57</v>
      </c>
      <c r="G345">
        <v>97.14</v>
      </c>
      <c r="H345">
        <v>15</v>
      </c>
      <c r="I345" t="s">
        <v>46</v>
      </c>
      <c r="J345" t="s">
        <v>124</v>
      </c>
      <c r="K345" t="s">
        <v>455</v>
      </c>
      <c r="L345" t="s">
        <v>19</v>
      </c>
    </row>
    <row r="346" spans="1:12" x14ac:dyDescent="0.3">
      <c r="A346" t="s">
        <v>995</v>
      </c>
      <c r="B346" t="s">
        <v>996</v>
      </c>
      <c r="C346" t="s">
        <v>99</v>
      </c>
      <c r="D346" t="s">
        <v>23</v>
      </c>
      <c r="E346">
        <v>29</v>
      </c>
      <c r="F346">
        <v>26.95</v>
      </c>
      <c r="G346">
        <v>664.32</v>
      </c>
      <c r="H346">
        <v>15</v>
      </c>
      <c r="I346" t="s">
        <v>24</v>
      </c>
      <c r="J346" t="s">
        <v>25</v>
      </c>
      <c r="K346" t="s">
        <v>698</v>
      </c>
      <c r="L346" t="s">
        <v>49</v>
      </c>
    </row>
    <row r="347" spans="1:12" x14ac:dyDescent="0.3">
      <c r="A347" t="s">
        <v>997</v>
      </c>
      <c r="B347" t="s">
        <v>998</v>
      </c>
      <c r="C347" t="s">
        <v>123</v>
      </c>
      <c r="D347" t="s">
        <v>15</v>
      </c>
      <c r="E347">
        <v>7</v>
      </c>
      <c r="F347">
        <v>16.32</v>
      </c>
      <c r="G347">
        <v>91.39</v>
      </c>
      <c r="H347">
        <v>20</v>
      </c>
      <c r="I347" t="s">
        <v>24</v>
      </c>
      <c r="J347" t="s">
        <v>104</v>
      </c>
      <c r="K347" t="s">
        <v>999</v>
      </c>
      <c r="L347" t="s">
        <v>69</v>
      </c>
    </row>
    <row r="348" spans="1:12" x14ac:dyDescent="0.3">
      <c r="A348" t="s">
        <v>1000</v>
      </c>
      <c r="B348" t="s">
        <v>1001</v>
      </c>
      <c r="C348" t="s">
        <v>103</v>
      </c>
      <c r="D348" t="s">
        <v>35</v>
      </c>
      <c r="E348">
        <v>32</v>
      </c>
      <c r="F348">
        <v>455.22</v>
      </c>
      <c r="G348">
        <v>14567.04</v>
      </c>
      <c r="H348">
        <v>0</v>
      </c>
      <c r="I348" t="s">
        <v>24</v>
      </c>
      <c r="J348" t="s">
        <v>41</v>
      </c>
      <c r="K348" t="s">
        <v>964</v>
      </c>
      <c r="L348" t="s">
        <v>49</v>
      </c>
    </row>
    <row r="349" spans="1:12" x14ac:dyDescent="0.3">
      <c r="A349" t="s">
        <v>1002</v>
      </c>
      <c r="B349" t="s">
        <v>1003</v>
      </c>
      <c r="C349" t="s">
        <v>72</v>
      </c>
      <c r="D349" t="s">
        <v>73</v>
      </c>
      <c r="E349">
        <v>13</v>
      </c>
      <c r="F349">
        <v>455.41</v>
      </c>
      <c r="G349">
        <v>5032.28</v>
      </c>
      <c r="H349">
        <v>15</v>
      </c>
      <c r="I349" t="s">
        <v>16</v>
      </c>
      <c r="J349" t="s">
        <v>17</v>
      </c>
      <c r="K349" t="s">
        <v>171</v>
      </c>
      <c r="L349" t="s">
        <v>31</v>
      </c>
    </row>
    <row r="350" spans="1:12" x14ac:dyDescent="0.3">
      <c r="A350" t="s">
        <v>1004</v>
      </c>
      <c r="B350" t="s">
        <v>1005</v>
      </c>
      <c r="C350" t="s">
        <v>52</v>
      </c>
      <c r="D350" t="s">
        <v>35</v>
      </c>
      <c r="E350">
        <v>22</v>
      </c>
      <c r="F350">
        <v>138.44999999999999</v>
      </c>
      <c r="G350">
        <v>2741.31</v>
      </c>
      <c r="H350">
        <v>10</v>
      </c>
      <c r="I350" t="s">
        <v>16</v>
      </c>
      <c r="J350" t="s">
        <v>91</v>
      </c>
      <c r="K350" t="s">
        <v>1006</v>
      </c>
      <c r="L350" t="s">
        <v>31</v>
      </c>
    </row>
    <row r="351" spans="1:12" x14ac:dyDescent="0.3">
      <c r="A351" t="s">
        <v>1007</v>
      </c>
      <c r="B351" t="s">
        <v>1008</v>
      </c>
      <c r="C351" t="s">
        <v>95</v>
      </c>
      <c r="D351" t="s">
        <v>35</v>
      </c>
      <c r="E351">
        <v>20</v>
      </c>
      <c r="F351">
        <v>1060.94</v>
      </c>
      <c r="G351">
        <v>21218.799999999999</v>
      </c>
      <c r="H351">
        <v>0</v>
      </c>
      <c r="I351" t="s">
        <v>24</v>
      </c>
      <c r="J351" t="s">
        <v>59</v>
      </c>
      <c r="K351" t="s">
        <v>479</v>
      </c>
      <c r="L351" t="s">
        <v>31</v>
      </c>
    </row>
    <row r="352" spans="1:12" x14ac:dyDescent="0.3">
      <c r="A352" t="s">
        <v>1009</v>
      </c>
      <c r="B352" t="s">
        <v>1010</v>
      </c>
      <c r="C352" t="s">
        <v>82</v>
      </c>
      <c r="D352" t="s">
        <v>73</v>
      </c>
      <c r="E352">
        <v>12</v>
      </c>
      <c r="F352">
        <v>450.82</v>
      </c>
      <c r="G352">
        <v>4327.87</v>
      </c>
      <c r="H352">
        <v>20</v>
      </c>
      <c r="I352" t="s">
        <v>46</v>
      </c>
      <c r="J352" t="s">
        <v>244</v>
      </c>
      <c r="K352" t="s">
        <v>1011</v>
      </c>
      <c r="L352" t="s">
        <v>19</v>
      </c>
    </row>
    <row r="353" spans="1:12" x14ac:dyDescent="0.3">
      <c r="A353" t="s">
        <v>1012</v>
      </c>
      <c r="B353" t="s">
        <v>522</v>
      </c>
      <c r="C353" t="s">
        <v>63</v>
      </c>
      <c r="D353" t="s">
        <v>15</v>
      </c>
      <c r="E353">
        <v>16</v>
      </c>
      <c r="F353">
        <v>78.27</v>
      </c>
      <c r="G353">
        <v>1127.0899999999999</v>
      </c>
      <c r="H353">
        <v>10</v>
      </c>
      <c r="I353" t="s">
        <v>16</v>
      </c>
      <c r="J353" t="s">
        <v>160</v>
      </c>
      <c r="K353" t="s">
        <v>1013</v>
      </c>
      <c r="L353" t="s">
        <v>31</v>
      </c>
    </row>
    <row r="354" spans="1:12" x14ac:dyDescent="0.3">
      <c r="A354" t="s">
        <v>1014</v>
      </c>
      <c r="B354" t="s">
        <v>1015</v>
      </c>
      <c r="C354" t="s">
        <v>52</v>
      </c>
      <c r="D354" t="s">
        <v>35</v>
      </c>
      <c r="E354">
        <v>26</v>
      </c>
      <c r="F354">
        <v>375.46</v>
      </c>
      <c r="G354">
        <v>9761.9599999999991</v>
      </c>
      <c r="H354">
        <v>0</v>
      </c>
      <c r="I354" t="s">
        <v>16</v>
      </c>
      <c r="J354" t="s">
        <v>111</v>
      </c>
      <c r="K354" t="s">
        <v>1016</v>
      </c>
      <c r="L354" t="s">
        <v>27</v>
      </c>
    </row>
    <row r="355" spans="1:12" x14ac:dyDescent="0.3">
      <c r="A355" t="s">
        <v>1017</v>
      </c>
      <c r="B355" t="s">
        <v>1018</v>
      </c>
      <c r="C355" t="s">
        <v>14</v>
      </c>
      <c r="D355" t="s">
        <v>15</v>
      </c>
      <c r="E355">
        <v>8</v>
      </c>
      <c r="F355">
        <v>100.35</v>
      </c>
      <c r="G355">
        <v>802.8</v>
      </c>
      <c r="H355">
        <v>0</v>
      </c>
      <c r="I355" t="s">
        <v>53</v>
      </c>
      <c r="J355" t="s">
        <v>170</v>
      </c>
      <c r="K355" t="s">
        <v>1019</v>
      </c>
      <c r="L355" t="s">
        <v>49</v>
      </c>
    </row>
    <row r="356" spans="1:12" x14ac:dyDescent="0.3">
      <c r="A356" t="s">
        <v>1020</v>
      </c>
      <c r="B356" t="s">
        <v>1021</v>
      </c>
      <c r="C356" t="s">
        <v>63</v>
      </c>
      <c r="D356" t="s">
        <v>15</v>
      </c>
      <c r="E356">
        <v>31</v>
      </c>
      <c r="F356">
        <v>36.51</v>
      </c>
      <c r="G356">
        <v>1018.63</v>
      </c>
      <c r="H356">
        <v>10</v>
      </c>
      <c r="I356" t="s">
        <v>46</v>
      </c>
      <c r="J356" t="s">
        <v>78</v>
      </c>
      <c r="K356" t="s">
        <v>1022</v>
      </c>
      <c r="L356" t="s">
        <v>49</v>
      </c>
    </row>
    <row r="357" spans="1:12" x14ac:dyDescent="0.3">
      <c r="A357" t="s">
        <v>1023</v>
      </c>
      <c r="B357" t="s">
        <v>1024</v>
      </c>
      <c r="C357" t="s">
        <v>14</v>
      </c>
      <c r="D357" t="s">
        <v>15</v>
      </c>
      <c r="E357">
        <v>17</v>
      </c>
      <c r="F357">
        <v>88.77</v>
      </c>
      <c r="G357">
        <v>1433.64</v>
      </c>
      <c r="H357">
        <v>5</v>
      </c>
      <c r="I357" t="s">
        <v>16</v>
      </c>
      <c r="J357" t="s">
        <v>17</v>
      </c>
      <c r="K357" t="s">
        <v>42</v>
      </c>
      <c r="L357" t="s">
        <v>27</v>
      </c>
    </row>
    <row r="358" spans="1:12" x14ac:dyDescent="0.3">
      <c r="A358" t="s">
        <v>1025</v>
      </c>
      <c r="B358" t="s">
        <v>1026</v>
      </c>
      <c r="C358" t="s">
        <v>52</v>
      </c>
      <c r="D358" t="s">
        <v>35</v>
      </c>
      <c r="E358">
        <v>40</v>
      </c>
      <c r="F358">
        <v>218.18</v>
      </c>
      <c r="G358">
        <v>8290.84</v>
      </c>
      <c r="H358">
        <v>5</v>
      </c>
      <c r="I358" t="s">
        <v>24</v>
      </c>
      <c r="J358" t="s">
        <v>36</v>
      </c>
      <c r="K358" t="s">
        <v>346</v>
      </c>
      <c r="L358" t="s">
        <v>27</v>
      </c>
    </row>
    <row r="359" spans="1:12" x14ac:dyDescent="0.3">
      <c r="A359" t="s">
        <v>1027</v>
      </c>
      <c r="B359" t="s">
        <v>522</v>
      </c>
      <c r="C359" t="s">
        <v>34</v>
      </c>
      <c r="D359" t="s">
        <v>35</v>
      </c>
      <c r="E359">
        <v>35</v>
      </c>
      <c r="F359">
        <v>703.93</v>
      </c>
      <c r="G359">
        <v>24637.55</v>
      </c>
      <c r="H359">
        <v>0</v>
      </c>
      <c r="I359" t="s">
        <v>24</v>
      </c>
      <c r="J359" t="s">
        <v>104</v>
      </c>
      <c r="K359" t="s">
        <v>898</v>
      </c>
      <c r="L359" t="s">
        <v>27</v>
      </c>
    </row>
    <row r="360" spans="1:12" x14ac:dyDescent="0.3">
      <c r="A360" t="s">
        <v>1028</v>
      </c>
      <c r="B360" t="s">
        <v>773</v>
      </c>
      <c r="C360" t="s">
        <v>99</v>
      </c>
      <c r="D360" t="s">
        <v>23</v>
      </c>
      <c r="E360">
        <v>9</v>
      </c>
      <c r="F360">
        <v>23.71</v>
      </c>
      <c r="G360">
        <v>213.39</v>
      </c>
      <c r="H360">
        <v>0</v>
      </c>
      <c r="I360" t="s">
        <v>46</v>
      </c>
      <c r="J360" t="s">
        <v>78</v>
      </c>
      <c r="K360" t="s">
        <v>1029</v>
      </c>
      <c r="L360" t="s">
        <v>31</v>
      </c>
    </row>
    <row r="361" spans="1:12" x14ac:dyDescent="0.3">
      <c r="A361" t="s">
        <v>1030</v>
      </c>
      <c r="B361" t="s">
        <v>786</v>
      </c>
      <c r="C361" t="s">
        <v>82</v>
      </c>
      <c r="D361" t="s">
        <v>73</v>
      </c>
      <c r="E361">
        <v>34</v>
      </c>
      <c r="F361">
        <v>553.53</v>
      </c>
      <c r="G361">
        <v>18820.02</v>
      </c>
      <c r="H361">
        <v>0</v>
      </c>
      <c r="I361" t="s">
        <v>16</v>
      </c>
      <c r="J361" t="s">
        <v>74</v>
      </c>
      <c r="K361" t="s">
        <v>1031</v>
      </c>
      <c r="L361" t="s">
        <v>69</v>
      </c>
    </row>
    <row r="362" spans="1:12" x14ac:dyDescent="0.3">
      <c r="A362" t="s">
        <v>1032</v>
      </c>
      <c r="B362" t="s">
        <v>188</v>
      </c>
      <c r="C362" t="s">
        <v>22</v>
      </c>
      <c r="D362" t="s">
        <v>23</v>
      </c>
      <c r="E362">
        <v>8</v>
      </c>
      <c r="F362">
        <v>15.3</v>
      </c>
      <c r="G362">
        <v>97.92</v>
      </c>
      <c r="H362">
        <v>20</v>
      </c>
      <c r="I362" t="s">
        <v>53</v>
      </c>
      <c r="J362" t="s">
        <v>170</v>
      </c>
      <c r="K362" t="s">
        <v>1033</v>
      </c>
      <c r="L362" t="s">
        <v>69</v>
      </c>
    </row>
    <row r="363" spans="1:12" x14ac:dyDescent="0.3">
      <c r="A363" t="s">
        <v>1034</v>
      </c>
      <c r="B363" t="s">
        <v>1035</v>
      </c>
      <c r="C363" t="s">
        <v>58</v>
      </c>
      <c r="D363" t="s">
        <v>35</v>
      </c>
      <c r="E363">
        <v>12</v>
      </c>
      <c r="F363">
        <v>455.31</v>
      </c>
      <c r="G363">
        <v>5190.53</v>
      </c>
      <c r="H363">
        <v>5</v>
      </c>
      <c r="I363" t="s">
        <v>24</v>
      </c>
      <c r="J363" t="s">
        <v>104</v>
      </c>
      <c r="K363" t="s">
        <v>60</v>
      </c>
      <c r="L363" t="s">
        <v>27</v>
      </c>
    </row>
    <row r="364" spans="1:12" x14ac:dyDescent="0.3">
      <c r="A364" t="s">
        <v>1036</v>
      </c>
      <c r="B364" t="s">
        <v>127</v>
      </c>
      <c r="C364" t="s">
        <v>58</v>
      </c>
      <c r="D364" t="s">
        <v>35</v>
      </c>
      <c r="E364">
        <v>2</v>
      </c>
      <c r="F364">
        <v>345.67</v>
      </c>
      <c r="G364">
        <v>656.77</v>
      </c>
      <c r="H364">
        <v>5</v>
      </c>
      <c r="I364" t="s">
        <v>53</v>
      </c>
      <c r="J364" t="s">
        <v>67</v>
      </c>
      <c r="K364" t="s">
        <v>1037</v>
      </c>
      <c r="L364" t="s">
        <v>27</v>
      </c>
    </row>
    <row r="365" spans="1:12" x14ac:dyDescent="0.3">
      <c r="A365" t="s">
        <v>1038</v>
      </c>
      <c r="B365" t="s">
        <v>879</v>
      </c>
      <c r="C365" t="s">
        <v>14</v>
      </c>
      <c r="D365" t="s">
        <v>15</v>
      </c>
      <c r="E365">
        <v>7</v>
      </c>
      <c r="F365">
        <v>104.55</v>
      </c>
      <c r="G365">
        <v>695.26</v>
      </c>
      <c r="H365">
        <v>5</v>
      </c>
      <c r="I365" t="s">
        <v>46</v>
      </c>
      <c r="J365" t="s">
        <v>124</v>
      </c>
      <c r="K365" t="s">
        <v>1039</v>
      </c>
      <c r="L365" t="s">
        <v>49</v>
      </c>
    </row>
    <row r="366" spans="1:12" x14ac:dyDescent="0.3">
      <c r="A366" t="s">
        <v>1040</v>
      </c>
      <c r="B366" t="s">
        <v>1041</v>
      </c>
      <c r="C366" t="s">
        <v>52</v>
      </c>
      <c r="D366" t="s">
        <v>35</v>
      </c>
      <c r="E366">
        <v>28</v>
      </c>
      <c r="F366">
        <v>107.44</v>
      </c>
      <c r="G366">
        <v>2406.66</v>
      </c>
      <c r="H366">
        <v>20</v>
      </c>
      <c r="I366" t="s">
        <v>16</v>
      </c>
      <c r="J366" t="s">
        <v>17</v>
      </c>
      <c r="K366" t="s">
        <v>1042</v>
      </c>
      <c r="L366" t="s">
        <v>69</v>
      </c>
    </row>
    <row r="367" spans="1:12" x14ac:dyDescent="0.3">
      <c r="A367" t="s">
        <v>1043</v>
      </c>
      <c r="B367" t="s">
        <v>1044</v>
      </c>
      <c r="C367" t="s">
        <v>52</v>
      </c>
      <c r="D367" t="s">
        <v>35</v>
      </c>
      <c r="E367">
        <v>46</v>
      </c>
      <c r="F367">
        <v>149.63999999999999</v>
      </c>
      <c r="G367">
        <v>5850.92</v>
      </c>
      <c r="H367">
        <v>15</v>
      </c>
      <c r="I367" t="s">
        <v>16</v>
      </c>
      <c r="J367" t="s">
        <v>74</v>
      </c>
      <c r="K367" t="s">
        <v>1045</v>
      </c>
      <c r="L367" t="s">
        <v>31</v>
      </c>
    </row>
    <row r="368" spans="1:12" x14ac:dyDescent="0.3">
      <c r="A368" t="s">
        <v>1046</v>
      </c>
      <c r="B368" t="s">
        <v>1047</v>
      </c>
      <c r="C368" t="s">
        <v>95</v>
      </c>
      <c r="D368" t="s">
        <v>35</v>
      </c>
      <c r="E368">
        <v>11</v>
      </c>
      <c r="F368">
        <v>1097.1300000000001</v>
      </c>
      <c r="G368">
        <v>11465.01</v>
      </c>
      <c r="H368">
        <v>5</v>
      </c>
      <c r="I368" t="s">
        <v>16</v>
      </c>
      <c r="J368" t="s">
        <v>74</v>
      </c>
      <c r="K368" t="s">
        <v>1048</v>
      </c>
      <c r="L368" t="s">
        <v>27</v>
      </c>
    </row>
    <row r="369" spans="1:12" x14ac:dyDescent="0.3">
      <c r="A369" t="s">
        <v>1049</v>
      </c>
      <c r="B369" t="s">
        <v>731</v>
      </c>
      <c r="C369" t="s">
        <v>52</v>
      </c>
      <c r="D369" t="s">
        <v>35</v>
      </c>
      <c r="E369">
        <v>45</v>
      </c>
      <c r="F369">
        <v>297.45999999999998</v>
      </c>
      <c r="G369">
        <v>12047.13</v>
      </c>
      <c r="H369">
        <v>10</v>
      </c>
      <c r="I369" t="s">
        <v>46</v>
      </c>
      <c r="J369" t="s">
        <v>83</v>
      </c>
      <c r="K369" t="s">
        <v>593</v>
      </c>
      <c r="L369" t="s">
        <v>27</v>
      </c>
    </row>
    <row r="370" spans="1:12" x14ac:dyDescent="0.3">
      <c r="A370" t="s">
        <v>1050</v>
      </c>
      <c r="B370" t="s">
        <v>1051</v>
      </c>
      <c r="C370" t="s">
        <v>82</v>
      </c>
      <c r="D370" t="s">
        <v>73</v>
      </c>
      <c r="E370">
        <v>4</v>
      </c>
      <c r="F370">
        <v>786.54</v>
      </c>
      <c r="G370">
        <v>3146.16</v>
      </c>
      <c r="H370">
        <v>0</v>
      </c>
      <c r="I370" t="s">
        <v>24</v>
      </c>
      <c r="J370" t="s">
        <v>25</v>
      </c>
      <c r="K370" t="s">
        <v>1052</v>
      </c>
      <c r="L370" t="s">
        <v>19</v>
      </c>
    </row>
    <row r="371" spans="1:12" x14ac:dyDescent="0.3">
      <c r="A371" t="s">
        <v>1053</v>
      </c>
      <c r="B371" t="s">
        <v>1008</v>
      </c>
      <c r="C371" t="s">
        <v>90</v>
      </c>
      <c r="D371" t="s">
        <v>23</v>
      </c>
      <c r="E371">
        <v>1</v>
      </c>
      <c r="F371">
        <v>42.29</v>
      </c>
      <c r="G371">
        <v>42.29</v>
      </c>
      <c r="H371">
        <v>0</v>
      </c>
      <c r="I371" t="s">
        <v>53</v>
      </c>
      <c r="J371" t="s">
        <v>54</v>
      </c>
      <c r="K371" t="s">
        <v>1054</v>
      </c>
      <c r="L371" t="s">
        <v>49</v>
      </c>
    </row>
    <row r="372" spans="1:12" x14ac:dyDescent="0.3">
      <c r="A372" t="s">
        <v>1055</v>
      </c>
      <c r="B372" t="s">
        <v>1056</v>
      </c>
      <c r="C372" t="s">
        <v>123</v>
      </c>
      <c r="D372" t="s">
        <v>15</v>
      </c>
      <c r="E372">
        <v>22</v>
      </c>
      <c r="F372">
        <v>25.84</v>
      </c>
      <c r="G372">
        <v>483.21</v>
      </c>
      <c r="H372">
        <v>15</v>
      </c>
      <c r="I372" t="s">
        <v>46</v>
      </c>
      <c r="J372" t="s">
        <v>244</v>
      </c>
      <c r="K372" t="s">
        <v>207</v>
      </c>
      <c r="L372" t="s">
        <v>69</v>
      </c>
    </row>
    <row r="373" spans="1:12" x14ac:dyDescent="0.3">
      <c r="A373" t="s">
        <v>1057</v>
      </c>
      <c r="B373" t="s">
        <v>1058</v>
      </c>
      <c r="C373" t="s">
        <v>82</v>
      </c>
      <c r="D373" t="s">
        <v>73</v>
      </c>
      <c r="E373">
        <v>18</v>
      </c>
      <c r="F373">
        <v>549.09</v>
      </c>
      <c r="G373">
        <v>9883.6200000000008</v>
      </c>
      <c r="H373">
        <v>0</v>
      </c>
      <c r="I373" t="s">
        <v>16</v>
      </c>
      <c r="J373" t="s">
        <v>91</v>
      </c>
      <c r="K373" t="s">
        <v>1059</v>
      </c>
      <c r="L373" t="s">
        <v>19</v>
      </c>
    </row>
    <row r="374" spans="1:12" x14ac:dyDescent="0.3">
      <c r="A374" t="s">
        <v>1060</v>
      </c>
      <c r="B374" t="s">
        <v>1061</v>
      </c>
      <c r="C374" t="s">
        <v>99</v>
      </c>
      <c r="D374" t="s">
        <v>23</v>
      </c>
      <c r="E374">
        <v>10</v>
      </c>
      <c r="F374">
        <v>10.220000000000001</v>
      </c>
      <c r="G374">
        <v>81.760000000000005</v>
      </c>
      <c r="H374">
        <v>20</v>
      </c>
      <c r="I374" t="s">
        <v>46</v>
      </c>
      <c r="J374" t="s">
        <v>124</v>
      </c>
      <c r="K374" t="s">
        <v>755</v>
      </c>
      <c r="L374" t="s">
        <v>49</v>
      </c>
    </row>
    <row r="375" spans="1:12" x14ac:dyDescent="0.3">
      <c r="A375" t="s">
        <v>1062</v>
      </c>
      <c r="B375" t="s">
        <v>147</v>
      </c>
      <c r="C375" t="s">
        <v>95</v>
      </c>
      <c r="D375" t="s">
        <v>35</v>
      </c>
      <c r="E375">
        <v>28</v>
      </c>
      <c r="F375">
        <v>837.68</v>
      </c>
      <c r="G375">
        <v>23455.040000000001</v>
      </c>
      <c r="H375">
        <v>0</v>
      </c>
      <c r="I375" t="s">
        <v>24</v>
      </c>
      <c r="J375" t="s">
        <v>104</v>
      </c>
      <c r="K375" t="s">
        <v>1063</v>
      </c>
      <c r="L375" t="s">
        <v>27</v>
      </c>
    </row>
    <row r="376" spans="1:12" x14ac:dyDescent="0.3">
      <c r="A376" t="s">
        <v>1064</v>
      </c>
      <c r="B376" t="s">
        <v>1065</v>
      </c>
      <c r="C376" t="s">
        <v>123</v>
      </c>
      <c r="D376" t="s">
        <v>15</v>
      </c>
      <c r="E376">
        <v>18</v>
      </c>
      <c r="F376">
        <v>17.809999999999999</v>
      </c>
      <c r="G376">
        <v>304.55</v>
      </c>
      <c r="H376">
        <v>5</v>
      </c>
      <c r="I376" t="s">
        <v>46</v>
      </c>
      <c r="J376" t="s">
        <v>78</v>
      </c>
      <c r="K376" t="s">
        <v>180</v>
      </c>
      <c r="L376" t="s">
        <v>19</v>
      </c>
    </row>
    <row r="377" spans="1:12" x14ac:dyDescent="0.3">
      <c r="A377" t="s">
        <v>1066</v>
      </c>
      <c r="B377" t="s">
        <v>1067</v>
      </c>
      <c r="C377" t="s">
        <v>45</v>
      </c>
      <c r="D377" t="s">
        <v>23</v>
      </c>
      <c r="E377">
        <v>45</v>
      </c>
      <c r="F377">
        <v>112.31</v>
      </c>
      <c r="G377">
        <v>4295.8599999999997</v>
      </c>
      <c r="H377">
        <v>15</v>
      </c>
      <c r="I377" t="s">
        <v>24</v>
      </c>
      <c r="J377" t="s">
        <v>104</v>
      </c>
      <c r="K377" t="s">
        <v>1068</v>
      </c>
      <c r="L377" t="s">
        <v>27</v>
      </c>
    </row>
    <row r="378" spans="1:12" x14ac:dyDescent="0.3">
      <c r="A378" t="s">
        <v>1069</v>
      </c>
      <c r="B378" t="s">
        <v>1070</v>
      </c>
      <c r="C378" t="s">
        <v>95</v>
      </c>
      <c r="D378" t="s">
        <v>35</v>
      </c>
      <c r="E378">
        <v>14</v>
      </c>
      <c r="F378">
        <v>812.74</v>
      </c>
      <c r="G378">
        <v>10240.52</v>
      </c>
      <c r="H378">
        <v>10</v>
      </c>
      <c r="I378" t="s">
        <v>16</v>
      </c>
      <c r="J378" t="s">
        <v>91</v>
      </c>
      <c r="K378" t="s">
        <v>593</v>
      </c>
      <c r="L378" t="s">
        <v>19</v>
      </c>
    </row>
    <row r="379" spans="1:12" x14ac:dyDescent="0.3">
      <c r="A379" t="s">
        <v>1071</v>
      </c>
      <c r="B379" t="s">
        <v>1072</v>
      </c>
      <c r="C379" t="s">
        <v>58</v>
      </c>
      <c r="D379" t="s">
        <v>35</v>
      </c>
      <c r="E379">
        <v>32</v>
      </c>
      <c r="F379">
        <v>235.61</v>
      </c>
      <c r="G379">
        <v>6785.57</v>
      </c>
      <c r="H379">
        <v>10</v>
      </c>
      <c r="I379" t="s">
        <v>24</v>
      </c>
      <c r="J379" t="s">
        <v>36</v>
      </c>
      <c r="K379" t="s">
        <v>1073</v>
      </c>
      <c r="L379" t="s">
        <v>31</v>
      </c>
    </row>
    <row r="380" spans="1:12" x14ac:dyDescent="0.3">
      <c r="A380" t="s">
        <v>1074</v>
      </c>
      <c r="B380" t="s">
        <v>1075</v>
      </c>
      <c r="C380" t="s">
        <v>40</v>
      </c>
      <c r="D380" t="s">
        <v>23</v>
      </c>
      <c r="E380">
        <v>40</v>
      </c>
      <c r="F380">
        <v>63.91</v>
      </c>
      <c r="G380">
        <v>2556.4</v>
      </c>
      <c r="H380">
        <v>0</v>
      </c>
      <c r="I380" t="s">
        <v>53</v>
      </c>
      <c r="J380" t="s">
        <v>134</v>
      </c>
      <c r="K380" t="s">
        <v>1076</v>
      </c>
      <c r="L380" t="s">
        <v>27</v>
      </c>
    </row>
    <row r="381" spans="1:12" x14ac:dyDescent="0.3">
      <c r="A381" t="s">
        <v>1077</v>
      </c>
      <c r="B381" t="s">
        <v>1078</v>
      </c>
      <c r="C381" t="s">
        <v>40</v>
      </c>
      <c r="D381" t="s">
        <v>23</v>
      </c>
      <c r="E381">
        <v>24</v>
      </c>
      <c r="F381">
        <v>53.5</v>
      </c>
      <c r="G381">
        <v>1091.4000000000001</v>
      </c>
      <c r="H381">
        <v>15</v>
      </c>
      <c r="I381" t="s">
        <v>16</v>
      </c>
      <c r="J381" t="s">
        <v>17</v>
      </c>
      <c r="K381" t="s">
        <v>1079</v>
      </c>
      <c r="L381" t="s">
        <v>49</v>
      </c>
    </row>
    <row r="382" spans="1:12" x14ac:dyDescent="0.3">
      <c r="A382" t="s">
        <v>1080</v>
      </c>
      <c r="B382" t="s">
        <v>1081</v>
      </c>
      <c r="C382" t="s">
        <v>14</v>
      </c>
      <c r="D382" t="s">
        <v>15</v>
      </c>
      <c r="E382">
        <v>26</v>
      </c>
      <c r="F382">
        <v>97.89</v>
      </c>
      <c r="G382">
        <v>2290.63</v>
      </c>
      <c r="H382">
        <v>10</v>
      </c>
      <c r="I382" t="s">
        <v>24</v>
      </c>
      <c r="J382" t="s">
        <v>104</v>
      </c>
      <c r="K382" t="s">
        <v>1082</v>
      </c>
      <c r="L382" t="s">
        <v>27</v>
      </c>
    </row>
    <row r="383" spans="1:12" x14ac:dyDescent="0.3">
      <c r="A383" t="s">
        <v>1083</v>
      </c>
      <c r="B383" t="s">
        <v>1084</v>
      </c>
      <c r="C383" t="s">
        <v>123</v>
      </c>
      <c r="D383" t="s">
        <v>15</v>
      </c>
      <c r="E383">
        <v>25</v>
      </c>
      <c r="F383">
        <v>40.89</v>
      </c>
      <c r="G383">
        <v>1022.25</v>
      </c>
      <c r="H383">
        <v>0</v>
      </c>
      <c r="I383" t="s">
        <v>16</v>
      </c>
      <c r="J383" t="s">
        <v>74</v>
      </c>
      <c r="K383" t="s">
        <v>312</v>
      </c>
      <c r="L383" t="s">
        <v>27</v>
      </c>
    </row>
    <row r="384" spans="1:12" x14ac:dyDescent="0.3">
      <c r="A384" t="s">
        <v>1085</v>
      </c>
      <c r="B384" t="s">
        <v>1086</v>
      </c>
      <c r="C384" t="s">
        <v>95</v>
      </c>
      <c r="D384" t="s">
        <v>35</v>
      </c>
      <c r="E384">
        <v>21</v>
      </c>
      <c r="F384">
        <v>1068.08</v>
      </c>
      <c r="G384">
        <v>17943.740000000002</v>
      </c>
      <c r="H384">
        <v>20</v>
      </c>
      <c r="I384" t="s">
        <v>53</v>
      </c>
      <c r="J384" t="s">
        <v>134</v>
      </c>
      <c r="K384" t="s">
        <v>663</v>
      </c>
      <c r="L384" t="s">
        <v>31</v>
      </c>
    </row>
    <row r="385" spans="1:12" x14ac:dyDescent="0.3">
      <c r="A385" t="s">
        <v>1087</v>
      </c>
      <c r="B385" t="s">
        <v>1088</v>
      </c>
      <c r="C385" t="s">
        <v>123</v>
      </c>
      <c r="D385" t="s">
        <v>15</v>
      </c>
      <c r="E385">
        <v>9</v>
      </c>
      <c r="F385">
        <v>49.57</v>
      </c>
      <c r="G385">
        <v>356.9</v>
      </c>
      <c r="H385">
        <v>20</v>
      </c>
      <c r="I385" t="s">
        <v>53</v>
      </c>
      <c r="J385" t="s">
        <v>170</v>
      </c>
      <c r="K385" t="s">
        <v>1089</v>
      </c>
      <c r="L385" t="s">
        <v>31</v>
      </c>
    </row>
    <row r="386" spans="1:12" x14ac:dyDescent="0.3">
      <c r="A386" t="s">
        <v>1090</v>
      </c>
      <c r="B386" t="s">
        <v>1091</v>
      </c>
      <c r="C386" t="s">
        <v>72</v>
      </c>
      <c r="D386" t="s">
        <v>73</v>
      </c>
      <c r="E386">
        <v>2</v>
      </c>
      <c r="F386">
        <v>495.85</v>
      </c>
      <c r="G386">
        <v>991.7</v>
      </c>
      <c r="H386">
        <v>0</v>
      </c>
      <c r="I386" t="s">
        <v>24</v>
      </c>
      <c r="J386" t="s">
        <v>59</v>
      </c>
      <c r="K386" t="s">
        <v>739</v>
      </c>
      <c r="L386" t="s">
        <v>31</v>
      </c>
    </row>
    <row r="387" spans="1:12" x14ac:dyDescent="0.3">
      <c r="A387" t="s">
        <v>1092</v>
      </c>
      <c r="B387" t="s">
        <v>1093</v>
      </c>
      <c r="C387" t="s">
        <v>90</v>
      </c>
      <c r="D387" t="s">
        <v>23</v>
      </c>
      <c r="E387">
        <v>26</v>
      </c>
      <c r="F387">
        <v>17.09</v>
      </c>
      <c r="G387">
        <v>399.91</v>
      </c>
      <c r="H387">
        <v>10</v>
      </c>
      <c r="I387" t="s">
        <v>53</v>
      </c>
      <c r="J387" t="s">
        <v>134</v>
      </c>
      <c r="K387" t="s">
        <v>1094</v>
      </c>
      <c r="L387" t="s">
        <v>27</v>
      </c>
    </row>
    <row r="388" spans="1:12" x14ac:dyDescent="0.3">
      <c r="A388" t="s">
        <v>1095</v>
      </c>
      <c r="B388" t="s">
        <v>1096</v>
      </c>
      <c r="C388" t="s">
        <v>63</v>
      </c>
      <c r="D388" t="s">
        <v>15</v>
      </c>
      <c r="E388">
        <v>1</v>
      </c>
      <c r="F388">
        <v>40.479999999999997</v>
      </c>
      <c r="G388">
        <v>36.43</v>
      </c>
      <c r="H388">
        <v>10</v>
      </c>
      <c r="I388" t="s">
        <v>24</v>
      </c>
      <c r="J388" t="s">
        <v>36</v>
      </c>
      <c r="K388" t="s">
        <v>1097</v>
      </c>
      <c r="L388" t="s">
        <v>31</v>
      </c>
    </row>
    <row r="389" spans="1:12" x14ac:dyDescent="0.3">
      <c r="A389" t="s">
        <v>1098</v>
      </c>
      <c r="B389" t="s">
        <v>1099</v>
      </c>
      <c r="C389" t="s">
        <v>103</v>
      </c>
      <c r="D389" t="s">
        <v>35</v>
      </c>
      <c r="E389">
        <v>35</v>
      </c>
      <c r="F389">
        <v>332.35</v>
      </c>
      <c r="G389">
        <v>11632.25</v>
      </c>
      <c r="H389">
        <v>0</v>
      </c>
      <c r="I389" t="s">
        <v>16</v>
      </c>
      <c r="J389" t="s">
        <v>160</v>
      </c>
      <c r="K389" t="s">
        <v>1100</v>
      </c>
      <c r="L389" t="s">
        <v>31</v>
      </c>
    </row>
    <row r="390" spans="1:12" x14ac:dyDescent="0.3">
      <c r="A390" t="s">
        <v>1101</v>
      </c>
      <c r="B390" t="s">
        <v>1102</v>
      </c>
      <c r="C390" t="s">
        <v>22</v>
      </c>
      <c r="D390" t="s">
        <v>23</v>
      </c>
      <c r="E390">
        <v>44</v>
      </c>
      <c r="F390">
        <v>22.69</v>
      </c>
      <c r="G390">
        <v>998.36</v>
      </c>
      <c r="H390">
        <v>0</v>
      </c>
      <c r="I390" t="s">
        <v>53</v>
      </c>
      <c r="J390" t="s">
        <v>67</v>
      </c>
      <c r="K390" t="s">
        <v>1103</v>
      </c>
      <c r="L390" t="s">
        <v>19</v>
      </c>
    </row>
    <row r="391" spans="1:12" x14ac:dyDescent="0.3">
      <c r="A391" t="s">
        <v>1104</v>
      </c>
      <c r="B391" t="s">
        <v>741</v>
      </c>
      <c r="C391" t="s">
        <v>82</v>
      </c>
      <c r="D391" t="s">
        <v>73</v>
      </c>
      <c r="E391">
        <v>36</v>
      </c>
      <c r="F391">
        <v>790.44</v>
      </c>
      <c r="G391">
        <v>27033.05</v>
      </c>
      <c r="H391">
        <v>5</v>
      </c>
      <c r="I391" t="s">
        <v>53</v>
      </c>
      <c r="J391" t="s">
        <v>141</v>
      </c>
      <c r="K391" t="s">
        <v>451</v>
      </c>
      <c r="L391" t="s">
        <v>49</v>
      </c>
    </row>
    <row r="392" spans="1:12" x14ac:dyDescent="0.3">
      <c r="A392" t="s">
        <v>1105</v>
      </c>
      <c r="B392" t="s">
        <v>470</v>
      </c>
      <c r="C392" t="s">
        <v>34</v>
      </c>
      <c r="D392" t="s">
        <v>35</v>
      </c>
      <c r="E392">
        <v>45</v>
      </c>
      <c r="F392">
        <v>575.54999999999995</v>
      </c>
      <c r="G392">
        <v>22014.79</v>
      </c>
      <c r="H392">
        <v>15</v>
      </c>
      <c r="I392" t="s">
        <v>53</v>
      </c>
      <c r="J392" t="s">
        <v>67</v>
      </c>
      <c r="K392" t="s">
        <v>1106</v>
      </c>
      <c r="L392" t="s">
        <v>19</v>
      </c>
    </row>
    <row r="393" spans="1:12" x14ac:dyDescent="0.3">
      <c r="A393" t="s">
        <v>1107</v>
      </c>
      <c r="B393" t="s">
        <v>1108</v>
      </c>
      <c r="C393" t="s">
        <v>34</v>
      </c>
      <c r="D393" t="s">
        <v>35</v>
      </c>
      <c r="E393">
        <v>20</v>
      </c>
      <c r="F393">
        <v>454.84</v>
      </c>
      <c r="G393">
        <v>9096.7999999999993</v>
      </c>
      <c r="H393">
        <v>0</v>
      </c>
      <c r="I393" t="s">
        <v>24</v>
      </c>
      <c r="J393" t="s">
        <v>59</v>
      </c>
      <c r="K393" t="s">
        <v>1109</v>
      </c>
      <c r="L393" t="s">
        <v>19</v>
      </c>
    </row>
    <row r="394" spans="1:12" x14ac:dyDescent="0.3">
      <c r="A394" t="s">
        <v>1110</v>
      </c>
      <c r="B394" t="s">
        <v>1111</v>
      </c>
      <c r="C394" t="s">
        <v>52</v>
      </c>
      <c r="D394" t="s">
        <v>35</v>
      </c>
      <c r="E394">
        <v>22</v>
      </c>
      <c r="F394">
        <v>272.37</v>
      </c>
      <c r="G394">
        <v>4793.71</v>
      </c>
      <c r="H394">
        <v>20</v>
      </c>
      <c r="I394" t="s">
        <v>24</v>
      </c>
      <c r="J394" t="s">
        <v>25</v>
      </c>
      <c r="K394" t="s">
        <v>1112</v>
      </c>
      <c r="L394" t="s">
        <v>31</v>
      </c>
    </row>
    <row r="395" spans="1:12" x14ac:dyDescent="0.3">
      <c r="A395" t="s">
        <v>1113</v>
      </c>
      <c r="B395" t="s">
        <v>1114</v>
      </c>
      <c r="C395" t="s">
        <v>82</v>
      </c>
      <c r="D395" t="s">
        <v>73</v>
      </c>
      <c r="E395">
        <v>48</v>
      </c>
      <c r="F395">
        <v>628.04999999999995</v>
      </c>
      <c r="G395">
        <v>30146.400000000001</v>
      </c>
      <c r="H395">
        <v>0</v>
      </c>
      <c r="I395" t="s">
        <v>16</v>
      </c>
      <c r="J395" t="s">
        <v>17</v>
      </c>
      <c r="K395" t="s">
        <v>1115</v>
      </c>
      <c r="L395" t="s">
        <v>19</v>
      </c>
    </row>
    <row r="396" spans="1:12" x14ac:dyDescent="0.3">
      <c r="A396" t="s">
        <v>1116</v>
      </c>
      <c r="B396" t="s">
        <v>1117</v>
      </c>
      <c r="C396" t="s">
        <v>103</v>
      </c>
      <c r="D396" t="s">
        <v>35</v>
      </c>
      <c r="E396">
        <v>46</v>
      </c>
      <c r="F396">
        <v>515.29</v>
      </c>
      <c r="G396">
        <v>23703.34</v>
      </c>
      <c r="H396">
        <v>0</v>
      </c>
      <c r="I396" t="s">
        <v>16</v>
      </c>
      <c r="J396" t="s">
        <v>74</v>
      </c>
      <c r="K396" t="s">
        <v>950</v>
      </c>
      <c r="L396" t="s">
        <v>31</v>
      </c>
    </row>
    <row r="397" spans="1:12" x14ac:dyDescent="0.3">
      <c r="A397" t="s">
        <v>1118</v>
      </c>
      <c r="B397" t="s">
        <v>1119</v>
      </c>
      <c r="C397" t="s">
        <v>90</v>
      </c>
      <c r="D397" t="s">
        <v>23</v>
      </c>
      <c r="E397">
        <v>45</v>
      </c>
      <c r="F397">
        <v>26.74</v>
      </c>
      <c r="G397">
        <v>1203.3</v>
      </c>
      <c r="H397">
        <v>0</v>
      </c>
      <c r="I397" t="s">
        <v>16</v>
      </c>
      <c r="J397" t="s">
        <v>160</v>
      </c>
      <c r="K397" t="s">
        <v>1120</v>
      </c>
      <c r="L397" t="s">
        <v>69</v>
      </c>
    </row>
    <row r="398" spans="1:12" x14ac:dyDescent="0.3">
      <c r="A398" t="s">
        <v>1121</v>
      </c>
      <c r="B398" t="s">
        <v>1122</v>
      </c>
      <c r="C398" t="s">
        <v>45</v>
      </c>
      <c r="D398" t="s">
        <v>23</v>
      </c>
      <c r="E398">
        <v>9</v>
      </c>
      <c r="F398">
        <v>126.34</v>
      </c>
      <c r="G398">
        <v>1080.21</v>
      </c>
      <c r="H398">
        <v>5</v>
      </c>
      <c r="I398" t="s">
        <v>16</v>
      </c>
      <c r="J398" t="s">
        <v>111</v>
      </c>
      <c r="K398" t="s">
        <v>1123</v>
      </c>
      <c r="L398" t="s">
        <v>19</v>
      </c>
    </row>
    <row r="399" spans="1:12" x14ac:dyDescent="0.3">
      <c r="A399" t="s">
        <v>1124</v>
      </c>
      <c r="B399" t="s">
        <v>1125</v>
      </c>
      <c r="C399" t="s">
        <v>34</v>
      </c>
      <c r="D399" t="s">
        <v>35</v>
      </c>
      <c r="E399">
        <v>46</v>
      </c>
      <c r="F399">
        <v>645.16</v>
      </c>
      <c r="G399">
        <v>25225.759999999998</v>
      </c>
      <c r="H399">
        <v>15</v>
      </c>
      <c r="I399" t="s">
        <v>24</v>
      </c>
      <c r="J399" t="s">
        <v>59</v>
      </c>
      <c r="K399" t="s">
        <v>1126</v>
      </c>
      <c r="L399" t="s">
        <v>31</v>
      </c>
    </row>
    <row r="400" spans="1:12" x14ac:dyDescent="0.3">
      <c r="A400" t="s">
        <v>1127</v>
      </c>
      <c r="B400" t="s">
        <v>233</v>
      </c>
      <c r="C400" t="s">
        <v>52</v>
      </c>
      <c r="D400" t="s">
        <v>35</v>
      </c>
      <c r="E400">
        <v>42</v>
      </c>
      <c r="F400">
        <v>108.45</v>
      </c>
      <c r="G400">
        <v>4554.8999999999996</v>
      </c>
      <c r="H400">
        <v>0</v>
      </c>
      <c r="I400" t="s">
        <v>16</v>
      </c>
      <c r="J400" t="s">
        <v>74</v>
      </c>
      <c r="K400" t="s">
        <v>708</v>
      </c>
      <c r="L400" t="s">
        <v>49</v>
      </c>
    </row>
    <row r="401" spans="1:12" x14ac:dyDescent="0.3">
      <c r="A401" t="s">
        <v>1128</v>
      </c>
      <c r="B401" t="s">
        <v>1129</v>
      </c>
      <c r="C401" t="s">
        <v>123</v>
      </c>
      <c r="D401" t="s">
        <v>15</v>
      </c>
      <c r="E401">
        <v>44</v>
      </c>
      <c r="F401">
        <v>46.78</v>
      </c>
      <c r="G401">
        <v>1852.49</v>
      </c>
      <c r="H401">
        <v>10</v>
      </c>
      <c r="I401" t="s">
        <v>24</v>
      </c>
      <c r="J401" t="s">
        <v>25</v>
      </c>
      <c r="K401" t="s">
        <v>1130</v>
      </c>
      <c r="L401" t="s">
        <v>69</v>
      </c>
    </row>
    <row r="402" spans="1:12" x14ac:dyDescent="0.3">
      <c r="A402" t="s">
        <v>1131</v>
      </c>
      <c r="B402" t="s">
        <v>1132</v>
      </c>
      <c r="C402" t="s">
        <v>103</v>
      </c>
      <c r="D402" t="s">
        <v>35</v>
      </c>
      <c r="E402">
        <v>16</v>
      </c>
      <c r="F402">
        <v>508.04</v>
      </c>
      <c r="G402">
        <v>7315.78</v>
      </c>
      <c r="H402">
        <v>10</v>
      </c>
      <c r="I402" t="s">
        <v>24</v>
      </c>
      <c r="J402" t="s">
        <v>59</v>
      </c>
      <c r="K402" t="s">
        <v>92</v>
      </c>
      <c r="L402" t="s">
        <v>69</v>
      </c>
    </row>
    <row r="403" spans="1:12" x14ac:dyDescent="0.3">
      <c r="A403" t="s">
        <v>1133</v>
      </c>
      <c r="B403" t="s">
        <v>1134</v>
      </c>
      <c r="C403" t="s">
        <v>90</v>
      </c>
      <c r="D403" t="s">
        <v>23</v>
      </c>
      <c r="E403">
        <v>40</v>
      </c>
      <c r="F403">
        <v>43.23</v>
      </c>
      <c r="G403">
        <v>1729.2</v>
      </c>
      <c r="H403">
        <v>0</v>
      </c>
      <c r="I403" t="s">
        <v>24</v>
      </c>
      <c r="J403" t="s">
        <v>59</v>
      </c>
      <c r="K403" t="s">
        <v>374</v>
      </c>
      <c r="L403" t="s">
        <v>27</v>
      </c>
    </row>
    <row r="404" spans="1:12" x14ac:dyDescent="0.3">
      <c r="A404" t="s">
        <v>1135</v>
      </c>
      <c r="B404" t="s">
        <v>1136</v>
      </c>
      <c r="C404" t="s">
        <v>14</v>
      </c>
      <c r="D404" t="s">
        <v>15</v>
      </c>
      <c r="E404">
        <v>34</v>
      </c>
      <c r="F404">
        <v>41.92</v>
      </c>
      <c r="G404">
        <v>1354.02</v>
      </c>
      <c r="H404">
        <v>5</v>
      </c>
      <c r="I404" t="s">
        <v>16</v>
      </c>
      <c r="J404" t="s">
        <v>91</v>
      </c>
      <c r="K404" t="s">
        <v>1137</v>
      </c>
      <c r="L404" t="s">
        <v>31</v>
      </c>
    </row>
    <row r="405" spans="1:12" x14ac:dyDescent="0.3">
      <c r="A405" t="s">
        <v>1138</v>
      </c>
      <c r="B405" t="s">
        <v>1139</v>
      </c>
      <c r="C405" t="s">
        <v>103</v>
      </c>
      <c r="D405" t="s">
        <v>35</v>
      </c>
      <c r="E405">
        <v>14</v>
      </c>
      <c r="F405">
        <v>273.23</v>
      </c>
      <c r="G405">
        <v>3442.7</v>
      </c>
      <c r="H405">
        <v>10</v>
      </c>
      <c r="I405" t="s">
        <v>46</v>
      </c>
      <c r="J405" t="s">
        <v>83</v>
      </c>
      <c r="K405" t="s">
        <v>1079</v>
      </c>
      <c r="L405" t="s">
        <v>69</v>
      </c>
    </row>
    <row r="406" spans="1:12" x14ac:dyDescent="0.3">
      <c r="A406" t="s">
        <v>1140</v>
      </c>
      <c r="B406" t="s">
        <v>1141</v>
      </c>
      <c r="C406" t="s">
        <v>90</v>
      </c>
      <c r="D406" t="s">
        <v>23</v>
      </c>
      <c r="E406">
        <v>2</v>
      </c>
      <c r="F406">
        <v>41.55</v>
      </c>
      <c r="G406">
        <v>66.48</v>
      </c>
      <c r="H406">
        <v>20</v>
      </c>
      <c r="I406" t="s">
        <v>53</v>
      </c>
      <c r="J406" t="s">
        <v>67</v>
      </c>
      <c r="K406" t="s">
        <v>1142</v>
      </c>
      <c r="L406" t="s">
        <v>69</v>
      </c>
    </row>
    <row r="407" spans="1:12" x14ac:dyDescent="0.3">
      <c r="A407" t="s">
        <v>1143</v>
      </c>
      <c r="B407" t="s">
        <v>1144</v>
      </c>
      <c r="C407" t="s">
        <v>63</v>
      </c>
      <c r="D407" t="s">
        <v>15</v>
      </c>
      <c r="E407">
        <v>33</v>
      </c>
      <c r="F407">
        <v>53.39</v>
      </c>
      <c r="G407">
        <v>1673.78</v>
      </c>
      <c r="H407">
        <v>5</v>
      </c>
      <c r="I407" t="s">
        <v>46</v>
      </c>
      <c r="J407" t="s">
        <v>47</v>
      </c>
      <c r="K407" t="s">
        <v>1031</v>
      </c>
      <c r="L407" t="s">
        <v>69</v>
      </c>
    </row>
    <row r="408" spans="1:12" x14ac:dyDescent="0.3">
      <c r="A408" t="s">
        <v>1145</v>
      </c>
      <c r="B408" t="s">
        <v>1146</v>
      </c>
      <c r="C408" t="s">
        <v>99</v>
      </c>
      <c r="D408" t="s">
        <v>23</v>
      </c>
      <c r="E408">
        <v>6</v>
      </c>
      <c r="F408">
        <v>11.87</v>
      </c>
      <c r="G408">
        <v>64.099999999999994</v>
      </c>
      <c r="H408">
        <v>10</v>
      </c>
      <c r="I408" t="s">
        <v>53</v>
      </c>
      <c r="J408" t="s">
        <v>170</v>
      </c>
      <c r="K408" t="s">
        <v>1063</v>
      </c>
      <c r="L408" t="s">
        <v>31</v>
      </c>
    </row>
    <row r="409" spans="1:12" x14ac:dyDescent="0.3">
      <c r="A409" t="s">
        <v>1147</v>
      </c>
      <c r="B409" t="s">
        <v>1148</v>
      </c>
      <c r="C409" t="s">
        <v>22</v>
      </c>
      <c r="D409" t="s">
        <v>23</v>
      </c>
      <c r="E409">
        <v>32</v>
      </c>
      <c r="F409">
        <v>27.59</v>
      </c>
      <c r="G409">
        <v>794.59</v>
      </c>
      <c r="H409">
        <v>10</v>
      </c>
      <c r="I409" t="s">
        <v>16</v>
      </c>
      <c r="J409" t="s">
        <v>91</v>
      </c>
      <c r="K409" t="s">
        <v>1149</v>
      </c>
      <c r="L409" t="s">
        <v>19</v>
      </c>
    </row>
    <row r="410" spans="1:12" x14ac:dyDescent="0.3">
      <c r="A410" t="s">
        <v>1150</v>
      </c>
      <c r="B410" t="s">
        <v>1151</v>
      </c>
      <c r="C410" t="s">
        <v>82</v>
      </c>
      <c r="D410" t="s">
        <v>73</v>
      </c>
      <c r="E410">
        <v>24</v>
      </c>
      <c r="F410">
        <v>637.80999999999995</v>
      </c>
      <c r="G410">
        <v>13776.7</v>
      </c>
      <c r="H410">
        <v>10</v>
      </c>
      <c r="I410" t="s">
        <v>24</v>
      </c>
      <c r="J410" t="s">
        <v>36</v>
      </c>
      <c r="K410" t="s">
        <v>764</v>
      </c>
      <c r="L410" t="s">
        <v>69</v>
      </c>
    </row>
    <row r="411" spans="1:12" x14ac:dyDescent="0.3">
      <c r="A411" t="s">
        <v>1152</v>
      </c>
      <c r="B411" t="s">
        <v>1153</v>
      </c>
      <c r="C411" t="s">
        <v>58</v>
      </c>
      <c r="D411" t="s">
        <v>35</v>
      </c>
      <c r="E411">
        <v>42</v>
      </c>
      <c r="F411">
        <v>386.63</v>
      </c>
      <c r="G411">
        <v>15426.54</v>
      </c>
      <c r="H411">
        <v>5</v>
      </c>
      <c r="I411" t="s">
        <v>24</v>
      </c>
      <c r="J411" t="s">
        <v>59</v>
      </c>
      <c r="K411" t="s">
        <v>1154</v>
      </c>
      <c r="L411" t="s">
        <v>69</v>
      </c>
    </row>
    <row r="412" spans="1:12" x14ac:dyDescent="0.3">
      <c r="A412" t="s">
        <v>1155</v>
      </c>
      <c r="B412" t="s">
        <v>1156</v>
      </c>
      <c r="C412" t="s">
        <v>52</v>
      </c>
      <c r="D412" t="s">
        <v>35</v>
      </c>
      <c r="E412">
        <v>15</v>
      </c>
      <c r="F412">
        <v>229.27</v>
      </c>
      <c r="G412">
        <v>3439.05</v>
      </c>
      <c r="H412">
        <v>0</v>
      </c>
      <c r="I412" t="s">
        <v>24</v>
      </c>
      <c r="J412" t="s">
        <v>25</v>
      </c>
      <c r="K412" t="s">
        <v>1157</v>
      </c>
      <c r="L412" t="s">
        <v>69</v>
      </c>
    </row>
    <row r="413" spans="1:12" x14ac:dyDescent="0.3">
      <c r="A413" t="s">
        <v>1158</v>
      </c>
      <c r="B413" t="s">
        <v>1159</v>
      </c>
      <c r="C413" t="s">
        <v>34</v>
      </c>
      <c r="D413" t="s">
        <v>35</v>
      </c>
      <c r="E413">
        <v>31</v>
      </c>
      <c r="F413">
        <v>813.05</v>
      </c>
      <c r="G413">
        <v>23944.32</v>
      </c>
      <c r="H413">
        <v>5</v>
      </c>
      <c r="I413" t="s">
        <v>53</v>
      </c>
      <c r="J413" t="s">
        <v>170</v>
      </c>
      <c r="K413" t="s">
        <v>1160</v>
      </c>
      <c r="L413" t="s">
        <v>49</v>
      </c>
    </row>
    <row r="414" spans="1:12" x14ac:dyDescent="0.3">
      <c r="A414" t="s">
        <v>1161</v>
      </c>
      <c r="B414" t="s">
        <v>1162</v>
      </c>
      <c r="C414" t="s">
        <v>22</v>
      </c>
      <c r="D414" t="s">
        <v>23</v>
      </c>
      <c r="E414">
        <v>34</v>
      </c>
      <c r="F414">
        <v>32.479999999999997</v>
      </c>
      <c r="G414">
        <v>993.89</v>
      </c>
      <c r="H414">
        <v>10</v>
      </c>
      <c r="I414" t="s">
        <v>46</v>
      </c>
      <c r="J414" t="s">
        <v>124</v>
      </c>
      <c r="K414" t="s">
        <v>1163</v>
      </c>
      <c r="L414" t="s">
        <v>19</v>
      </c>
    </row>
    <row r="415" spans="1:12" x14ac:dyDescent="0.3">
      <c r="A415" t="s">
        <v>1164</v>
      </c>
      <c r="B415" t="s">
        <v>1165</v>
      </c>
      <c r="C415" t="s">
        <v>90</v>
      </c>
      <c r="D415" t="s">
        <v>23</v>
      </c>
      <c r="E415">
        <v>29</v>
      </c>
      <c r="F415">
        <v>34.770000000000003</v>
      </c>
      <c r="G415">
        <v>907.5</v>
      </c>
      <c r="H415">
        <v>10</v>
      </c>
      <c r="I415" t="s">
        <v>53</v>
      </c>
      <c r="J415" t="s">
        <v>170</v>
      </c>
      <c r="K415" t="s">
        <v>442</v>
      </c>
      <c r="L415" t="s">
        <v>69</v>
      </c>
    </row>
    <row r="416" spans="1:12" x14ac:dyDescent="0.3">
      <c r="A416" t="s">
        <v>1166</v>
      </c>
      <c r="B416" t="s">
        <v>659</v>
      </c>
      <c r="C416" t="s">
        <v>40</v>
      </c>
      <c r="D416" t="s">
        <v>23</v>
      </c>
      <c r="E416">
        <v>29</v>
      </c>
      <c r="F416">
        <v>45.1</v>
      </c>
      <c r="G416">
        <v>1307.9000000000001</v>
      </c>
      <c r="H416">
        <v>0</v>
      </c>
      <c r="I416" t="s">
        <v>16</v>
      </c>
      <c r="J416" t="s">
        <v>91</v>
      </c>
      <c r="K416" t="s">
        <v>599</v>
      </c>
      <c r="L416" t="s">
        <v>27</v>
      </c>
    </row>
    <row r="417" spans="1:12" x14ac:dyDescent="0.3">
      <c r="A417" t="s">
        <v>1167</v>
      </c>
      <c r="B417" t="s">
        <v>1168</v>
      </c>
      <c r="C417" t="s">
        <v>58</v>
      </c>
      <c r="D417" t="s">
        <v>35</v>
      </c>
      <c r="E417">
        <v>27</v>
      </c>
      <c r="F417">
        <v>345.71</v>
      </c>
      <c r="G417">
        <v>8867.4599999999991</v>
      </c>
      <c r="H417">
        <v>5</v>
      </c>
      <c r="I417" t="s">
        <v>46</v>
      </c>
      <c r="J417" t="s">
        <v>244</v>
      </c>
      <c r="K417" t="s">
        <v>92</v>
      </c>
      <c r="L417" t="s">
        <v>49</v>
      </c>
    </row>
    <row r="418" spans="1:12" x14ac:dyDescent="0.3">
      <c r="A418" t="s">
        <v>1169</v>
      </c>
      <c r="B418" t="s">
        <v>1170</v>
      </c>
      <c r="C418" t="s">
        <v>45</v>
      </c>
      <c r="D418" t="s">
        <v>23</v>
      </c>
      <c r="E418">
        <v>11</v>
      </c>
      <c r="F418">
        <v>175.53</v>
      </c>
      <c r="G418">
        <v>1544.66</v>
      </c>
      <c r="H418">
        <v>20</v>
      </c>
      <c r="I418" t="s">
        <v>24</v>
      </c>
      <c r="J418" t="s">
        <v>41</v>
      </c>
      <c r="K418" t="s">
        <v>913</v>
      </c>
      <c r="L418" t="s">
        <v>31</v>
      </c>
    </row>
    <row r="419" spans="1:12" x14ac:dyDescent="0.3">
      <c r="A419" t="s">
        <v>1171</v>
      </c>
      <c r="B419" t="s">
        <v>176</v>
      </c>
      <c r="C419" t="s">
        <v>95</v>
      </c>
      <c r="D419" t="s">
        <v>35</v>
      </c>
      <c r="E419">
        <v>14</v>
      </c>
      <c r="F419">
        <v>922.37</v>
      </c>
      <c r="G419">
        <v>10976.2</v>
      </c>
      <c r="H419">
        <v>15</v>
      </c>
      <c r="I419" t="s">
        <v>16</v>
      </c>
      <c r="J419" t="s">
        <v>160</v>
      </c>
      <c r="K419" t="s">
        <v>84</v>
      </c>
      <c r="L419" t="s">
        <v>27</v>
      </c>
    </row>
    <row r="420" spans="1:12" x14ac:dyDescent="0.3">
      <c r="A420" t="s">
        <v>1172</v>
      </c>
      <c r="B420" t="s">
        <v>1173</v>
      </c>
      <c r="C420" t="s">
        <v>90</v>
      </c>
      <c r="D420" t="s">
        <v>23</v>
      </c>
      <c r="E420">
        <v>27</v>
      </c>
      <c r="F420">
        <v>20.21</v>
      </c>
      <c r="G420">
        <v>518.39</v>
      </c>
      <c r="H420">
        <v>5</v>
      </c>
      <c r="I420" t="s">
        <v>16</v>
      </c>
      <c r="J420" t="s">
        <v>74</v>
      </c>
      <c r="K420" t="s">
        <v>1174</v>
      </c>
      <c r="L420" t="s">
        <v>69</v>
      </c>
    </row>
    <row r="421" spans="1:12" x14ac:dyDescent="0.3">
      <c r="A421" t="s">
        <v>1175</v>
      </c>
      <c r="B421" t="s">
        <v>882</v>
      </c>
      <c r="C421" t="s">
        <v>123</v>
      </c>
      <c r="D421" t="s">
        <v>15</v>
      </c>
      <c r="E421">
        <v>43</v>
      </c>
      <c r="F421">
        <v>34.79</v>
      </c>
      <c r="G421">
        <v>1421.17</v>
      </c>
      <c r="H421">
        <v>5</v>
      </c>
      <c r="I421" t="s">
        <v>16</v>
      </c>
      <c r="J421" t="s">
        <v>74</v>
      </c>
      <c r="K421" t="s">
        <v>506</v>
      </c>
      <c r="L421" t="s">
        <v>69</v>
      </c>
    </row>
    <row r="422" spans="1:12" x14ac:dyDescent="0.3">
      <c r="A422" t="s">
        <v>1176</v>
      </c>
      <c r="B422" t="s">
        <v>1177</v>
      </c>
      <c r="C422" t="s">
        <v>52</v>
      </c>
      <c r="D422" t="s">
        <v>35</v>
      </c>
      <c r="E422">
        <v>43</v>
      </c>
      <c r="F422">
        <v>255.52</v>
      </c>
      <c r="G422">
        <v>8789.89</v>
      </c>
      <c r="H422">
        <v>20</v>
      </c>
      <c r="I422" t="s">
        <v>46</v>
      </c>
      <c r="J422" t="s">
        <v>83</v>
      </c>
      <c r="K422" t="s">
        <v>1178</v>
      </c>
      <c r="L422" t="s">
        <v>49</v>
      </c>
    </row>
    <row r="423" spans="1:12" x14ac:dyDescent="0.3">
      <c r="A423" t="s">
        <v>1179</v>
      </c>
      <c r="B423" t="s">
        <v>1180</v>
      </c>
      <c r="C423" t="s">
        <v>22</v>
      </c>
      <c r="D423" t="s">
        <v>23</v>
      </c>
      <c r="E423">
        <v>45</v>
      </c>
      <c r="F423">
        <v>31.55</v>
      </c>
      <c r="G423">
        <v>1348.76</v>
      </c>
      <c r="H423">
        <v>5</v>
      </c>
      <c r="I423" t="s">
        <v>46</v>
      </c>
      <c r="J423" t="s">
        <v>47</v>
      </c>
      <c r="K423" t="s">
        <v>1181</v>
      </c>
      <c r="L423" t="s">
        <v>27</v>
      </c>
    </row>
    <row r="424" spans="1:12" x14ac:dyDescent="0.3">
      <c r="A424" t="s">
        <v>1182</v>
      </c>
      <c r="B424" t="s">
        <v>1183</v>
      </c>
      <c r="C424" t="s">
        <v>90</v>
      </c>
      <c r="D424" t="s">
        <v>23</v>
      </c>
      <c r="E424">
        <v>41</v>
      </c>
      <c r="F424">
        <v>34.549999999999997</v>
      </c>
      <c r="G424">
        <v>1416.55</v>
      </c>
      <c r="H424">
        <v>0</v>
      </c>
      <c r="I424" t="s">
        <v>24</v>
      </c>
      <c r="J424" t="s">
        <v>41</v>
      </c>
      <c r="K424" t="s">
        <v>1184</v>
      </c>
      <c r="L424" t="s">
        <v>27</v>
      </c>
    </row>
    <row r="425" spans="1:12" x14ac:dyDescent="0.3">
      <c r="A425" t="s">
        <v>1185</v>
      </c>
      <c r="B425" t="s">
        <v>1186</v>
      </c>
      <c r="C425" t="s">
        <v>34</v>
      </c>
      <c r="D425" t="s">
        <v>35</v>
      </c>
      <c r="E425">
        <v>2</v>
      </c>
      <c r="F425">
        <v>687.12</v>
      </c>
      <c r="G425">
        <v>1374.24</v>
      </c>
      <c r="H425">
        <v>0</v>
      </c>
      <c r="I425" t="s">
        <v>16</v>
      </c>
      <c r="J425" t="s">
        <v>17</v>
      </c>
      <c r="K425" t="s">
        <v>717</v>
      </c>
      <c r="L425" t="s">
        <v>19</v>
      </c>
    </row>
    <row r="426" spans="1:12" x14ac:dyDescent="0.3">
      <c r="A426" t="s">
        <v>1187</v>
      </c>
      <c r="B426" t="s">
        <v>1188</v>
      </c>
      <c r="C426" t="s">
        <v>58</v>
      </c>
      <c r="D426" t="s">
        <v>35</v>
      </c>
      <c r="E426">
        <v>20</v>
      </c>
      <c r="F426">
        <v>274.66000000000003</v>
      </c>
      <c r="G426">
        <v>4943.88</v>
      </c>
      <c r="H426">
        <v>10</v>
      </c>
      <c r="I426" t="s">
        <v>24</v>
      </c>
      <c r="J426" t="s">
        <v>25</v>
      </c>
      <c r="K426" t="s">
        <v>1189</v>
      </c>
      <c r="L426" t="s">
        <v>69</v>
      </c>
    </row>
    <row r="427" spans="1:12" x14ac:dyDescent="0.3">
      <c r="A427" t="s">
        <v>1190</v>
      </c>
      <c r="B427" t="s">
        <v>1191</v>
      </c>
      <c r="C427" t="s">
        <v>95</v>
      </c>
      <c r="D427" t="s">
        <v>35</v>
      </c>
      <c r="E427">
        <v>12</v>
      </c>
      <c r="F427">
        <v>1144.19</v>
      </c>
      <c r="G427">
        <v>13730.28</v>
      </c>
      <c r="H427">
        <v>0</v>
      </c>
      <c r="I427" t="s">
        <v>53</v>
      </c>
      <c r="J427" t="s">
        <v>170</v>
      </c>
      <c r="K427" t="s">
        <v>1192</v>
      </c>
      <c r="L427" t="s">
        <v>31</v>
      </c>
    </row>
    <row r="428" spans="1:12" x14ac:dyDescent="0.3">
      <c r="A428" t="s">
        <v>1193</v>
      </c>
      <c r="B428" t="s">
        <v>1003</v>
      </c>
      <c r="C428" t="s">
        <v>95</v>
      </c>
      <c r="D428" t="s">
        <v>35</v>
      </c>
      <c r="E428">
        <v>17</v>
      </c>
      <c r="F428">
        <v>867.67</v>
      </c>
      <c r="G428">
        <v>14750.39</v>
      </c>
      <c r="H428">
        <v>0</v>
      </c>
      <c r="I428" t="s">
        <v>24</v>
      </c>
      <c r="J428" t="s">
        <v>41</v>
      </c>
      <c r="K428" t="s">
        <v>328</v>
      </c>
      <c r="L428" t="s">
        <v>31</v>
      </c>
    </row>
    <row r="429" spans="1:12" x14ac:dyDescent="0.3">
      <c r="A429" t="s">
        <v>1194</v>
      </c>
      <c r="B429" t="s">
        <v>1195</v>
      </c>
      <c r="C429" t="s">
        <v>14</v>
      </c>
      <c r="D429" t="s">
        <v>15</v>
      </c>
      <c r="E429">
        <v>25</v>
      </c>
      <c r="F429">
        <v>78.510000000000005</v>
      </c>
      <c r="G429">
        <v>1570.2</v>
      </c>
      <c r="H429">
        <v>20</v>
      </c>
      <c r="I429" t="s">
        <v>53</v>
      </c>
      <c r="J429" t="s">
        <v>134</v>
      </c>
      <c r="K429" t="s">
        <v>910</v>
      </c>
      <c r="L429" t="s">
        <v>49</v>
      </c>
    </row>
    <row r="430" spans="1:12" x14ac:dyDescent="0.3">
      <c r="A430" t="s">
        <v>1196</v>
      </c>
      <c r="B430" t="s">
        <v>710</v>
      </c>
      <c r="C430" t="s">
        <v>90</v>
      </c>
      <c r="D430" t="s">
        <v>23</v>
      </c>
      <c r="E430">
        <v>44</v>
      </c>
      <c r="F430">
        <v>25.44</v>
      </c>
      <c r="G430">
        <v>1119.3599999999999</v>
      </c>
      <c r="H430">
        <v>0</v>
      </c>
      <c r="I430" t="s">
        <v>16</v>
      </c>
      <c r="J430" t="s">
        <v>111</v>
      </c>
      <c r="K430" t="s">
        <v>1197</v>
      </c>
      <c r="L430" t="s">
        <v>27</v>
      </c>
    </row>
    <row r="431" spans="1:12" x14ac:dyDescent="0.3">
      <c r="A431" t="s">
        <v>1198</v>
      </c>
      <c r="B431" t="s">
        <v>1199</v>
      </c>
      <c r="C431" t="s">
        <v>34</v>
      </c>
      <c r="D431" t="s">
        <v>35</v>
      </c>
      <c r="E431">
        <v>47</v>
      </c>
      <c r="F431">
        <v>588.85</v>
      </c>
      <c r="G431">
        <v>22140.76</v>
      </c>
      <c r="H431">
        <v>20</v>
      </c>
      <c r="I431" t="s">
        <v>24</v>
      </c>
      <c r="J431" t="s">
        <v>59</v>
      </c>
      <c r="K431" t="s">
        <v>303</v>
      </c>
      <c r="L431" t="s">
        <v>69</v>
      </c>
    </row>
    <row r="432" spans="1:12" x14ac:dyDescent="0.3">
      <c r="A432" t="s">
        <v>1200</v>
      </c>
      <c r="B432" t="s">
        <v>1201</v>
      </c>
      <c r="C432" t="s">
        <v>63</v>
      </c>
      <c r="D432" t="s">
        <v>15</v>
      </c>
      <c r="E432">
        <v>2</v>
      </c>
      <c r="F432">
        <v>41.01</v>
      </c>
      <c r="G432">
        <v>73.819999999999993</v>
      </c>
      <c r="H432">
        <v>10</v>
      </c>
      <c r="I432" t="s">
        <v>46</v>
      </c>
      <c r="J432" t="s">
        <v>47</v>
      </c>
      <c r="K432" t="s">
        <v>1202</v>
      </c>
      <c r="L432" t="s">
        <v>27</v>
      </c>
    </row>
    <row r="433" spans="1:12" x14ac:dyDescent="0.3">
      <c r="A433" t="s">
        <v>1203</v>
      </c>
      <c r="B433" t="s">
        <v>336</v>
      </c>
      <c r="C433" t="s">
        <v>99</v>
      </c>
      <c r="D433" t="s">
        <v>23</v>
      </c>
      <c r="E433">
        <v>15</v>
      </c>
      <c r="F433">
        <v>11.21</v>
      </c>
      <c r="G433">
        <v>142.93</v>
      </c>
      <c r="H433">
        <v>15</v>
      </c>
      <c r="I433" t="s">
        <v>16</v>
      </c>
      <c r="J433" t="s">
        <v>17</v>
      </c>
      <c r="K433" t="s">
        <v>1204</v>
      </c>
      <c r="L433" t="s">
        <v>31</v>
      </c>
    </row>
    <row r="434" spans="1:12" x14ac:dyDescent="0.3">
      <c r="A434" t="s">
        <v>1205</v>
      </c>
      <c r="B434" t="s">
        <v>1206</v>
      </c>
      <c r="C434" t="s">
        <v>123</v>
      </c>
      <c r="D434" t="s">
        <v>15</v>
      </c>
      <c r="E434">
        <v>9</v>
      </c>
      <c r="F434">
        <v>43.04</v>
      </c>
      <c r="G434">
        <v>387.36</v>
      </c>
      <c r="H434">
        <v>0</v>
      </c>
      <c r="I434" t="s">
        <v>46</v>
      </c>
      <c r="J434" t="s">
        <v>83</v>
      </c>
      <c r="K434" t="s">
        <v>1154</v>
      </c>
      <c r="L434" t="s">
        <v>27</v>
      </c>
    </row>
    <row r="435" spans="1:12" x14ac:dyDescent="0.3">
      <c r="A435" t="s">
        <v>1207</v>
      </c>
      <c r="B435" t="s">
        <v>1208</v>
      </c>
      <c r="C435" t="s">
        <v>82</v>
      </c>
      <c r="D435" t="s">
        <v>73</v>
      </c>
      <c r="E435">
        <v>21</v>
      </c>
      <c r="F435">
        <v>458.24</v>
      </c>
      <c r="G435">
        <v>9623.0400000000009</v>
      </c>
      <c r="H435">
        <v>0</v>
      </c>
      <c r="I435" t="s">
        <v>46</v>
      </c>
      <c r="J435" t="s">
        <v>78</v>
      </c>
      <c r="K435" t="s">
        <v>1197</v>
      </c>
      <c r="L435" t="s">
        <v>19</v>
      </c>
    </row>
    <row r="436" spans="1:12" x14ac:dyDescent="0.3">
      <c r="A436" t="s">
        <v>1209</v>
      </c>
      <c r="B436" t="s">
        <v>1210</v>
      </c>
      <c r="C436" t="s">
        <v>63</v>
      </c>
      <c r="D436" t="s">
        <v>15</v>
      </c>
      <c r="E436">
        <v>37</v>
      </c>
      <c r="F436">
        <v>70.73</v>
      </c>
      <c r="G436">
        <v>2355.31</v>
      </c>
      <c r="H436">
        <v>10</v>
      </c>
      <c r="I436" t="s">
        <v>53</v>
      </c>
      <c r="J436" t="s">
        <v>134</v>
      </c>
      <c r="K436" t="s">
        <v>1211</v>
      </c>
      <c r="L436" t="s">
        <v>31</v>
      </c>
    </row>
    <row r="437" spans="1:12" x14ac:dyDescent="0.3">
      <c r="A437" t="s">
        <v>1212</v>
      </c>
      <c r="B437" t="s">
        <v>1213</v>
      </c>
      <c r="C437" t="s">
        <v>95</v>
      </c>
      <c r="D437" t="s">
        <v>35</v>
      </c>
      <c r="E437">
        <v>3</v>
      </c>
      <c r="F437">
        <v>874.13</v>
      </c>
      <c r="G437">
        <v>2360.15</v>
      </c>
      <c r="H437">
        <v>10</v>
      </c>
      <c r="I437" t="s">
        <v>24</v>
      </c>
      <c r="J437" t="s">
        <v>104</v>
      </c>
      <c r="K437" t="s">
        <v>42</v>
      </c>
      <c r="L437" t="s">
        <v>31</v>
      </c>
    </row>
    <row r="438" spans="1:12" x14ac:dyDescent="0.3">
      <c r="A438" t="s">
        <v>1214</v>
      </c>
      <c r="B438" t="s">
        <v>1215</v>
      </c>
      <c r="C438" t="s">
        <v>99</v>
      </c>
      <c r="D438" t="s">
        <v>23</v>
      </c>
      <c r="E438">
        <v>48</v>
      </c>
      <c r="F438">
        <v>22.46</v>
      </c>
      <c r="G438">
        <v>916.37</v>
      </c>
      <c r="H438">
        <v>15</v>
      </c>
      <c r="I438" t="s">
        <v>53</v>
      </c>
      <c r="J438" t="s">
        <v>134</v>
      </c>
      <c r="K438" t="s">
        <v>374</v>
      </c>
      <c r="L438" t="s">
        <v>31</v>
      </c>
    </row>
    <row r="439" spans="1:12" x14ac:dyDescent="0.3">
      <c r="A439" t="s">
        <v>1216</v>
      </c>
      <c r="B439" t="s">
        <v>1217</v>
      </c>
      <c r="C439" t="s">
        <v>123</v>
      </c>
      <c r="D439" t="s">
        <v>15</v>
      </c>
      <c r="E439">
        <v>30</v>
      </c>
      <c r="F439">
        <v>17.690000000000001</v>
      </c>
      <c r="G439">
        <v>530.70000000000005</v>
      </c>
      <c r="H439">
        <v>0</v>
      </c>
      <c r="I439" t="s">
        <v>16</v>
      </c>
      <c r="J439" t="s">
        <v>111</v>
      </c>
      <c r="K439" t="s">
        <v>1218</v>
      </c>
      <c r="L439" t="s">
        <v>19</v>
      </c>
    </row>
    <row r="440" spans="1:12" x14ac:dyDescent="0.3">
      <c r="A440" t="s">
        <v>1219</v>
      </c>
      <c r="B440" t="s">
        <v>1220</v>
      </c>
      <c r="C440" t="s">
        <v>90</v>
      </c>
      <c r="D440" t="s">
        <v>23</v>
      </c>
      <c r="E440">
        <v>20</v>
      </c>
      <c r="F440">
        <v>22.38</v>
      </c>
      <c r="G440">
        <v>402.84</v>
      </c>
      <c r="H440">
        <v>10</v>
      </c>
      <c r="I440" t="s">
        <v>24</v>
      </c>
      <c r="J440" t="s">
        <v>36</v>
      </c>
      <c r="K440" t="s">
        <v>418</v>
      </c>
      <c r="L440" t="s">
        <v>49</v>
      </c>
    </row>
    <row r="441" spans="1:12" x14ac:dyDescent="0.3">
      <c r="A441" t="s">
        <v>1221</v>
      </c>
      <c r="B441" t="s">
        <v>1222</v>
      </c>
      <c r="C441" t="s">
        <v>14</v>
      </c>
      <c r="D441" t="s">
        <v>15</v>
      </c>
      <c r="E441">
        <v>11</v>
      </c>
      <c r="F441">
        <v>83.49</v>
      </c>
      <c r="G441">
        <v>918.39</v>
      </c>
      <c r="H441">
        <v>0</v>
      </c>
      <c r="I441" t="s">
        <v>16</v>
      </c>
      <c r="J441" t="s">
        <v>111</v>
      </c>
      <c r="K441" t="s">
        <v>491</v>
      </c>
      <c r="L441" t="s">
        <v>27</v>
      </c>
    </row>
    <row r="442" spans="1:12" x14ac:dyDescent="0.3">
      <c r="A442" t="s">
        <v>1223</v>
      </c>
      <c r="B442" t="s">
        <v>713</v>
      </c>
      <c r="C442" t="s">
        <v>99</v>
      </c>
      <c r="D442" t="s">
        <v>23</v>
      </c>
      <c r="E442">
        <v>7</v>
      </c>
      <c r="F442">
        <v>13.46</v>
      </c>
      <c r="G442">
        <v>84.8</v>
      </c>
      <c r="H442">
        <v>10</v>
      </c>
      <c r="I442" t="s">
        <v>24</v>
      </c>
      <c r="J442" t="s">
        <v>36</v>
      </c>
      <c r="K442" t="s">
        <v>1224</v>
      </c>
      <c r="L442" t="s">
        <v>31</v>
      </c>
    </row>
    <row r="443" spans="1:12" x14ac:dyDescent="0.3">
      <c r="A443" t="s">
        <v>1225</v>
      </c>
      <c r="B443" t="s">
        <v>865</v>
      </c>
      <c r="C443" t="s">
        <v>99</v>
      </c>
      <c r="D443" t="s">
        <v>23</v>
      </c>
      <c r="E443">
        <v>6</v>
      </c>
      <c r="F443">
        <v>16.670000000000002</v>
      </c>
      <c r="G443">
        <v>95.02</v>
      </c>
      <c r="H443">
        <v>5</v>
      </c>
      <c r="I443" t="s">
        <v>16</v>
      </c>
      <c r="J443" t="s">
        <v>160</v>
      </c>
      <c r="K443" t="s">
        <v>1226</v>
      </c>
      <c r="L443" t="s">
        <v>69</v>
      </c>
    </row>
    <row r="444" spans="1:12" x14ac:dyDescent="0.3">
      <c r="A444" t="s">
        <v>1227</v>
      </c>
      <c r="B444" t="s">
        <v>1228</v>
      </c>
      <c r="C444" t="s">
        <v>90</v>
      </c>
      <c r="D444" t="s">
        <v>23</v>
      </c>
      <c r="E444">
        <v>21</v>
      </c>
      <c r="F444">
        <v>25.15</v>
      </c>
      <c r="G444">
        <v>448.93</v>
      </c>
      <c r="H444">
        <v>15</v>
      </c>
      <c r="I444" t="s">
        <v>16</v>
      </c>
      <c r="J444" t="s">
        <v>111</v>
      </c>
      <c r="K444" t="s">
        <v>1229</v>
      </c>
      <c r="L444" t="s">
        <v>31</v>
      </c>
    </row>
    <row r="445" spans="1:12" x14ac:dyDescent="0.3">
      <c r="A445" t="s">
        <v>1230</v>
      </c>
      <c r="B445" t="s">
        <v>1231</v>
      </c>
      <c r="C445" t="s">
        <v>90</v>
      </c>
      <c r="D445" t="s">
        <v>23</v>
      </c>
      <c r="E445">
        <v>43</v>
      </c>
      <c r="F445">
        <v>20.46</v>
      </c>
      <c r="G445">
        <v>879.78</v>
      </c>
      <c r="H445">
        <v>0</v>
      </c>
      <c r="I445" t="s">
        <v>46</v>
      </c>
      <c r="J445" t="s">
        <v>83</v>
      </c>
      <c r="K445" t="s">
        <v>1232</v>
      </c>
      <c r="L445" t="s">
        <v>49</v>
      </c>
    </row>
    <row r="446" spans="1:12" x14ac:dyDescent="0.3">
      <c r="A446" t="s">
        <v>1233</v>
      </c>
      <c r="B446" t="s">
        <v>270</v>
      </c>
      <c r="C446" t="s">
        <v>52</v>
      </c>
      <c r="D446" t="s">
        <v>35</v>
      </c>
      <c r="E446">
        <v>19</v>
      </c>
      <c r="F446">
        <v>121.28</v>
      </c>
      <c r="G446">
        <v>2189.1</v>
      </c>
      <c r="H446">
        <v>5</v>
      </c>
      <c r="I446" t="s">
        <v>53</v>
      </c>
      <c r="J446" t="s">
        <v>170</v>
      </c>
      <c r="K446" t="s">
        <v>1234</v>
      </c>
      <c r="L446" t="s">
        <v>27</v>
      </c>
    </row>
    <row r="447" spans="1:12" x14ac:dyDescent="0.3">
      <c r="A447" t="s">
        <v>1235</v>
      </c>
      <c r="B447" t="s">
        <v>1236</v>
      </c>
      <c r="C447" t="s">
        <v>103</v>
      </c>
      <c r="D447" t="s">
        <v>35</v>
      </c>
      <c r="E447">
        <v>31</v>
      </c>
      <c r="F447">
        <v>548.03</v>
      </c>
      <c r="G447">
        <v>16139.48</v>
      </c>
      <c r="H447">
        <v>5</v>
      </c>
      <c r="I447" t="s">
        <v>16</v>
      </c>
      <c r="J447" t="s">
        <v>111</v>
      </c>
      <c r="K447" t="s">
        <v>761</v>
      </c>
      <c r="L447" t="s">
        <v>49</v>
      </c>
    </row>
    <row r="448" spans="1:12" x14ac:dyDescent="0.3">
      <c r="A448" t="s">
        <v>1237</v>
      </c>
      <c r="B448" t="s">
        <v>1238</v>
      </c>
      <c r="C448" t="s">
        <v>82</v>
      </c>
      <c r="D448" t="s">
        <v>73</v>
      </c>
      <c r="E448">
        <v>43</v>
      </c>
      <c r="F448">
        <v>320.12</v>
      </c>
      <c r="G448">
        <v>13076.9</v>
      </c>
      <c r="H448">
        <v>5</v>
      </c>
      <c r="I448" t="s">
        <v>16</v>
      </c>
      <c r="J448" t="s">
        <v>91</v>
      </c>
      <c r="K448" t="s">
        <v>907</v>
      </c>
      <c r="L448" t="s">
        <v>49</v>
      </c>
    </row>
    <row r="449" spans="1:12" x14ac:dyDescent="0.3">
      <c r="A449" t="s">
        <v>1239</v>
      </c>
      <c r="B449" t="s">
        <v>1240</v>
      </c>
      <c r="C449" t="s">
        <v>34</v>
      </c>
      <c r="D449" t="s">
        <v>35</v>
      </c>
      <c r="E449">
        <v>12</v>
      </c>
      <c r="F449">
        <v>430.14</v>
      </c>
      <c r="G449">
        <v>5161.68</v>
      </c>
      <c r="H449">
        <v>0</v>
      </c>
      <c r="I449" t="s">
        <v>24</v>
      </c>
      <c r="J449" t="s">
        <v>36</v>
      </c>
      <c r="K449" t="s">
        <v>1241</v>
      </c>
      <c r="L449" t="s">
        <v>27</v>
      </c>
    </row>
    <row r="450" spans="1:12" x14ac:dyDescent="0.3">
      <c r="A450" t="s">
        <v>1242</v>
      </c>
      <c r="B450" t="s">
        <v>1243</v>
      </c>
      <c r="C450" t="s">
        <v>58</v>
      </c>
      <c r="D450" t="s">
        <v>35</v>
      </c>
      <c r="E450">
        <v>23</v>
      </c>
      <c r="F450">
        <v>265.18</v>
      </c>
      <c r="G450">
        <v>6099.14</v>
      </c>
      <c r="H450">
        <v>0</v>
      </c>
      <c r="I450" t="s">
        <v>46</v>
      </c>
      <c r="J450" t="s">
        <v>83</v>
      </c>
      <c r="K450" t="s">
        <v>354</v>
      </c>
      <c r="L450" t="s">
        <v>49</v>
      </c>
    </row>
    <row r="451" spans="1:12" x14ac:dyDescent="0.3">
      <c r="A451" t="s">
        <v>1244</v>
      </c>
      <c r="B451" t="s">
        <v>1245</v>
      </c>
      <c r="C451" t="s">
        <v>90</v>
      </c>
      <c r="D451" t="s">
        <v>23</v>
      </c>
      <c r="E451">
        <v>41</v>
      </c>
      <c r="F451">
        <v>22.26</v>
      </c>
      <c r="G451">
        <v>912.66</v>
      </c>
      <c r="H451">
        <v>0</v>
      </c>
      <c r="I451" t="s">
        <v>24</v>
      </c>
      <c r="J451" t="s">
        <v>104</v>
      </c>
      <c r="K451" t="s">
        <v>1246</v>
      </c>
      <c r="L451" t="s">
        <v>69</v>
      </c>
    </row>
    <row r="452" spans="1:12" x14ac:dyDescent="0.3">
      <c r="A452" t="s">
        <v>1247</v>
      </c>
      <c r="B452" t="s">
        <v>1165</v>
      </c>
      <c r="C452" t="s">
        <v>34</v>
      </c>
      <c r="D452" t="s">
        <v>35</v>
      </c>
      <c r="E452">
        <v>38</v>
      </c>
      <c r="F452">
        <v>698.78</v>
      </c>
      <c r="G452">
        <v>26553.64</v>
      </c>
      <c r="H452">
        <v>0</v>
      </c>
      <c r="I452" t="s">
        <v>16</v>
      </c>
      <c r="J452" t="s">
        <v>17</v>
      </c>
      <c r="K452" t="s">
        <v>1248</v>
      </c>
      <c r="L452" t="s">
        <v>19</v>
      </c>
    </row>
    <row r="453" spans="1:12" x14ac:dyDescent="0.3">
      <c r="A453" t="s">
        <v>1249</v>
      </c>
      <c r="B453" t="s">
        <v>1250</v>
      </c>
      <c r="C453" t="s">
        <v>14</v>
      </c>
      <c r="D453" t="s">
        <v>15</v>
      </c>
      <c r="E453">
        <v>32</v>
      </c>
      <c r="F453">
        <v>41.47</v>
      </c>
      <c r="G453">
        <v>1327.04</v>
      </c>
      <c r="H453">
        <v>0</v>
      </c>
      <c r="I453" t="s">
        <v>53</v>
      </c>
      <c r="J453" t="s">
        <v>141</v>
      </c>
      <c r="K453" t="s">
        <v>436</v>
      </c>
      <c r="L453" t="s">
        <v>27</v>
      </c>
    </row>
    <row r="454" spans="1:12" x14ac:dyDescent="0.3">
      <c r="A454" t="s">
        <v>1251</v>
      </c>
      <c r="B454" t="s">
        <v>1252</v>
      </c>
      <c r="C454" t="s">
        <v>82</v>
      </c>
      <c r="D454" t="s">
        <v>73</v>
      </c>
      <c r="E454">
        <v>2</v>
      </c>
      <c r="F454">
        <v>356.65</v>
      </c>
      <c r="G454">
        <v>677.63</v>
      </c>
      <c r="H454">
        <v>5</v>
      </c>
      <c r="I454" t="s">
        <v>46</v>
      </c>
      <c r="J454" t="s">
        <v>47</v>
      </c>
      <c r="K454" t="s">
        <v>1253</v>
      </c>
      <c r="L454" t="s">
        <v>69</v>
      </c>
    </row>
    <row r="455" spans="1:12" x14ac:dyDescent="0.3">
      <c r="A455" t="s">
        <v>1254</v>
      </c>
      <c r="B455" t="s">
        <v>1255</v>
      </c>
      <c r="C455" t="s">
        <v>34</v>
      </c>
      <c r="D455" t="s">
        <v>35</v>
      </c>
      <c r="E455">
        <v>16</v>
      </c>
      <c r="F455">
        <v>719.42</v>
      </c>
      <c r="G455">
        <v>11510.72</v>
      </c>
      <c r="H455">
        <v>0</v>
      </c>
      <c r="I455" t="s">
        <v>46</v>
      </c>
      <c r="J455" t="s">
        <v>47</v>
      </c>
      <c r="K455" t="s">
        <v>714</v>
      </c>
      <c r="L455" t="s">
        <v>19</v>
      </c>
    </row>
    <row r="456" spans="1:12" x14ac:dyDescent="0.3">
      <c r="A456" t="s">
        <v>1256</v>
      </c>
      <c r="B456" t="s">
        <v>1257</v>
      </c>
      <c r="C456" t="s">
        <v>34</v>
      </c>
      <c r="D456" t="s">
        <v>35</v>
      </c>
      <c r="E456">
        <v>1</v>
      </c>
      <c r="F456">
        <v>749.45</v>
      </c>
      <c r="G456">
        <v>599.55999999999995</v>
      </c>
      <c r="H456">
        <v>20</v>
      </c>
      <c r="I456" t="s">
        <v>16</v>
      </c>
      <c r="J456" t="s">
        <v>91</v>
      </c>
      <c r="K456" t="s">
        <v>1211</v>
      </c>
      <c r="L456" t="s">
        <v>69</v>
      </c>
    </row>
    <row r="457" spans="1:12" x14ac:dyDescent="0.3">
      <c r="A457" t="s">
        <v>1258</v>
      </c>
      <c r="B457" t="s">
        <v>1259</v>
      </c>
      <c r="C457" t="s">
        <v>95</v>
      </c>
      <c r="D457" t="s">
        <v>35</v>
      </c>
      <c r="E457">
        <v>31</v>
      </c>
      <c r="F457">
        <v>1173.43</v>
      </c>
      <c r="G457">
        <v>29101.06</v>
      </c>
      <c r="H457">
        <v>20</v>
      </c>
      <c r="I457" t="s">
        <v>16</v>
      </c>
      <c r="J457" t="s">
        <v>74</v>
      </c>
      <c r="K457" t="s">
        <v>1260</v>
      </c>
      <c r="L457" t="s">
        <v>69</v>
      </c>
    </row>
    <row r="458" spans="1:12" x14ac:dyDescent="0.3">
      <c r="A458" t="s">
        <v>1261</v>
      </c>
      <c r="B458" t="s">
        <v>1262</v>
      </c>
      <c r="C458" t="s">
        <v>103</v>
      </c>
      <c r="D458" t="s">
        <v>35</v>
      </c>
      <c r="E458">
        <v>42</v>
      </c>
      <c r="F458">
        <v>266.86</v>
      </c>
      <c r="G458">
        <v>10087.31</v>
      </c>
      <c r="H458">
        <v>10</v>
      </c>
      <c r="I458" t="s">
        <v>16</v>
      </c>
      <c r="J458" t="s">
        <v>91</v>
      </c>
      <c r="K458" t="s">
        <v>436</v>
      </c>
      <c r="L458" t="s">
        <v>69</v>
      </c>
    </row>
    <row r="459" spans="1:12" x14ac:dyDescent="0.3">
      <c r="A459" t="s">
        <v>1263</v>
      </c>
      <c r="B459" t="s">
        <v>1264</v>
      </c>
      <c r="C459" t="s">
        <v>82</v>
      </c>
      <c r="D459" t="s">
        <v>73</v>
      </c>
      <c r="E459">
        <v>37</v>
      </c>
      <c r="F459">
        <v>455.64</v>
      </c>
      <c r="G459">
        <v>16858.68</v>
      </c>
      <c r="H459">
        <v>0</v>
      </c>
      <c r="I459" t="s">
        <v>16</v>
      </c>
      <c r="J459" t="s">
        <v>17</v>
      </c>
      <c r="K459" t="s">
        <v>942</v>
      </c>
      <c r="L459" t="s">
        <v>49</v>
      </c>
    </row>
    <row r="460" spans="1:12" x14ac:dyDescent="0.3">
      <c r="A460" t="s">
        <v>1265</v>
      </c>
      <c r="B460" t="s">
        <v>1266</v>
      </c>
      <c r="C460" t="s">
        <v>90</v>
      </c>
      <c r="D460" t="s">
        <v>23</v>
      </c>
      <c r="E460">
        <v>37</v>
      </c>
      <c r="F460">
        <v>22.3</v>
      </c>
      <c r="G460">
        <v>742.59</v>
      </c>
      <c r="H460">
        <v>10</v>
      </c>
      <c r="I460" t="s">
        <v>24</v>
      </c>
      <c r="J460" t="s">
        <v>104</v>
      </c>
      <c r="K460" t="s">
        <v>1267</v>
      </c>
      <c r="L460" t="s">
        <v>19</v>
      </c>
    </row>
    <row r="461" spans="1:12" x14ac:dyDescent="0.3">
      <c r="A461" t="s">
        <v>1268</v>
      </c>
      <c r="B461" t="s">
        <v>1269</v>
      </c>
      <c r="C461" t="s">
        <v>123</v>
      </c>
      <c r="D461" t="s">
        <v>15</v>
      </c>
      <c r="E461">
        <v>9</v>
      </c>
      <c r="F461">
        <v>15.36</v>
      </c>
      <c r="G461">
        <v>138.24</v>
      </c>
      <c r="H461">
        <v>0</v>
      </c>
      <c r="I461" t="s">
        <v>24</v>
      </c>
      <c r="J461" t="s">
        <v>59</v>
      </c>
      <c r="K461" t="s">
        <v>1270</v>
      </c>
      <c r="L461" t="s">
        <v>19</v>
      </c>
    </row>
    <row r="462" spans="1:12" x14ac:dyDescent="0.3">
      <c r="A462" t="s">
        <v>1271</v>
      </c>
      <c r="B462" t="s">
        <v>1272</v>
      </c>
      <c r="C462" t="s">
        <v>45</v>
      </c>
      <c r="D462" t="s">
        <v>23</v>
      </c>
      <c r="E462">
        <v>4</v>
      </c>
      <c r="F462">
        <v>121.73</v>
      </c>
      <c r="G462">
        <v>462.57</v>
      </c>
      <c r="H462">
        <v>5</v>
      </c>
      <c r="I462" t="s">
        <v>16</v>
      </c>
      <c r="J462" t="s">
        <v>91</v>
      </c>
      <c r="K462" t="s">
        <v>1273</v>
      </c>
      <c r="L462" t="s">
        <v>19</v>
      </c>
    </row>
    <row r="463" spans="1:12" x14ac:dyDescent="0.3">
      <c r="A463" t="s">
        <v>1274</v>
      </c>
      <c r="B463" t="s">
        <v>1275</v>
      </c>
      <c r="C463" t="s">
        <v>123</v>
      </c>
      <c r="D463" t="s">
        <v>15</v>
      </c>
      <c r="E463">
        <v>41</v>
      </c>
      <c r="F463">
        <v>36.479999999999997</v>
      </c>
      <c r="G463">
        <v>1196.54</v>
      </c>
      <c r="H463">
        <v>20</v>
      </c>
      <c r="I463" t="s">
        <v>46</v>
      </c>
      <c r="J463" t="s">
        <v>244</v>
      </c>
      <c r="K463" t="s">
        <v>497</v>
      </c>
      <c r="L463" t="s">
        <v>69</v>
      </c>
    </row>
    <row r="464" spans="1:12" x14ac:dyDescent="0.3">
      <c r="A464" t="s">
        <v>1276</v>
      </c>
      <c r="B464" t="s">
        <v>1277</v>
      </c>
      <c r="C464" t="s">
        <v>95</v>
      </c>
      <c r="D464" t="s">
        <v>35</v>
      </c>
      <c r="E464">
        <v>19</v>
      </c>
      <c r="F464">
        <v>862.05</v>
      </c>
      <c r="G464">
        <v>15560</v>
      </c>
      <c r="H464">
        <v>5</v>
      </c>
      <c r="I464" t="s">
        <v>24</v>
      </c>
      <c r="J464" t="s">
        <v>59</v>
      </c>
      <c r="K464" t="s">
        <v>337</v>
      </c>
      <c r="L464" t="s">
        <v>27</v>
      </c>
    </row>
    <row r="465" spans="1:12" x14ac:dyDescent="0.3">
      <c r="A465" t="s">
        <v>1278</v>
      </c>
      <c r="B465" t="s">
        <v>1279</v>
      </c>
      <c r="C465" t="s">
        <v>82</v>
      </c>
      <c r="D465" t="s">
        <v>73</v>
      </c>
      <c r="E465">
        <v>12</v>
      </c>
      <c r="F465">
        <v>360.39</v>
      </c>
      <c r="G465">
        <v>4324.68</v>
      </c>
      <c r="H465">
        <v>0</v>
      </c>
      <c r="I465" t="s">
        <v>24</v>
      </c>
      <c r="J465" t="s">
        <v>36</v>
      </c>
      <c r="K465" t="s">
        <v>1280</v>
      </c>
      <c r="L465" t="s">
        <v>31</v>
      </c>
    </row>
    <row r="466" spans="1:12" x14ac:dyDescent="0.3">
      <c r="A466" t="s">
        <v>1281</v>
      </c>
      <c r="B466" t="s">
        <v>238</v>
      </c>
      <c r="C466" t="s">
        <v>123</v>
      </c>
      <c r="D466" t="s">
        <v>15</v>
      </c>
      <c r="E466">
        <v>12</v>
      </c>
      <c r="F466">
        <v>24.64</v>
      </c>
      <c r="G466">
        <v>295.68</v>
      </c>
      <c r="H466">
        <v>0</v>
      </c>
      <c r="I466" t="s">
        <v>16</v>
      </c>
      <c r="J466" t="s">
        <v>111</v>
      </c>
      <c r="K466" t="s">
        <v>1241</v>
      </c>
      <c r="L466" t="s">
        <v>49</v>
      </c>
    </row>
    <row r="467" spans="1:12" x14ac:dyDescent="0.3">
      <c r="A467" t="s">
        <v>1282</v>
      </c>
      <c r="B467" t="s">
        <v>941</v>
      </c>
      <c r="C467" t="s">
        <v>123</v>
      </c>
      <c r="D467" t="s">
        <v>15</v>
      </c>
      <c r="E467">
        <v>40</v>
      </c>
      <c r="F467">
        <v>22.75</v>
      </c>
      <c r="G467">
        <v>910</v>
      </c>
      <c r="H467">
        <v>0</v>
      </c>
      <c r="I467" t="s">
        <v>46</v>
      </c>
      <c r="J467" t="s">
        <v>47</v>
      </c>
      <c r="K467" t="s">
        <v>1283</v>
      </c>
      <c r="L467" t="s">
        <v>31</v>
      </c>
    </row>
    <row r="468" spans="1:12" x14ac:dyDescent="0.3">
      <c r="A468" t="s">
        <v>1284</v>
      </c>
      <c r="B468" t="s">
        <v>1285</v>
      </c>
      <c r="C468" t="s">
        <v>52</v>
      </c>
      <c r="D468" t="s">
        <v>35</v>
      </c>
      <c r="E468">
        <v>42</v>
      </c>
      <c r="F468">
        <v>356.62</v>
      </c>
      <c r="G468">
        <v>14229.14</v>
      </c>
      <c r="H468">
        <v>5</v>
      </c>
      <c r="I468" t="s">
        <v>53</v>
      </c>
      <c r="J468" t="s">
        <v>170</v>
      </c>
      <c r="K468" t="s">
        <v>1286</v>
      </c>
      <c r="L468" t="s">
        <v>31</v>
      </c>
    </row>
    <row r="469" spans="1:12" x14ac:dyDescent="0.3">
      <c r="A469" t="s">
        <v>1287</v>
      </c>
      <c r="B469" t="s">
        <v>1288</v>
      </c>
      <c r="C469" t="s">
        <v>90</v>
      </c>
      <c r="D469" t="s">
        <v>23</v>
      </c>
      <c r="E469">
        <v>13</v>
      </c>
      <c r="F469">
        <v>15.1</v>
      </c>
      <c r="G469">
        <v>196.3</v>
      </c>
      <c r="H469">
        <v>0</v>
      </c>
      <c r="I469" t="s">
        <v>46</v>
      </c>
      <c r="J469" t="s">
        <v>47</v>
      </c>
      <c r="K469" t="s">
        <v>812</v>
      </c>
      <c r="L469" t="s">
        <v>27</v>
      </c>
    </row>
    <row r="470" spans="1:12" x14ac:dyDescent="0.3">
      <c r="A470" t="s">
        <v>1289</v>
      </c>
      <c r="B470" t="s">
        <v>1290</v>
      </c>
      <c r="C470" t="s">
        <v>99</v>
      </c>
      <c r="D470" t="s">
        <v>23</v>
      </c>
      <c r="E470">
        <v>50</v>
      </c>
      <c r="F470">
        <v>25.63</v>
      </c>
      <c r="G470">
        <v>1153.3499999999999</v>
      </c>
      <c r="H470">
        <v>10</v>
      </c>
      <c r="I470" t="s">
        <v>16</v>
      </c>
      <c r="J470" t="s">
        <v>17</v>
      </c>
      <c r="K470" t="s">
        <v>1291</v>
      </c>
      <c r="L470" t="s">
        <v>31</v>
      </c>
    </row>
    <row r="471" spans="1:12" x14ac:dyDescent="0.3">
      <c r="A471" t="s">
        <v>1292</v>
      </c>
      <c r="B471" t="s">
        <v>253</v>
      </c>
      <c r="C471" t="s">
        <v>103</v>
      </c>
      <c r="D471" t="s">
        <v>35</v>
      </c>
      <c r="E471">
        <v>22</v>
      </c>
      <c r="F471">
        <v>451.42</v>
      </c>
      <c r="G471">
        <v>9434.68</v>
      </c>
      <c r="H471">
        <v>5</v>
      </c>
      <c r="I471" t="s">
        <v>24</v>
      </c>
      <c r="J471" t="s">
        <v>41</v>
      </c>
      <c r="K471" t="s">
        <v>1293</v>
      </c>
      <c r="L471" t="s">
        <v>27</v>
      </c>
    </row>
    <row r="472" spans="1:12" x14ac:dyDescent="0.3">
      <c r="A472" t="s">
        <v>1294</v>
      </c>
      <c r="B472" t="s">
        <v>1295</v>
      </c>
      <c r="C472" t="s">
        <v>95</v>
      </c>
      <c r="D472" t="s">
        <v>35</v>
      </c>
      <c r="E472">
        <v>8</v>
      </c>
      <c r="F472">
        <v>1196.98</v>
      </c>
      <c r="G472">
        <v>9097.0499999999993</v>
      </c>
      <c r="H472">
        <v>5</v>
      </c>
      <c r="I472" t="s">
        <v>24</v>
      </c>
      <c r="J472" t="s">
        <v>41</v>
      </c>
      <c r="K472" t="s">
        <v>1296</v>
      </c>
      <c r="L472" t="s">
        <v>27</v>
      </c>
    </row>
    <row r="473" spans="1:12" x14ac:dyDescent="0.3">
      <c r="A473" t="s">
        <v>1297</v>
      </c>
      <c r="B473" t="s">
        <v>1298</v>
      </c>
      <c r="C473" t="s">
        <v>58</v>
      </c>
      <c r="D473" t="s">
        <v>35</v>
      </c>
      <c r="E473">
        <v>43</v>
      </c>
      <c r="F473">
        <v>332.79</v>
      </c>
      <c r="G473">
        <v>13594.47</v>
      </c>
      <c r="H473">
        <v>5</v>
      </c>
      <c r="I473" t="s">
        <v>16</v>
      </c>
      <c r="J473" t="s">
        <v>17</v>
      </c>
      <c r="K473" t="s">
        <v>1299</v>
      </c>
      <c r="L473" t="s">
        <v>19</v>
      </c>
    </row>
    <row r="474" spans="1:12" x14ac:dyDescent="0.3">
      <c r="A474" t="s">
        <v>1300</v>
      </c>
      <c r="B474" t="s">
        <v>517</v>
      </c>
      <c r="C474" t="s">
        <v>52</v>
      </c>
      <c r="D474" t="s">
        <v>35</v>
      </c>
      <c r="E474">
        <v>38</v>
      </c>
      <c r="F474">
        <v>299.82</v>
      </c>
      <c r="G474">
        <v>11393.16</v>
      </c>
      <c r="H474">
        <v>0</v>
      </c>
      <c r="I474" t="s">
        <v>24</v>
      </c>
      <c r="J474" t="s">
        <v>59</v>
      </c>
      <c r="K474" t="s">
        <v>1301</v>
      </c>
      <c r="L474" t="s">
        <v>27</v>
      </c>
    </row>
    <row r="475" spans="1:12" x14ac:dyDescent="0.3">
      <c r="A475" t="s">
        <v>1302</v>
      </c>
      <c r="B475" t="s">
        <v>1303</v>
      </c>
      <c r="C475" t="s">
        <v>52</v>
      </c>
      <c r="D475" t="s">
        <v>35</v>
      </c>
      <c r="E475">
        <v>10</v>
      </c>
      <c r="F475">
        <v>296.54000000000002</v>
      </c>
      <c r="G475">
        <v>2668.86</v>
      </c>
      <c r="H475">
        <v>10</v>
      </c>
      <c r="I475" t="s">
        <v>46</v>
      </c>
      <c r="J475" t="s">
        <v>124</v>
      </c>
      <c r="K475" t="s">
        <v>833</v>
      </c>
      <c r="L475" t="s">
        <v>19</v>
      </c>
    </row>
    <row r="476" spans="1:12" x14ac:dyDescent="0.3">
      <c r="A476" t="s">
        <v>1304</v>
      </c>
      <c r="B476" t="s">
        <v>1305</v>
      </c>
      <c r="C476" t="s">
        <v>45</v>
      </c>
      <c r="D476" t="s">
        <v>23</v>
      </c>
      <c r="E476">
        <v>5</v>
      </c>
      <c r="F476">
        <v>171.65</v>
      </c>
      <c r="G476">
        <v>858.25</v>
      </c>
      <c r="H476">
        <v>0</v>
      </c>
      <c r="I476" t="s">
        <v>16</v>
      </c>
      <c r="J476" t="s">
        <v>74</v>
      </c>
      <c r="K476" t="s">
        <v>961</v>
      </c>
      <c r="L476" t="s">
        <v>69</v>
      </c>
    </row>
    <row r="477" spans="1:12" x14ac:dyDescent="0.3">
      <c r="A477" t="s">
        <v>1306</v>
      </c>
      <c r="B477" t="s">
        <v>1307</v>
      </c>
      <c r="C477" t="s">
        <v>95</v>
      </c>
      <c r="D477" t="s">
        <v>35</v>
      </c>
      <c r="E477">
        <v>5</v>
      </c>
      <c r="F477">
        <v>834.19</v>
      </c>
      <c r="G477">
        <v>3545.31</v>
      </c>
      <c r="H477">
        <v>15</v>
      </c>
      <c r="I477" t="s">
        <v>46</v>
      </c>
      <c r="J477" t="s">
        <v>78</v>
      </c>
      <c r="K477" t="s">
        <v>955</v>
      </c>
      <c r="L477" t="s">
        <v>27</v>
      </c>
    </row>
    <row r="478" spans="1:12" x14ac:dyDescent="0.3">
      <c r="A478" t="s">
        <v>1308</v>
      </c>
      <c r="B478" t="s">
        <v>1309</v>
      </c>
      <c r="C478" t="s">
        <v>82</v>
      </c>
      <c r="D478" t="s">
        <v>73</v>
      </c>
      <c r="E478">
        <v>16</v>
      </c>
      <c r="F478">
        <v>577.67999999999995</v>
      </c>
      <c r="G478">
        <v>9242.8799999999992</v>
      </c>
      <c r="H478">
        <v>0</v>
      </c>
      <c r="I478" t="s">
        <v>24</v>
      </c>
      <c r="J478" t="s">
        <v>104</v>
      </c>
      <c r="K478" t="s">
        <v>1310</v>
      </c>
      <c r="L478" t="s">
        <v>27</v>
      </c>
    </row>
    <row r="479" spans="1:12" x14ac:dyDescent="0.3">
      <c r="A479" t="s">
        <v>1311</v>
      </c>
      <c r="B479" t="s">
        <v>1312</v>
      </c>
      <c r="C479" t="s">
        <v>52</v>
      </c>
      <c r="D479" t="s">
        <v>35</v>
      </c>
      <c r="E479">
        <v>38</v>
      </c>
      <c r="F479">
        <v>109.79</v>
      </c>
      <c r="G479">
        <v>3754.82</v>
      </c>
      <c r="H479">
        <v>10</v>
      </c>
      <c r="I479" t="s">
        <v>53</v>
      </c>
      <c r="J479" t="s">
        <v>67</v>
      </c>
      <c r="K479" t="s">
        <v>1313</v>
      </c>
      <c r="L479" t="s">
        <v>49</v>
      </c>
    </row>
    <row r="480" spans="1:12" x14ac:dyDescent="0.3">
      <c r="A480" t="s">
        <v>1314</v>
      </c>
      <c r="B480" t="s">
        <v>1315</v>
      </c>
      <c r="C480" t="s">
        <v>82</v>
      </c>
      <c r="D480" t="s">
        <v>73</v>
      </c>
      <c r="E480">
        <v>3</v>
      </c>
      <c r="F480">
        <v>617.09</v>
      </c>
      <c r="G480">
        <v>1666.14</v>
      </c>
      <c r="H480">
        <v>10</v>
      </c>
      <c r="I480" t="s">
        <v>53</v>
      </c>
      <c r="J480" t="s">
        <v>67</v>
      </c>
      <c r="K480" t="s">
        <v>1218</v>
      </c>
      <c r="L480" t="s">
        <v>19</v>
      </c>
    </row>
    <row r="481" spans="1:12" x14ac:dyDescent="0.3">
      <c r="A481" t="s">
        <v>1316</v>
      </c>
      <c r="B481" t="s">
        <v>1317</v>
      </c>
      <c r="C481" t="s">
        <v>63</v>
      </c>
      <c r="D481" t="s">
        <v>15</v>
      </c>
      <c r="E481">
        <v>45</v>
      </c>
      <c r="F481">
        <v>34.86</v>
      </c>
      <c r="G481">
        <v>1490.27</v>
      </c>
      <c r="H481">
        <v>5</v>
      </c>
      <c r="I481" t="s">
        <v>24</v>
      </c>
      <c r="J481" t="s">
        <v>104</v>
      </c>
      <c r="K481" t="s">
        <v>1318</v>
      </c>
      <c r="L481" t="s">
        <v>31</v>
      </c>
    </row>
    <row r="482" spans="1:12" x14ac:dyDescent="0.3">
      <c r="A482" t="s">
        <v>1319</v>
      </c>
      <c r="B482" t="s">
        <v>1320</v>
      </c>
      <c r="C482" t="s">
        <v>90</v>
      </c>
      <c r="D482" t="s">
        <v>23</v>
      </c>
      <c r="E482">
        <v>45</v>
      </c>
      <c r="F482">
        <v>29.49</v>
      </c>
      <c r="G482">
        <v>1194.3499999999999</v>
      </c>
      <c r="H482">
        <v>10</v>
      </c>
      <c r="I482" t="s">
        <v>16</v>
      </c>
      <c r="J482" t="s">
        <v>160</v>
      </c>
      <c r="K482" t="s">
        <v>542</v>
      </c>
      <c r="L482" t="s">
        <v>27</v>
      </c>
    </row>
    <row r="483" spans="1:12" x14ac:dyDescent="0.3">
      <c r="A483" t="s">
        <v>1321</v>
      </c>
      <c r="B483" t="s">
        <v>1322</v>
      </c>
      <c r="C483" t="s">
        <v>90</v>
      </c>
      <c r="D483" t="s">
        <v>23</v>
      </c>
      <c r="E483">
        <v>46</v>
      </c>
      <c r="F483">
        <v>20.75</v>
      </c>
      <c r="G483">
        <v>811.33</v>
      </c>
      <c r="H483">
        <v>15</v>
      </c>
      <c r="I483" t="s">
        <v>46</v>
      </c>
      <c r="J483" t="s">
        <v>83</v>
      </c>
      <c r="K483" t="s">
        <v>1323</v>
      </c>
      <c r="L483" t="s">
        <v>49</v>
      </c>
    </row>
    <row r="484" spans="1:12" x14ac:dyDescent="0.3">
      <c r="A484" t="s">
        <v>1324</v>
      </c>
      <c r="B484" t="s">
        <v>1325</v>
      </c>
      <c r="C484" t="s">
        <v>123</v>
      </c>
      <c r="D484" t="s">
        <v>15</v>
      </c>
      <c r="E484">
        <v>21</v>
      </c>
      <c r="F484">
        <v>26.95</v>
      </c>
      <c r="G484">
        <v>509.35</v>
      </c>
      <c r="H484">
        <v>10</v>
      </c>
      <c r="I484" t="s">
        <v>24</v>
      </c>
      <c r="J484" t="s">
        <v>41</v>
      </c>
      <c r="K484" t="s">
        <v>1326</v>
      </c>
      <c r="L484" t="s">
        <v>49</v>
      </c>
    </row>
    <row r="485" spans="1:12" x14ac:dyDescent="0.3">
      <c r="A485" t="s">
        <v>1327</v>
      </c>
      <c r="B485" t="s">
        <v>1328</v>
      </c>
      <c r="C485" t="s">
        <v>58</v>
      </c>
      <c r="D485" t="s">
        <v>35</v>
      </c>
      <c r="E485">
        <v>21</v>
      </c>
      <c r="F485">
        <v>326.62</v>
      </c>
      <c r="G485">
        <v>6859.02</v>
      </c>
      <c r="H485">
        <v>0</v>
      </c>
      <c r="I485" t="s">
        <v>16</v>
      </c>
      <c r="J485" t="s">
        <v>74</v>
      </c>
      <c r="K485" t="s">
        <v>1130</v>
      </c>
      <c r="L485" t="s">
        <v>49</v>
      </c>
    </row>
    <row r="486" spans="1:12" x14ac:dyDescent="0.3">
      <c r="A486" t="s">
        <v>1329</v>
      </c>
      <c r="B486" t="s">
        <v>1330</v>
      </c>
      <c r="C486" t="s">
        <v>99</v>
      </c>
      <c r="D486" t="s">
        <v>23</v>
      </c>
      <c r="E486">
        <v>1</v>
      </c>
      <c r="F486">
        <v>19.72</v>
      </c>
      <c r="G486">
        <v>19.72</v>
      </c>
      <c r="H486">
        <v>0</v>
      </c>
      <c r="I486" t="s">
        <v>53</v>
      </c>
      <c r="J486" t="s">
        <v>134</v>
      </c>
      <c r="K486" t="s">
        <v>1331</v>
      </c>
      <c r="L486" t="s">
        <v>31</v>
      </c>
    </row>
    <row r="487" spans="1:12" x14ac:dyDescent="0.3">
      <c r="A487" t="s">
        <v>1332</v>
      </c>
      <c r="B487" t="s">
        <v>1333</v>
      </c>
      <c r="C487" t="s">
        <v>99</v>
      </c>
      <c r="D487" t="s">
        <v>23</v>
      </c>
      <c r="E487">
        <v>18</v>
      </c>
      <c r="F487">
        <v>28.03</v>
      </c>
      <c r="G487">
        <v>479.31</v>
      </c>
      <c r="H487">
        <v>5</v>
      </c>
      <c r="I487" t="s">
        <v>53</v>
      </c>
      <c r="J487" t="s">
        <v>54</v>
      </c>
      <c r="K487" t="s">
        <v>145</v>
      </c>
      <c r="L487" t="s">
        <v>31</v>
      </c>
    </row>
    <row r="488" spans="1:12" x14ac:dyDescent="0.3">
      <c r="A488" t="s">
        <v>1334</v>
      </c>
      <c r="B488" t="s">
        <v>411</v>
      </c>
      <c r="C488" t="s">
        <v>34</v>
      </c>
      <c r="D488" t="s">
        <v>35</v>
      </c>
      <c r="E488">
        <v>44</v>
      </c>
      <c r="F488">
        <v>531.12</v>
      </c>
      <c r="G488">
        <v>23369.279999999999</v>
      </c>
      <c r="H488">
        <v>0</v>
      </c>
      <c r="I488" t="s">
        <v>16</v>
      </c>
      <c r="J488" t="s">
        <v>111</v>
      </c>
      <c r="K488" t="s">
        <v>500</v>
      </c>
      <c r="L488" t="s">
        <v>19</v>
      </c>
    </row>
    <row r="489" spans="1:12" x14ac:dyDescent="0.3">
      <c r="A489" t="s">
        <v>1335</v>
      </c>
      <c r="B489" t="s">
        <v>1336</v>
      </c>
      <c r="C489" t="s">
        <v>14</v>
      </c>
      <c r="D489" t="s">
        <v>15</v>
      </c>
      <c r="E489">
        <v>49</v>
      </c>
      <c r="F489">
        <v>93.2</v>
      </c>
      <c r="G489">
        <v>4566.8</v>
      </c>
      <c r="H489">
        <v>0</v>
      </c>
      <c r="I489" t="s">
        <v>46</v>
      </c>
      <c r="J489" t="s">
        <v>244</v>
      </c>
      <c r="K489" t="s">
        <v>999</v>
      </c>
      <c r="L489" t="s">
        <v>31</v>
      </c>
    </row>
    <row r="490" spans="1:12" x14ac:dyDescent="0.3">
      <c r="A490" t="s">
        <v>1337</v>
      </c>
      <c r="B490" t="s">
        <v>1338</v>
      </c>
      <c r="C490" t="s">
        <v>95</v>
      </c>
      <c r="D490" t="s">
        <v>35</v>
      </c>
      <c r="E490">
        <v>14</v>
      </c>
      <c r="F490">
        <v>1059.8599999999999</v>
      </c>
      <c r="G490">
        <v>14838.04</v>
      </c>
      <c r="H490">
        <v>0</v>
      </c>
      <c r="I490" t="s">
        <v>24</v>
      </c>
      <c r="J490" t="s">
        <v>104</v>
      </c>
      <c r="K490" t="s">
        <v>1079</v>
      </c>
      <c r="L490" t="s">
        <v>27</v>
      </c>
    </row>
    <row r="491" spans="1:12" x14ac:dyDescent="0.3">
      <c r="A491" t="s">
        <v>1339</v>
      </c>
      <c r="B491" t="s">
        <v>1340</v>
      </c>
      <c r="C491" t="s">
        <v>52</v>
      </c>
      <c r="D491" t="s">
        <v>35</v>
      </c>
      <c r="E491">
        <v>35</v>
      </c>
      <c r="F491">
        <v>156.97999999999999</v>
      </c>
      <c r="G491">
        <v>5219.58</v>
      </c>
      <c r="H491">
        <v>5</v>
      </c>
      <c r="I491" t="s">
        <v>24</v>
      </c>
      <c r="J491" t="s">
        <v>36</v>
      </c>
      <c r="K491" t="s">
        <v>1341</v>
      </c>
      <c r="L491" t="s">
        <v>27</v>
      </c>
    </row>
    <row r="492" spans="1:12" x14ac:dyDescent="0.3">
      <c r="A492" t="s">
        <v>1342</v>
      </c>
      <c r="B492" t="s">
        <v>1343</v>
      </c>
      <c r="C492" t="s">
        <v>72</v>
      </c>
      <c r="D492" t="s">
        <v>73</v>
      </c>
      <c r="E492">
        <v>7</v>
      </c>
      <c r="F492">
        <v>225.47</v>
      </c>
      <c r="G492">
        <v>1420.46</v>
      </c>
      <c r="H492">
        <v>10</v>
      </c>
      <c r="I492" t="s">
        <v>24</v>
      </c>
      <c r="J492" t="s">
        <v>41</v>
      </c>
      <c r="K492" t="s">
        <v>1344</v>
      </c>
      <c r="L492" t="s">
        <v>27</v>
      </c>
    </row>
    <row r="493" spans="1:12" x14ac:dyDescent="0.3">
      <c r="A493" t="s">
        <v>1345</v>
      </c>
      <c r="B493" t="s">
        <v>107</v>
      </c>
      <c r="C493" t="s">
        <v>63</v>
      </c>
      <c r="D493" t="s">
        <v>15</v>
      </c>
      <c r="E493">
        <v>37</v>
      </c>
      <c r="F493">
        <v>66.59</v>
      </c>
      <c r="G493">
        <v>2463.83</v>
      </c>
      <c r="H493">
        <v>0</v>
      </c>
      <c r="I493" t="s">
        <v>16</v>
      </c>
      <c r="J493" t="s">
        <v>74</v>
      </c>
      <c r="K493" t="s">
        <v>1296</v>
      </c>
      <c r="L493" t="s">
        <v>69</v>
      </c>
    </row>
    <row r="494" spans="1:12" x14ac:dyDescent="0.3">
      <c r="A494" t="s">
        <v>1346</v>
      </c>
      <c r="B494" t="s">
        <v>1347</v>
      </c>
      <c r="C494" t="s">
        <v>95</v>
      </c>
      <c r="D494" t="s">
        <v>35</v>
      </c>
      <c r="E494">
        <v>40</v>
      </c>
      <c r="F494">
        <v>868.09</v>
      </c>
      <c r="G494">
        <v>32987.42</v>
      </c>
      <c r="H494">
        <v>5</v>
      </c>
      <c r="I494" t="s">
        <v>16</v>
      </c>
      <c r="J494" t="s">
        <v>160</v>
      </c>
      <c r="K494" t="s">
        <v>436</v>
      </c>
      <c r="L494" t="s">
        <v>49</v>
      </c>
    </row>
    <row r="495" spans="1:12" x14ac:dyDescent="0.3">
      <c r="A495" t="s">
        <v>1348</v>
      </c>
      <c r="B495" t="s">
        <v>1349</v>
      </c>
      <c r="C495" t="s">
        <v>63</v>
      </c>
      <c r="D495" t="s">
        <v>15</v>
      </c>
      <c r="E495">
        <v>15</v>
      </c>
      <c r="F495">
        <v>78.209999999999994</v>
      </c>
      <c r="G495">
        <v>1114.49</v>
      </c>
      <c r="H495">
        <v>5</v>
      </c>
      <c r="I495" t="s">
        <v>24</v>
      </c>
      <c r="J495" t="s">
        <v>41</v>
      </c>
      <c r="K495" t="s">
        <v>1350</v>
      </c>
      <c r="L495" t="s">
        <v>69</v>
      </c>
    </row>
    <row r="496" spans="1:12" x14ac:dyDescent="0.3">
      <c r="A496" t="s">
        <v>1351</v>
      </c>
      <c r="B496" t="s">
        <v>1352</v>
      </c>
      <c r="C496" t="s">
        <v>40</v>
      </c>
      <c r="D496" t="s">
        <v>23</v>
      </c>
      <c r="E496">
        <v>20</v>
      </c>
      <c r="F496">
        <v>77.650000000000006</v>
      </c>
      <c r="G496">
        <v>1553</v>
      </c>
      <c r="H496">
        <v>0</v>
      </c>
      <c r="I496" t="s">
        <v>46</v>
      </c>
      <c r="J496" t="s">
        <v>47</v>
      </c>
      <c r="K496" t="s">
        <v>1076</v>
      </c>
      <c r="L496" t="s">
        <v>19</v>
      </c>
    </row>
    <row r="497" spans="1:12" x14ac:dyDescent="0.3">
      <c r="A497" t="s">
        <v>1353</v>
      </c>
      <c r="B497" t="s">
        <v>1354</v>
      </c>
      <c r="C497" t="s">
        <v>90</v>
      </c>
      <c r="D497" t="s">
        <v>23</v>
      </c>
      <c r="E497">
        <v>24</v>
      </c>
      <c r="F497">
        <v>29.43</v>
      </c>
      <c r="G497">
        <v>706.32</v>
      </c>
      <c r="H497">
        <v>0</v>
      </c>
      <c r="I497" t="s">
        <v>46</v>
      </c>
      <c r="J497" t="s">
        <v>83</v>
      </c>
      <c r="K497" t="s">
        <v>1355</v>
      </c>
      <c r="L497" t="s">
        <v>27</v>
      </c>
    </row>
    <row r="498" spans="1:12" x14ac:dyDescent="0.3">
      <c r="A498" t="s">
        <v>1356</v>
      </c>
      <c r="B498" t="s">
        <v>1357</v>
      </c>
      <c r="C498" t="s">
        <v>123</v>
      </c>
      <c r="D498" t="s">
        <v>15</v>
      </c>
      <c r="E498">
        <v>36</v>
      </c>
      <c r="F498">
        <v>26.24</v>
      </c>
      <c r="G498">
        <v>850.18</v>
      </c>
      <c r="H498">
        <v>10</v>
      </c>
      <c r="I498" t="s">
        <v>46</v>
      </c>
      <c r="J498" t="s">
        <v>83</v>
      </c>
      <c r="K498" t="s">
        <v>1358</v>
      </c>
      <c r="L498" t="s">
        <v>19</v>
      </c>
    </row>
    <row r="499" spans="1:12" x14ac:dyDescent="0.3">
      <c r="A499" t="s">
        <v>1359</v>
      </c>
      <c r="B499" t="s">
        <v>1136</v>
      </c>
      <c r="C499" t="s">
        <v>40</v>
      </c>
      <c r="D499" t="s">
        <v>23</v>
      </c>
      <c r="E499">
        <v>24</v>
      </c>
      <c r="F499">
        <v>31.81</v>
      </c>
      <c r="G499">
        <v>648.91999999999996</v>
      </c>
      <c r="H499">
        <v>15</v>
      </c>
      <c r="I499" t="s">
        <v>53</v>
      </c>
      <c r="J499" t="s">
        <v>141</v>
      </c>
      <c r="K499" t="s">
        <v>1360</v>
      </c>
      <c r="L499" t="s">
        <v>27</v>
      </c>
    </row>
    <row r="500" spans="1:12" x14ac:dyDescent="0.3">
      <c r="A500" t="s">
        <v>1361</v>
      </c>
      <c r="B500" t="s">
        <v>1099</v>
      </c>
      <c r="C500" t="s">
        <v>63</v>
      </c>
      <c r="D500" t="s">
        <v>15</v>
      </c>
      <c r="E500">
        <v>18</v>
      </c>
      <c r="F500">
        <v>40.07</v>
      </c>
      <c r="G500">
        <v>649.13</v>
      </c>
      <c r="H500">
        <v>10</v>
      </c>
      <c r="I500" t="s">
        <v>53</v>
      </c>
      <c r="J500" t="s">
        <v>54</v>
      </c>
      <c r="K500" t="s">
        <v>1362</v>
      </c>
      <c r="L500" t="s">
        <v>19</v>
      </c>
    </row>
    <row r="501" spans="1:12" x14ac:dyDescent="0.3">
      <c r="A501" t="s">
        <v>1363</v>
      </c>
      <c r="B501" t="s">
        <v>1364</v>
      </c>
      <c r="C501" t="s">
        <v>34</v>
      </c>
      <c r="D501" t="s">
        <v>35</v>
      </c>
      <c r="E501">
        <v>1</v>
      </c>
      <c r="F501">
        <v>634.61</v>
      </c>
      <c r="G501">
        <v>602.88</v>
      </c>
      <c r="H501">
        <v>5</v>
      </c>
      <c r="I501" t="s">
        <v>16</v>
      </c>
      <c r="J501" t="s">
        <v>17</v>
      </c>
      <c r="K501" t="s">
        <v>164</v>
      </c>
      <c r="L501" t="s">
        <v>19</v>
      </c>
    </row>
    <row r="502" spans="1:12" x14ac:dyDescent="0.3">
      <c r="A502" t="s">
        <v>1365</v>
      </c>
      <c r="B502" t="s">
        <v>1366</v>
      </c>
      <c r="C502" t="s">
        <v>72</v>
      </c>
      <c r="D502" t="s">
        <v>73</v>
      </c>
      <c r="E502">
        <v>9</v>
      </c>
      <c r="F502">
        <v>227.8</v>
      </c>
      <c r="G502">
        <v>1845.18</v>
      </c>
      <c r="H502">
        <v>10</v>
      </c>
      <c r="I502" t="s">
        <v>53</v>
      </c>
      <c r="J502" t="s">
        <v>134</v>
      </c>
      <c r="K502" t="s">
        <v>1367</v>
      </c>
      <c r="L502" t="s">
        <v>27</v>
      </c>
    </row>
    <row r="503" spans="1:12" x14ac:dyDescent="0.3">
      <c r="A503" t="s">
        <v>1368</v>
      </c>
      <c r="B503" t="s">
        <v>1369</v>
      </c>
      <c r="C503" t="s">
        <v>52</v>
      </c>
      <c r="D503" t="s">
        <v>35</v>
      </c>
      <c r="E503">
        <v>33</v>
      </c>
      <c r="F503">
        <v>122.36</v>
      </c>
      <c r="G503">
        <v>3835.99</v>
      </c>
      <c r="H503">
        <v>5</v>
      </c>
      <c r="I503" t="s">
        <v>16</v>
      </c>
      <c r="J503" t="s">
        <v>111</v>
      </c>
      <c r="K503" t="s">
        <v>1184</v>
      </c>
      <c r="L503" t="s">
        <v>69</v>
      </c>
    </row>
    <row r="504" spans="1:12" x14ac:dyDescent="0.3">
      <c r="A504" t="s">
        <v>1370</v>
      </c>
      <c r="B504" t="s">
        <v>1371</v>
      </c>
      <c r="C504" t="s">
        <v>123</v>
      </c>
      <c r="D504" t="s">
        <v>15</v>
      </c>
      <c r="E504">
        <v>10</v>
      </c>
      <c r="F504">
        <v>45.93</v>
      </c>
      <c r="G504">
        <v>413.37</v>
      </c>
      <c r="H504">
        <v>10</v>
      </c>
      <c r="I504" t="s">
        <v>16</v>
      </c>
      <c r="J504" t="s">
        <v>160</v>
      </c>
      <c r="K504" t="s">
        <v>1045</v>
      </c>
      <c r="L504" t="s">
        <v>27</v>
      </c>
    </row>
    <row r="505" spans="1:12" x14ac:dyDescent="0.3">
      <c r="A505" t="s">
        <v>1372</v>
      </c>
      <c r="B505" t="s">
        <v>267</v>
      </c>
      <c r="C505" t="s">
        <v>103</v>
      </c>
      <c r="D505" t="s">
        <v>35</v>
      </c>
      <c r="E505">
        <v>15</v>
      </c>
      <c r="F505">
        <v>304.25</v>
      </c>
      <c r="G505">
        <v>4563.75</v>
      </c>
      <c r="H505">
        <v>0</v>
      </c>
      <c r="I505" t="s">
        <v>16</v>
      </c>
      <c r="J505" t="s">
        <v>111</v>
      </c>
      <c r="K505" t="s">
        <v>1373</v>
      </c>
      <c r="L505" t="s">
        <v>31</v>
      </c>
    </row>
    <row r="506" spans="1:12" x14ac:dyDescent="0.3">
      <c r="A506" t="s">
        <v>1374</v>
      </c>
      <c r="B506" t="s">
        <v>820</v>
      </c>
      <c r="C506" t="s">
        <v>95</v>
      </c>
      <c r="D506" t="s">
        <v>35</v>
      </c>
      <c r="E506">
        <v>16</v>
      </c>
      <c r="F506">
        <v>980.68</v>
      </c>
      <c r="G506">
        <v>13337.25</v>
      </c>
      <c r="H506">
        <v>15</v>
      </c>
      <c r="I506" t="s">
        <v>16</v>
      </c>
      <c r="J506" t="s">
        <v>74</v>
      </c>
      <c r="K506" t="s">
        <v>1375</v>
      </c>
      <c r="L506" t="s">
        <v>19</v>
      </c>
    </row>
    <row r="507" spans="1:12" x14ac:dyDescent="0.3">
      <c r="A507" t="s">
        <v>1376</v>
      </c>
      <c r="B507" t="s">
        <v>1377</v>
      </c>
      <c r="C507" t="s">
        <v>72</v>
      </c>
      <c r="D507" t="s">
        <v>73</v>
      </c>
      <c r="E507">
        <v>32</v>
      </c>
      <c r="F507">
        <v>151.53</v>
      </c>
      <c r="G507">
        <v>4364.0600000000004</v>
      </c>
      <c r="H507">
        <v>10</v>
      </c>
      <c r="I507" t="s">
        <v>24</v>
      </c>
      <c r="J507" t="s">
        <v>104</v>
      </c>
      <c r="K507" t="s">
        <v>1378</v>
      </c>
      <c r="L507" t="s">
        <v>49</v>
      </c>
    </row>
    <row r="508" spans="1:12" x14ac:dyDescent="0.3">
      <c r="A508" t="s">
        <v>1379</v>
      </c>
      <c r="B508" t="s">
        <v>528</v>
      </c>
      <c r="C508" t="s">
        <v>72</v>
      </c>
      <c r="D508" t="s">
        <v>73</v>
      </c>
      <c r="E508">
        <v>29</v>
      </c>
      <c r="F508">
        <v>315.17</v>
      </c>
      <c r="G508">
        <v>9139.93</v>
      </c>
      <c r="H508">
        <v>0</v>
      </c>
      <c r="I508" t="s">
        <v>16</v>
      </c>
      <c r="J508" t="s">
        <v>17</v>
      </c>
      <c r="K508" t="s">
        <v>1115</v>
      </c>
      <c r="L508" t="s">
        <v>49</v>
      </c>
    </row>
    <row r="509" spans="1:12" x14ac:dyDescent="0.3">
      <c r="A509" t="s">
        <v>1380</v>
      </c>
      <c r="B509" t="s">
        <v>1377</v>
      </c>
      <c r="C509" t="s">
        <v>22</v>
      </c>
      <c r="D509" t="s">
        <v>23</v>
      </c>
      <c r="E509">
        <v>11</v>
      </c>
      <c r="F509">
        <v>15.3</v>
      </c>
      <c r="G509">
        <v>168.3</v>
      </c>
      <c r="H509">
        <v>0</v>
      </c>
      <c r="I509" t="s">
        <v>53</v>
      </c>
      <c r="J509" t="s">
        <v>54</v>
      </c>
      <c r="K509" t="s">
        <v>1381</v>
      </c>
      <c r="L509" t="s">
        <v>49</v>
      </c>
    </row>
    <row r="510" spans="1:12" x14ac:dyDescent="0.3">
      <c r="A510" t="s">
        <v>1382</v>
      </c>
      <c r="B510" t="s">
        <v>1383</v>
      </c>
      <c r="C510" t="s">
        <v>99</v>
      </c>
      <c r="D510" t="s">
        <v>23</v>
      </c>
      <c r="E510">
        <v>50</v>
      </c>
      <c r="F510">
        <v>22.67</v>
      </c>
      <c r="G510">
        <v>963.48</v>
      </c>
      <c r="H510">
        <v>15</v>
      </c>
      <c r="I510" t="s">
        <v>46</v>
      </c>
      <c r="J510" t="s">
        <v>244</v>
      </c>
      <c r="K510" t="s">
        <v>1384</v>
      </c>
      <c r="L510" t="s">
        <v>49</v>
      </c>
    </row>
    <row r="511" spans="1:12" x14ac:dyDescent="0.3">
      <c r="A511" t="s">
        <v>1385</v>
      </c>
      <c r="B511" t="s">
        <v>1386</v>
      </c>
      <c r="C511" t="s">
        <v>14</v>
      </c>
      <c r="D511" t="s">
        <v>15</v>
      </c>
      <c r="E511">
        <v>43</v>
      </c>
      <c r="F511">
        <v>63.19</v>
      </c>
      <c r="G511">
        <v>2173.7399999999998</v>
      </c>
      <c r="H511">
        <v>20</v>
      </c>
      <c r="I511" t="s">
        <v>46</v>
      </c>
      <c r="J511" t="s">
        <v>124</v>
      </c>
      <c r="K511" t="s">
        <v>1273</v>
      </c>
      <c r="L511" t="s">
        <v>49</v>
      </c>
    </row>
    <row r="512" spans="1:12" x14ac:dyDescent="0.3">
      <c r="A512" t="s">
        <v>1387</v>
      </c>
      <c r="B512" t="s">
        <v>1388</v>
      </c>
      <c r="C512" t="s">
        <v>14</v>
      </c>
      <c r="D512" t="s">
        <v>15</v>
      </c>
      <c r="E512">
        <v>5</v>
      </c>
      <c r="F512">
        <v>72.37</v>
      </c>
      <c r="G512">
        <v>343.76</v>
      </c>
      <c r="H512">
        <v>5</v>
      </c>
      <c r="I512" t="s">
        <v>24</v>
      </c>
      <c r="J512" t="s">
        <v>41</v>
      </c>
      <c r="K512" t="s">
        <v>1389</v>
      </c>
      <c r="L512" t="s">
        <v>31</v>
      </c>
    </row>
    <row r="513" spans="1:12" x14ac:dyDescent="0.3">
      <c r="A513" t="s">
        <v>1390</v>
      </c>
      <c r="B513" t="s">
        <v>1391</v>
      </c>
      <c r="C513" t="s">
        <v>52</v>
      </c>
      <c r="D513" t="s">
        <v>35</v>
      </c>
      <c r="E513">
        <v>16</v>
      </c>
      <c r="F513">
        <v>216.47</v>
      </c>
      <c r="G513">
        <v>3463.52</v>
      </c>
      <c r="H513">
        <v>0</v>
      </c>
      <c r="I513" t="s">
        <v>53</v>
      </c>
      <c r="J513" t="s">
        <v>141</v>
      </c>
      <c r="K513" t="s">
        <v>207</v>
      </c>
      <c r="L513" t="s">
        <v>49</v>
      </c>
    </row>
    <row r="514" spans="1:12" x14ac:dyDescent="0.3">
      <c r="A514" t="s">
        <v>1392</v>
      </c>
      <c r="B514" t="s">
        <v>1393</v>
      </c>
      <c r="C514" t="s">
        <v>63</v>
      </c>
      <c r="D514" t="s">
        <v>15</v>
      </c>
      <c r="E514">
        <v>16</v>
      </c>
      <c r="F514">
        <v>55.14</v>
      </c>
      <c r="G514">
        <v>705.79</v>
      </c>
      <c r="H514">
        <v>20</v>
      </c>
      <c r="I514" t="s">
        <v>16</v>
      </c>
      <c r="J514" t="s">
        <v>91</v>
      </c>
      <c r="K514" t="s">
        <v>967</v>
      </c>
      <c r="L514" t="s">
        <v>27</v>
      </c>
    </row>
    <row r="515" spans="1:12" x14ac:dyDescent="0.3">
      <c r="A515" t="s">
        <v>1394</v>
      </c>
      <c r="B515" t="s">
        <v>1395</v>
      </c>
      <c r="C515" t="s">
        <v>22</v>
      </c>
      <c r="D515" t="s">
        <v>23</v>
      </c>
      <c r="E515">
        <v>29</v>
      </c>
      <c r="F515">
        <v>31.22</v>
      </c>
      <c r="G515">
        <v>769.57</v>
      </c>
      <c r="H515">
        <v>15</v>
      </c>
      <c r="I515" t="s">
        <v>46</v>
      </c>
      <c r="J515" t="s">
        <v>124</v>
      </c>
      <c r="K515" t="s">
        <v>812</v>
      </c>
      <c r="L515" t="s">
        <v>19</v>
      </c>
    </row>
    <row r="516" spans="1:12" x14ac:dyDescent="0.3">
      <c r="A516" t="s">
        <v>1396</v>
      </c>
      <c r="B516" t="s">
        <v>368</v>
      </c>
      <c r="C516" t="s">
        <v>63</v>
      </c>
      <c r="D516" t="s">
        <v>15</v>
      </c>
      <c r="E516">
        <v>16</v>
      </c>
      <c r="F516">
        <v>35.79</v>
      </c>
      <c r="G516">
        <v>572.64</v>
      </c>
      <c r="H516">
        <v>0</v>
      </c>
      <c r="I516" t="s">
        <v>53</v>
      </c>
      <c r="J516" t="s">
        <v>170</v>
      </c>
      <c r="K516" t="s">
        <v>1068</v>
      </c>
      <c r="L516" t="s">
        <v>31</v>
      </c>
    </row>
    <row r="517" spans="1:12" x14ac:dyDescent="0.3">
      <c r="A517" t="s">
        <v>1397</v>
      </c>
      <c r="B517" t="s">
        <v>587</v>
      </c>
      <c r="C517" t="s">
        <v>99</v>
      </c>
      <c r="D517" t="s">
        <v>23</v>
      </c>
      <c r="E517">
        <v>36</v>
      </c>
      <c r="F517">
        <v>19.18</v>
      </c>
      <c r="G517">
        <v>621.42999999999995</v>
      </c>
      <c r="H517">
        <v>10</v>
      </c>
      <c r="I517" t="s">
        <v>53</v>
      </c>
      <c r="J517" t="s">
        <v>134</v>
      </c>
      <c r="K517" t="s">
        <v>1398</v>
      </c>
      <c r="L517" t="s">
        <v>69</v>
      </c>
    </row>
    <row r="518" spans="1:12" x14ac:dyDescent="0.3">
      <c r="A518" t="s">
        <v>1399</v>
      </c>
      <c r="B518" t="s">
        <v>1400</v>
      </c>
      <c r="C518" t="s">
        <v>103</v>
      </c>
      <c r="D518" t="s">
        <v>35</v>
      </c>
      <c r="E518">
        <v>38</v>
      </c>
      <c r="F518">
        <v>449.91</v>
      </c>
      <c r="G518">
        <v>16241.75</v>
      </c>
      <c r="H518">
        <v>5</v>
      </c>
      <c r="I518" t="s">
        <v>46</v>
      </c>
      <c r="J518" t="s">
        <v>124</v>
      </c>
      <c r="K518" t="s">
        <v>1401</v>
      </c>
      <c r="L518" t="s">
        <v>27</v>
      </c>
    </row>
    <row r="519" spans="1:12" x14ac:dyDescent="0.3">
      <c r="A519" t="s">
        <v>1402</v>
      </c>
      <c r="B519" t="s">
        <v>1403</v>
      </c>
      <c r="C519" t="s">
        <v>82</v>
      </c>
      <c r="D519" t="s">
        <v>73</v>
      </c>
      <c r="E519">
        <v>1</v>
      </c>
      <c r="F519">
        <v>587.17999999999995</v>
      </c>
      <c r="G519">
        <v>557.82000000000005</v>
      </c>
      <c r="H519">
        <v>5</v>
      </c>
      <c r="I519" t="s">
        <v>46</v>
      </c>
      <c r="J519" t="s">
        <v>83</v>
      </c>
      <c r="K519" t="s">
        <v>309</v>
      </c>
      <c r="L519" t="s">
        <v>19</v>
      </c>
    </row>
    <row r="520" spans="1:12" x14ac:dyDescent="0.3">
      <c r="A520" t="s">
        <v>1404</v>
      </c>
      <c r="B520" t="s">
        <v>1405</v>
      </c>
      <c r="C520" t="s">
        <v>63</v>
      </c>
      <c r="D520" t="s">
        <v>15</v>
      </c>
      <c r="E520">
        <v>35</v>
      </c>
      <c r="F520">
        <v>72.040000000000006</v>
      </c>
      <c r="G520">
        <v>2521.4</v>
      </c>
      <c r="H520">
        <v>0</v>
      </c>
      <c r="I520" t="s">
        <v>24</v>
      </c>
      <c r="J520" t="s">
        <v>36</v>
      </c>
      <c r="K520" t="s">
        <v>1406</v>
      </c>
      <c r="L520" t="s">
        <v>19</v>
      </c>
    </row>
    <row r="521" spans="1:12" x14ac:dyDescent="0.3">
      <c r="A521" t="s">
        <v>1407</v>
      </c>
      <c r="B521" t="s">
        <v>947</v>
      </c>
      <c r="C521" t="s">
        <v>90</v>
      </c>
      <c r="D521" t="s">
        <v>23</v>
      </c>
      <c r="E521">
        <v>15</v>
      </c>
      <c r="F521">
        <v>44.44</v>
      </c>
      <c r="G521">
        <v>566.61</v>
      </c>
      <c r="H521">
        <v>15</v>
      </c>
      <c r="I521" t="s">
        <v>24</v>
      </c>
      <c r="J521" t="s">
        <v>25</v>
      </c>
      <c r="K521" t="s">
        <v>1408</v>
      </c>
      <c r="L521" t="s">
        <v>27</v>
      </c>
    </row>
    <row r="522" spans="1:12" x14ac:dyDescent="0.3">
      <c r="A522" t="s">
        <v>1409</v>
      </c>
      <c r="B522" t="s">
        <v>1410</v>
      </c>
      <c r="C522" t="s">
        <v>103</v>
      </c>
      <c r="D522" t="s">
        <v>35</v>
      </c>
      <c r="E522">
        <v>40</v>
      </c>
      <c r="F522">
        <v>434.3</v>
      </c>
      <c r="G522">
        <v>17372</v>
      </c>
      <c r="H522">
        <v>0</v>
      </c>
      <c r="I522" t="s">
        <v>53</v>
      </c>
      <c r="J522" t="s">
        <v>134</v>
      </c>
      <c r="K522" t="s">
        <v>96</v>
      </c>
      <c r="L522" t="s">
        <v>19</v>
      </c>
    </row>
    <row r="523" spans="1:12" x14ac:dyDescent="0.3">
      <c r="A523" t="s">
        <v>1411</v>
      </c>
      <c r="B523" t="s">
        <v>1412</v>
      </c>
      <c r="C523" t="s">
        <v>82</v>
      </c>
      <c r="D523" t="s">
        <v>73</v>
      </c>
      <c r="E523">
        <v>18</v>
      </c>
      <c r="F523">
        <v>578.11</v>
      </c>
      <c r="G523">
        <v>9365.3799999999992</v>
      </c>
      <c r="H523">
        <v>10</v>
      </c>
      <c r="I523" t="s">
        <v>16</v>
      </c>
      <c r="J523" t="s">
        <v>160</v>
      </c>
      <c r="K523" t="s">
        <v>1413</v>
      </c>
      <c r="L523" t="s">
        <v>27</v>
      </c>
    </row>
    <row r="524" spans="1:12" x14ac:dyDescent="0.3">
      <c r="A524" t="s">
        <v>1414</v>
      </c>
      <c r="B524" t="s">
        <v>302</v>
      </c>
      <c r="C524" t="s">
        <v>103</v>
      </c>
      <c r="D524" t="s">
        <v>35</v>
      </c>
      <c r="E524">
        <v>13</v>
      </c>
      <c r="F524">
        <v>334.58</v>
      </c>
      <c r="G524">
        <v>4349.54</v>
      </c>
      <c r="H524">
        <v>0</v>
      </c>
      <c r="I524" t="s">
        <v>53</v>
      </c>
      <c r="J524" t="s">
        <v>67</v>
      </c>
      <c r="K524" t="s">
        <v>1415</v>
      </c>
      <c r="L524" t="s">
        <v>31</v>
      </c>
    </row>
    <row r="525" spans="1:12" x14ac:dyDescent="0.3">
      <c r="A525" t="s">
        <v>1416</v>
      </c>
      <c r="B525" t="s">
        <v>628</v>
      </c>
      <c r="C525" t="s">
        <v>90</v>
      </c>
      <c r="D525" t="s">
        <v>23</v>
      </c>
      <c r="E525">
        <v>28</v>
      </c>
      <c r="F525">
        <v>24.2</v>
      </c>
      <c r="G525">
        <v>609.84</v>
      </c>
      <c r="H525">
        <v>10</v>
      </c>
      <c r="I525" t="s">
        <v>46</v>
      </c>
      <c r="J525" t="s">
        <v>47</v>
      </c>
      <c r="K525" t="s">
        <v>479</v>
      </c>
      <c r="L525" t="s">
        <v>31</v>
      </c>
    </row>
    <row r="526" spans="1:12" x14ac:dyDescent="0.3">
      <c r="A526" t="s">
        <v>1417</v>
      </c>
      <c r="B526" t="s">
        <v>238</v>
      </c>
      <c r="C526" t="s">
        <v>52</v>
      </c>
      <c r="D526" t="s">
        <v>35</v>
      </c>
      <c r="E526">
        <v>28</v>
      </c>
      <c r="F526">
        <v>210.32</v>
      </c>
      <c r="G526">
        <v>4711.17</v>
      </c>
      <c r="H526">
        <v>20</v>
      </c>
      <c r="I526" t="s">
        <v>24</v>
      </c>
      <c r="J526" t="s">
        <v>104</v>
      </c>
      <c r="K526" t="s">
        <v>1418</v>
      </c>
      <c r="L526" t="s">
        <v>49</v>
      </c>
    </row>
    <row r="527" spans="1:12" x14ac:dyDescent="0.3">
      <c r="A527" t="s">
        <v>1419</v>
      </c>
      <c r="B527" t="s">
        <v>1420</v>
      </c>
      <c r="C527" t="s">
        <v>90</v>
      </c>
      <c r="D527" t="s">
        <v>23</v>
      </c>
      <c r="E527">
        <v>5</v>
      </c>
      <c r="F527">
        <v>42.76</v>
      </c>
      <c r="G527">
        <v>213.8</v>
      </c>
      <c r="H527">
        <v>0</v>
      </c>
      <c r="I527" t="s">
        <v>24</v>
      </c>
      <c r="J527" t="s">
        <v>41</v>
      </c>
      <c r="K527" t="s">
        <v>830</v>
      </c>
      <c r="L527" t="s">
        <v>19</v>
      </c>
    </row>
    <row r="528" spans="1:12" x14ac:dyDescent="0.3">
      <c r="A528" t="s">
        <v>1421</v>
      </c>
      <c r="B528" t="s">
        <v>1422</v>
      </c>
      <c r="C528" t="s">
        <v>45</v>
      </c>
      <c r="D528" t="s">
        <v>23</v>
      </c>
      <c r="E528">
        <v>48</v>
      </c>
      <c r="F528">
        <v>121.88</v>
      </c>
      <c r="G528">
        <v>5850.24</v>
      </c>
      <c r="H528">
        <v>0</v>
      </c>
      <c r="I528" t="s">
        <v>16</v>
      </c>
      <c r="J528" t="s">
        <v>17</v>
      </c>
      <c r="K528" t="s">
        <v>1423</v>
      </c>
      <c r="L528" t="s">
        <v>19</v>
      </c>
    </row>
    <row r="529" spans="1:12" x14ac:dyDescent="0.3">
      <c r="A529" t="s">
        <v>1424</v>
      </c>
      <c r="B529" t="s">
        <v>1425</v>
      </c>
      <c r="C529" t="s">
        <v>22</v>
      </c>
      <c r="D529" t="s">
        <v>23</v>
      </c>
      <c r="E529">
        <v>15</v>
      </c>
      <c r="F529">
        <v>34.18</v>
      </c>
      <c r="G529">
        <v>512.70000000000005</v>
      </c>
      <c r="H529">
        <v>0</v>
      </c>
      <c r="I529" t="s">
        <v>46</v>
      </c>
      <c r="J529" t="s">
        <v>83</v>
      </c>
      <c r="K529" t="s">
        <v>622</v>
      </c>
      <c r="L529" t="s">
        <v>49</v>
      </c>
    </row>
    <row r="530" spans="1:12" x14ac:dyDescent="0.3">
      <c r="A530" t="s">
        <v>1426</v>
      </c>
      <c r="B530" t="s">
        <v>1427</v>
      </c>
      <c r="C530" t="s">
        <v>95</v>
      </c>
      <c r="D530" t="s">
        <v>35</v>
      </c>
      <c r="E530">
        <v>38</v>
      </c>
      <c r="F530">
        <v>996.33</v>
      </c>
      <c r="G530">
        <v>37860.54</v>
      </c>
      <c r="H530">
        <v>0</v>
      </c>
      <c r="I530" t="s">
        <v>24</v>
      </c>
      <c r="J530" t="s">
        <v>104</v>
      </c>
      <c r="K530" t="s">
        <v>1428</v>
      </c>
      <c r="L530" t="s">
        <v>27</v>
      </c>
    </row>
    <row r="531" spans="1:12" x14ac:dyDescent="0.3">
      <c r="A531" t="s">
        <v>1429</v>
      </c>
      <c r="B531" t="s">
        <v>1430</v>
      </c>
      <c r="C531" t="s">
        <v>52</v>
      </c>
      <c r="D531" t="s">
        <v>35</v>
      </c>
      <c r="E531">
        <v>10</v>
      </c>
      <c r="F531">
        <v>235.56</v>
      </c>
      <c r="G531">
        <v>1884.48</v>
      </c>
      <c r="H531">
        <v>20</v>
      </c>
      <c r="I531" t="s">
        <v>53</v>
      </c>
      <c r="J531" t="s">
        <v>170</v>
      </c>
      <c r="K531" t="s">
        <v>1398</v>
      </c>
      <c r="L531" t="s">
        <v>19</v>
      </c>
    </row>
    <row r="532" spans="1:12" x14ac:dyDescent="0.3">
      <c r="A532" t="s">
        <v>1431</v>
      </c>
      <c r="B532" t="s">
        <v>1432</v>
      </c>
      <c r="C532" t="s">
        <v>72</v>
      </c>
      <c r="D532" t="s">
        <v>73</v>
      </c>
      <c r="E532">
        <v>13</v>
      </c>
      <c r="F532">
        <v>212.69</v>
      </c>
      <c r="G532">
        <v>2626.72</v>
      </c>
      <c r="H532">
        <v>5</v>
      </c>
      <c r="I532" t="s">
        <v>24</v>
      </c>
      <c r="J532" t="s">
        <v>36</v>
      </c>
      <c r="K532" t="s">
        <v>1042</v>
      </c>
      <c r="L532" t="s">
        <v>49</v>
      </c>
    </row>
    <row r="533" spans="1:12" x14ac:dyDescent="0.3">
      <c r="A533" t="s">
        <v>1433</v>
      </c>
      <c r="B533" t="s">
        <v>1434</v>
      </c>
      <c r="C533" t="s">
        <v>52</v>
      </c>
      <c r="D533" t="s">
        <v>35</v>
      </c>
      <c r="E533">
        <v>24</v>
      </c>
      <c r="F533">
        <v>296.8</v>
      </c>
      <c r="G533">
        <v>6054.72</v>
      </c>
      <c r="H533">
        <v>15</v>
      </c>
      <c r="I533" t="s">
        <v>53</v>
      </c>
      <c r="J533" t="s">
        <v>134</v>
      </c>
      <c r="K533" t="s">
        <v>986</v>
      </c>
      <c r="L533" t="s">
        <v>31</v>
      </c>
    </row>
    <row r="534" spans="1:12" x14ac:dyDescent="0.3">
      <c r="A534" t="s">
        <v>1435</v>
      </c>
      <c r="B534" t="s">
        <v>1436</v>
      </c>
      <c r="C534" t="s">
        <v>52</v>
      </c>
      <c r="D534" t="s">
        <v>35</v>
      </c>
      <c r="E534">
        <v>34</v>
      </c>
      <c r="F534">
        <v>363.67</v>
      </c>
      <c r="G534">
        <v>11746.54</v>
      </c>
      <c r="H534">
        <v>5</v>
      </c>
      <c r="I534" t="s">
        <v>16</v>
      </c>
      <c r="J534" t="s">
        <v>17</v>
      </c>
      <c r="K534" t="s">
        <v>1406</v>
      </c>
      <c r="L534" t="s">
        <v>31</v>
      </c>
    </row>
    <row r="535" spans="1:12" x14ac:dyDescent="0.3">
      <c r="A535" t="s">
        <v>1437</v>
      </c>
      <c r="B535" t="s">
        <v>423</v>
      </c>
      <c r="C535" t="s">
        <v>52</v>
      </c>
      <c r="D535" t="s">
        <v>35</v>
      </c>
      <c r="E535">
        <v>38</v>
      </c>
      <c r="F535">
        <v>311.33</v>
      </c>
      <c r="G535">
        <v>11830.54</v>
      </c>
      <c r="H535">
        <v>0</v>
      </c>
      <c r="I535" t="s">
        <v>24</v>
      </c>
      <c r="J535" t="s">
        <v>104</v>
      </c>
      <c r="K535" t="s">
        <v>1438</v>
      </c>
      <c r="L535" t="s">
        <v>49</v>
      </c>
    </row>
    <row r="536" spans="1:12" x14ac:dyDescent="0.3">
      <c r="A536" t="s">
        <v>1439</v>
      </c>
      <c r="B536" t="s">
        <v>1440</v>
      </c>
      <c r="C536" t="s">
        <v>58</v>
      </c>
      <c r="D536" t="s">
        <v>35</v>
      </c>
      <c r="E536">
        <v>41</v>
      </c>
      <c r="F536">
        <v>218.12</v>
      </c>
      <c r="G536">
        <v>8048.63</v>
      </c>
      <c r="H536">
        <v>10</v>
      </c>
      <c r="I536" t="s">
        <v>53</v>
      </c>
      <c r="J536" t="s">
        <v>134</v>
      </c>
      <c r="K536" t="s">
        <v>1441</v>
      </c>
      <c r="L536" t="s">
        <v>27</v>
      </c>
    </row>
    <row r="537" spans="1:12" x14ac:dyDescent="0.3">
      <c r="A537" t="s">
        <v>1442</v>
      </c>
      <c r="B537" t="s">
        <v>1430</v>
      </c>
      <c r="C537" t="s">
        <v>82</v>
      </c>
      <c r="D537" t="s">
        <v>73</v>
      </c>
      <c r="E537">
        <v>27</v>
      </c>
      <c r="F537">
        <v>395.64</v>
      </c>
      <c r="G537">
        <v>10682.28</v>
      </c>
      <c r="H537">
        <v>0</v>
      </c>
      <c r="I537" t="s">
        <v>24</v>
      </c>
      <c r="J537" t="s">
        <v>59</v>
      </c>
      <c r="K537" t="s">
        <v>1443</v>
      </c>
      <c r="L537" t="s">
        <v>31</v>
      </c>
    </row>
    <row r="538" spans="1:12" x14ac:dyDescent="0.3">
      <c r="A538" t="s">
        <v>1444</v>
      </c>
      <c r="B538" t="s">
        <v>1445</v>
      </c>
      <c r="C538" t="s">
        <v>90</v>
      </c>
      <c r="D538" t="s">
        <v>23</v>
      </c>
      <c r="E538">
        <v>24</v>
      </c>
      <c r="F538">
        <v>30.87</v>
      </c>
      <c r="G538">
        <v>740.88</v>
      </c>
      <c r="H538">
        <v>0</v>
      </c>
      <c r="I538" t="s">
        <v>24</v>
      </c>
      <c r="J538" t="s">
        <v>25</v>
      </c>
      <c r="K538" t="s">
        <v>1446</v>
      </c>
      <c r="L538" t="s">
        <v>31</v>
      </c>
    </row>
    <row r="539" spans="1:12" x14ac:dyDescent="0.3">
      <c r="A539" t="s">
        <v>1447</v>
      </c>
      <c r="B539" t="s">
        <v>1448</v>
      </c>
      <c r="C539" t="s">
        <v>58</v>
      </c>
      <c r="D539" t="s">
        <v>35</v>
      </c>
      <c r="E539">
        <v>42</v>
      </c>
      <c r="F539">
        <v>433.28</v>
      </c>
      <c r="G539">
        <v>16377.98</v>
      </c>
      <c r="H539">
        <v>10</v>
      </c>
      <c r="I539" t="s">
        <v>46</v>
      </c>
      <c r="J539" t="s">
        <v>78</v>
      </c>
      <c r="K539" t="s">
        <v>455</v>
      </c>
      <c r="L539" t="s">
        <v>31</v>
      </c>
    </row>
    <row r="540" spans="1:12" x14ac:dyDescent="0.3">
      <c r="A540" t="s">
        <v>1449</v>
      </c>
      <c r="B540" t="s">
        <v>1450</v>
      </c>
      <c r="C540" t="s">
        <v>22</v>
      </c>
      <c r="D540" t="s">
        <v>23</v>
      </c>
      <c r="E540">
        <v>41</v>
      </c>
      <c r="F540">
        <v>36.520000000000003</v>
      </c>
      <c r="G540">
        <v>1422.45</v>
      </c>
      <c r="H540">
        <v>5</v>
      </c>
      <c r="I540" t="s">
        <v>24</v>
      </c>
      <c r="J540" t="s">
        <v>36</v>
      </c>
      <c r="K540" t="s">
        <v>210</v>
      </c>
      <c r="L540" t="s">
        <v>49</v>
      </c>
    </row>
    <row r="541" spans="1:12" x14ac:dyDescent="0.3">
      <c r="A541" t="s">
        <v>1451</v>
      </c>
      <c r="B541" t="s">
        <v>1452</v>
      </c>
      <c r="C541" t="s">
        <v>58</v>
      </c>
      <c r="D541" t="s">
        <v>35</v>
      </c>
      <c r="E541">
        <v>38</v>
      </c>
      <c r="F541">
        <v>425.59</v>
      </c>
      <c r="G541">
        <v>14555.18</v>
      </c>
      <c r="H541">
        <v>10</v>
      </c>
      <c r="I541" t="s">
        <v>24</v>
      </c>
      <c r="J541" t="s">
        <v>41</v>
      </c>
      <c r="K541" t="s">
        <v>857</v>
      </c>
      <c r="L541" t="s">
        <v>69</v>
      </c>
    </row>
    <row r="542" spans="1:12" x14ac:dyDescent="0.3">
      <c r="A542" t="s">
        <v>1453</v>
      </c>
      <c r="B542" t="s">
        <v>1454</v>
      </c>
      <c r="C542" t="s">
        <v>72</v>
      </c>
      <c r="D542" t="s">
        <v>73</v>
      </c>
      <c r="E542">
        <v>47</v>
      </c>
      <c r="F542">
        <v>289.66000000000003</v>
      </c>
      <c r="G542">
        <v>11571.92</v>
      </c>
      <c r="H542">
        <v>15</v>
      </c>
      <c r="I542" t="s">
        <v>53</v>
      </c>
      <c r="J542" t="s">
        <v>141</v>
      </c>
      <c r="K542" t="s">
        <v>1455</v>
      </c>
      <c r="L542" t="s">
        <v>49</v>
      </c>
    </row>
    <row r="543" spans="1:12" x14ac:dyDescent="0.3">
      <c r="A543" t="s">
        <v>1456</v>
      </c>
      <c r="B543" t="s">
        <v>1457</v>
      </c>
      <c r="C543" t="s">
        <v>14</v>
      </c>
      <c r="D543" t="s">
        <v>15</v>
      </c>
      <c r="E543">
        <v>10</v>
      </c>
      <c r="F543">
        <v>91.1</v>
      </c>
      <c r="G543">
        <v>728.8</v>
      </c>
      <c r="H543">
        <v>20</v>
      </c>
      <c r="I543" t="s">
        <v>53</v>
      </c>
      <c r="J543" t="s">
        <v>170</v>
      </c>
      <c r="K543" t="s">
        <v>1458</v>
      </c>
      <c r="L543" t="s">
        <v>19</v>
      </c>
    </row>
    <row r="544" spans="1:12" x14ac:dyDescent="0.3">
      <c r="A544" t="s">
        <v>1459</v>
      </c>
      <c r="B544" t="s">
        <v>1420</v>
      </c>
      <c r="C544" t="s">
        <v>52</v>
      </c>
      <c r="D544" t="s">
        <v>35</v>
      </c>
      <c r="E544">
        <v>19</v>
      </c>
      <c r="F544">
        <v>372.87</v>
      </c>
      <c r="G544">
        <v>7084.53</v>
      </c>
      <c r="H544">
        <v>0</v>
      </c>
      <c r="I544" t="s">
        <v>46</v>
      </c>
      <c r="J544" t="s">
        <v>78</v>
      </c>
      <c r="K544" t="s">
        <v>1460</v>
      </c>
      <c r="L544" t="s">
        <v>19</v>
      </c>
    </row>
    <row r="545" spans="1:12" x14ac:dyDescent="0.3">
      <c r="A545" t="s">
        <v>1461</v>
      </c>
      <c r="B545" t="s">
        <v>1462</v>
      </c>
      <c r="C545" t="s">
        <v>72</v>
      </c>
      <c r="D545" t="s">
        <v>73</v>
      </c>
      <c r="E545">
        <v>4</v>
      </c>
      <c r="F545">
        <v>238.23</v>
      </c>
      <c r="G545">
        <v>905.27</v>
      </c>
      <c r="H545">
        <v>5</v>
      </c>
      <c r="I545" t="s">
        <v>24</v>
      </c>
      <c r="J545" t="s">
        <v>104</v>
      </c>
      <c r="K545" t="s">
        <v>1463</v>
      </c>
      <c r="L545" t="s">
        <v>69</v>
      </c>
    </row>
    <row r="546" spans="1:12" x14ac:dyDescent="0.3">
      <c r="A546" t="s">
        <v>1464</v>
      </c>
      <c r="B546" t="s">
        <v>77</v>
      </c>
      <c r="C546" t="s">
        <v>14</v>
      </c>
      <c r="D546" t="s">
        <v>15</v>
      </c>
      <c r="E546">
        <v>21</v>
      </c>
      <c r="F546">
        <v>46.51</v>
      </c>
      <c r="G546">
        <v>830.2</v>
      </c>
      <c r="H546">
        <v>15</v>
      </c>
      <c r="I546" t="s">
        <v>24</v>
      </c>
      <c r="J546" t="s">
        <v>25</v>
      </c>
      <c r="K546" t="s">
        <v>488</v>
      </c>
      <c r="L546" t="s">
        <v>31</v>
      </c>
    </row>
    <row r="547" spans="1:12" x14ac:dyDescent="0.3">
      <c r="A547" t="s">
        <v>1465</v>
      </c>
      <c r="B547" t="s">
        <v>1466</v>
      </c>
      <c r="C547" t="s">
        <v>90</v>
      </c>
      <c r="D547" t="s">
        <v>23</v>
      </c>
      <c r="E547">
        <v>23</v>
      </c>
      <c r="F547">
        <v>28.45</v>
      </c>
      <c r="G547">
        <v>654.35</v>
      </c>
      <c r="H547">
        <v>0</v>
      </c>
      <c r="I547" t="s">
        <v>53</v>
      </c>
      <c r="J547" t="s">
        <v>134</v>
      </c>
      <c r="K547" t="s">
        <v>1467</v>
      </c>
      <c r="L547" t="s">
        <v>31</v>
      </c>
    </row>
    <row r="548" spans="1:12" x14ac:dyDescent="0.3">
      <c r="A548" t="s">
        <v>1468</v>
      </c>
      <c r="B548" t="s">
        <v>1469</v>
      </c>
      <c r="C548" t="s">
        <v>82</v>
      </c>
      <c r="D548" t="s">
        <v>73</v>
      </c>
      <c r="E548">
        <v>46</v>
      </c>
      <c r="F548">
        <v>603.1</v>
      </c>
      <c r="G548">
        <v>24968.34</v>
      </c>
      <c r="H548">
        <v>10</v>
      </c>
      <c r="I548" t="s">
        <v>24</v>
      </c>
      <c r="J548" t="s">
        <v>36</v>
      </c>
      <c r="K548" t="s">
        <v>1019</v>
      </c>
      <c r="L548" t="s">
        <v>49</v>
      </c>
    </row>
    <row r="549" spans="1:12" x14ac:dyDescent="0.3">
      <c r="A549" t="s">
        <v>1470</v>
      </c>
      <c r="B549" t="s">
        <v>1471</v>
      </c>
      <c r="C549" t="s">
        <v>103</v>
      </c>
      <c r="D549" t="s">
        <v>35</v>
      </c>
      <c r="E549">
        <v>15</v>
      </c>
      <c r="F549">
        <v>432.69</v>
      </c>
      <c r="G549">
        <v>6490.35</v>
      </c>
      <c r="H549">
        <v>0</v>
      </c>
      <c r="I549" t="s">
        <v>24</v>
      </c>
      <c r="J549" t="s">
        <v>104</v>
      </c>
      <c r="K549" t="s">
        <v>1013</v>
      </c>
      <c r="L549" t="s">
        <v>49</v>
      </c>
    </row>
    <row r="550" spans="1:12" x14ac:dyDescent="0.3">
      <c r="A550" t="s">
        <v>1472</v>
      </c>
      <c r="B550" t="s">
        <v>1473</v>
      </c>
      <c r="C550" t="s">
        <v>40</v>
      </c>
      <c r="D550" t="s">
        <v>23</v>
      </c>
      <c r="E550">
        <v>23</v>
      </c>
      <c r="F550">
        <v>78.849999999999994</v>
      </c>
      <c r="G550">
        <v>1541.52</v>
      </c>
      <c r="H550">
        <v>15</v>
      </c>
      <c r="I550" t="s">
        <v>46</v>
      </c>
      <c r="J550" t="s">
        <v>78</v>
      </c>
      <c r="K550" t="s">
        <v>360</v>
      </c>
      <c r="L550" t="s">
        <v>49</v>
      </c>
    </row>
    <row r="551" spans="1:12" x14ac:dyDescent="0.3">
      <c r="A551" t="s">
        <v>1474</v>
      </c>
      <c r="B551" t="s">
        <v>391</v>
      </c>
      <c r="C551" t="s">
        <v>58</v>
      </c>
      <c r="D551" t="s">
        <v>35</v>
      </c>
      <c r="E551">
        <v>42</v>
      </c>
      <c r="F551">
        <v>352.01</v>
      </c>
      <c r="G551">
        <v>12566.76</v>
      </c>
      <c r="H551">
        <v>15</v>
      </c>
      <c r="I551" t="s">
        <v>24</v>
      </c>
      <c r="J551" t="s">
        <v>41</v>
      </c>
      <c r="K551" t="s">
        <v>1310</v>
      </c>
      <c r="L551" t="s">
        <v>49</v>
      </c>
    </row>
    <row r="552" spans="1:12" x14ac:dyDescent="0.3">
      <c r="A552" t="s">
        <v>1475</v>
      </c>
      <c r="B552" t="s">
        <v>1476</v>
      </c>
      <c r="C552" t="s">
        <v>22</v>
      </c>
      <c r="D552" t="s">
        <v>23</v>
      </c>
      <c r="E552">
        <v>33</v>
      </c>
      <c r="F552">
        <v>20.47</v>
      </c>
      <c r="G552">
        <v>607.96</v>
      </c>
      <c r="H552">
        <v>10</v>
      </c>
      <c r="I552" t="s">
        <v>46</v>
      </c>
      <c r="J552" t="s">
        <v>83</v>
      </c>
      <c r="K552" t="s">
        <v>349</v>
      </c>
      <c r="L552" t="s">
        <v>69</v>
      </c>
    </row>
    <row r="553" spans="1:12" x14ac:dyDescent="0.3">
      <c r="A553" t="s">
        <v>1477</v>
      </c>
      <c r="B553" t="s">
        <v>228</v>
      </c>
      <c r="C553" t="s">
        <v>103</v>
      </c>
      <c r="D553" t="s">
        <v>35</v>
      </c>
      <c r="E553">
        <v>1</v>
      </c>
      <c r="F553">
        <v>367.24</v>
      </c>
      <c r="G553">
        <v>367.24</v>
      </c>
      <c r="H553">
        <v>0</v>
      </c>
      <c r="I553" t="s">
        <v>46</v>
      </c>
      <c r="J553" t="s">
        <v>83</v>
      </c>
      <c r="K553" t="s">
        <v>639</v>
      </c>
      <c r="L553" t="s">
        <v>27</v>
      </c>
    </row>
    <row r="554" spans="1:12" x14ac:dyDescent="0.3">
      <c r="A554" t="s">
        <v>1478</v>
      </c>
      <c r="B554" t="s">
        <v>1479</v>
      </c>
      <c r="C554" t="s">
        <v>82</v>
      </c>
      <c r="D554" t="s">
        <v>73</v>
      </c>
      <c r="E554">
        <v>49</v>
      </c>
      <c r="F554">
        <v>337.74</v>
      </c>
      <c r="G554">
        <v>16549.259999999998</v>
      </c>
      <c r="H554">
        <v>0</v>
      </c>
      <c r="I554" t="s">
        <v>16</v>
      </c>
      <c r="J554" t="s">
        <v>111</v>
      </c>
      <c r="K554" t="s">
        <v>651</v>
      </c>
      <c r="L554" t="s">
        <v>27</v>
      </c>
    </row>
    <row r="555" spans="1:12" x14ac:dyDescent="0.3">
      <c r="A555" t="s">
        <v>1480</v>
      </c>
      <c r="B555" t="s">
        <v>1481</v>
      </c>
      <c r="C555" t="s">
        <v>99</v>
      </c>
      <c r="D555" t="s">
        <v>23</v>
      </c>
      <c r="E555">
        <v>38</v>
      </c>
      <c r="F555">
        <v>10.97</v>
      </c>
      <c r="G555">
        <v>333.49</v>
      </c>
      <c r="H555">
        <v>20</v>
      </c>
      <c r="I555" t="s">
        <v>53</v>
      </c>
      <c r="J555" t="s">
        <v>67</v>
      </c>
      <c r="K555" t="s">
        <v>1218</v>
      </c>
      <c r="L555" t="s">
        <v>31</v>
      </c>
    </row>
    <row r="556" spans="1:12" x14ac:dyDescent="0.3">
      <c r="A556" t="s">
        <v>1482</v>
      </c>
      <c r="B556" t="s">
        <v>1483</v>
      </c>
      <c r="C556" t="s">
        <v>103</v>
      </c>
      <c r="D556" t="s">
        <v>35</v>
      </c>
      <c r="E556">
        <v>27</v>
      </c>
      <c r="F556">
        <v>398.24</v>
      </c>
      <c r="G556">
        <v>10752.48</v>
      </c>
      <c r="H556">
        <v>0</v>
      </c>
      <c r="I556" t="s">
        <v>16</v>
      </c>
      <c r="J556" t="s">
        <v>17</v>
      </c>
      <c r="K556" t="s">
        <v>1446</v>
      </c>
      <c r="L556" t="s">
        <v>27</v>
      </c>
    </row>
    <row r="557" spans="1:12" x14ac:dyDescent="0.3">
      <c r="A557" t="s">
        <v>1484</v>
      </c>
      <c r="B557" t="s">
        <v>1008</v>
      </c>
      <c r="C557" t="s">
        <v>103</v>
      </c>
      <c r="D557" t="s">
        <v>35</v>
      </c>
      <c r="E557">
        <v>22</v>
      </c>
      <c r="F557">
        <v>417.23</v>
      </c>
      <c r="G557">
        <v>8720.11</v>
      </c>
      <c r="H557">
        <v>5</v>
      </c>
      <c r="I557" t="s">
        <v>53</v>
      </c>
      <c r="J557" t="s">
        <v>170</v>
      </c>
      <c r="K557" t="s">
        <v>1048</v>
      </c>
      <c r="L557" t="s">
        <v>27</v>
      </c>
    </row>
    <row r="558" spans="1:12" x14ac:dyDescent="0.3">
      <c r="A558" t="s">
        <v>1485</v>
      </c>
      <c r="B558" t="s">
        <v>1486</v>
      </c>
      <c r="C558" t="s">
        <v>63</v>
      </c>
      <c r="D558" t="s">
        <v>15</v>
      </c>
      <c r="E558">
        <v>17</v>
      </c>
      <c r="F558">
        <v>74.180000000000007</v>
      </c>
      <c r="G558">
        <v>1261.06</v>
      </c>
      <c r="H558">
        <v>0</v>
      </c>
      <c r="I558" t="s">
        <v>53</v>
      </c>
      <c r="J558" t="s">
        <v>54</v>
      </c>
      <c r="K558" t="s">
        <v>910</v>
      </c>
      <c r="L558" t="s">
        <v>69</v>
      </c>
    </row>
    <row r="559" spans="1:12" x14ac:dyDescent="0.3">
      <c r="A559" t="s">
        <v>1487</v>
      </c>
      <c r="B559" t="s">
        <v>541</v>
      </c>
      <c r="C559" t="s">
        <v>45</v>
      </c>
      <c r="D559" t="s">
        <v>23</v>
      </c>
      <c r="E559">
        <v>45</v>
      </c>
      <c r="F559">
        <v>45.44</v>
      </c>
      <c r="G559">
        <v>1840.32</v>
      </c>
      <c r="H559">
        <v>10</v>
      </c>
      <c r="I559" t="s">
        <v>16</v>
      </c>
      <c r="J559" t="s">
        <v>111</v>
      </c>
      <c r="K559" t="s">
        <v>167</v>
      </c>
      <c r="L559" t="s">
        <v>69</v>
      </c>
    </row>
    <row r="560" spans="1:12" x14ac:dyDescent="0.3">
      <c r="A560" t="s">
        <v>1488</v>
      </c>
      <c r="B560" t="s">
        <v>1489</v>
      </c>
      <c r="C560" t="s">
        <v>123</v>
      </c>
      <c r="D560" t="s">
        <v>15</v>
      </c>
      <c r="E560">
        <v>2</v>
      </c>
      <c r="F560">
        <v>27.32</v>
      </c>
      <c r="G560">
        <v>49.18</v>
      </c>
      <c r="H560">
        <v>10</v>
      </c>
      <c r="I560" t="s">
        <v>24</v>
      </c>
      <c r="J560" t="s">
        <v>59</v>
      </c>
      <c r="K560" t="s">
        <v>1490</v>
      </c>
      <c r="L560" t="s">
        <v>19</v>
      </c>
    </row>
    <row r="561" spans="1:12" x14ac:dyDescent="0.3">
      <c r="A561" t="s">
        <v>1491</v>
      </c>
      <c r="B561" t="s">
        <v>1492</v>
      </c>
      <c r="C561" t="s">
        <v>40</v>
      </c>
      <c r="D561" t="s">
        <v>23</v>
      </c>
      <c r="E561">
        <v>42</v>
      </c>
      <c r="F561">
        <v>74.81</v>
      </c>
      <c r="G561">
        <v>2827.82</v>
      </c>
      <c r="H561">
        <v>10</v>
      </c>
      <c r="I561" t="s">
        <v>53</v>
      </c>
      <c r="J561" t="s">
        <v>170</v>
      </c>
      <c r="K561" t="s">
        <v>392</v>
      </c>
      <c r="L561" t="s">
        <v>27</v>
      </c>
    </row>
    <row r="562" spans="1:12" x14ac:dyDescent="0.3">
      <c r="A562" t="s">
        <v>1493</v>
      </c>
      <c r="B562" t="s">
        <v>1099</v>
      </c>
      <c r="C562" t="s">
        <v>22</v>
      </c>
      <c r="D562" t="s">
        <v>23</v>
      </c>
      <c r="E562">
        <v>3</v>
      </c>
      <c r="F562">
        <v>32.42</v>
      </c>
      <c r="G562">
        <v>97.26</v>
      </c>
      <c r="H562">
        <v>0</v>
      </c>
      <c r="I562" t="s">
        <v>46</v>
      </c>
      <c r="J562" t="s">
        <v>47</v>
      </c>
      <c r="K562" t="s">
        <v>1494</v>
      </c>
      <c r="L562" t="s">
        <v>69</v>
      </c>
    </row>
    <row r="563" spans="1:12" x14ac:dyDescent="0.3">
      <c r="A563" t="s">
        <v>1495</v>
      </c>
      <c r="B563" t="s">
        <v>1496</v>
      </c>
      <c r="C563" t="s">
        <v>123</v>
      </c>
      <c r="D563" t="s">
        <v>15</v>
      </c>
      <c r="E563">
        <v>14</v>
      </c>
      <c r="F563">
        <v>31.76</v>
      </c>
      <c r="G563">
        <v>400.18</v>
      </c>
      <c r="H563">
        <v>10</v>
      </c>
      <c r="I563" t="s">
        <v>46</v>
      </c>
      <c r="J563" t="s">
        <v>124</v>
      </c>
      <c r="K563" t="s">
        <v>274</v>
      </c>
      <c r="L563" t="s">
        <v>49</v>
      </c>
    </row>
    <row r="564" spans="1:12" x14ac:dyDescent="0.3">
      <c r="A564" t="s">
        <v>1497</v>
      </c>
      <c r="B564" t="s">
        <v>1498</v>
      </c>
      <c r="C564" t="s">
        <v>103</v>
      </c>
      <c r="D564" t="s">
        <v>35</v>
      </c>
      <c r="E564">
        <v>23</v>
      </c>
      <c r="F564">
        <v>305.10000000000002</v>
      </c>
      <c r="G564">
        <v>7017.3</v>
      </c>
      <c r="H564">
        <v>0</v>
      </c>
      <c r="I564" t="s">
        <v>24</v>
      </c>
      <c r="J564" t="s">
        <v>36</v>
      </c>
      <c r="K564" t="s">
        <v>1418</v>
      </c>
      <c r="L564" t="s">
        <v>49</v>
      </c>
    </row>
    <row r="565" spans="1:12" x14ac:dyDescent="0.3">
      <c r="A565" t="s">
        <v>1499</v>
      </c>
      <c r="B565" t="s">
        <v>768</v>
      </c>
      <c r="C565" t="s">
        <v>123</v>
      </c>
      <c r="D565" t="s">
        <v>15</v>
      </c>
      <c r="E565">
        <v>17</v>
      </c>
      <c r="F565">
        <v>31.91</v>
      </c>
      <c r="G565">
        <v>488.22</v>
      </c>
      <c r="H565">
        <v>10</v>
      </c>
      <c r="I565" t="s">
        <v>24</v>
      </c>
      <c r="J565" t="s">
        <v>104</v>
      </c>
      <c r="K565" t="s">
        <v>581</v>
      </c>
      <c r="L565" t="s">
        <v>49</v>
      </c>
    </row>
    <row r="566" spans="1:12" x14ac:dyDescent="0.3">
      <c r="A566" t="s">
        <v>1500</v>
      </c>
      <c r="B566" t="s">
        <v>1501</v>
      </c>
      <c r="C566" t="s">
        <v>52</v>
      </c>
      <c r="D566" t="s">
        <v>35</v>
      </c>
      <c r="E566">
        <v>25</v>
      </c>
      <c r="F566">
        <v>386.81</v>
      </c>
      <c r="G566">
        <v>8703.23</v>
      </c>
      <c r="H566">
        <v>10</v>
      </c>
      <c r="I566" t="s">
        <v>46</v>
      </c>
      <c r="J566" t="s">
        <v>78</v>
      </c>
      <c r="K566" t="s">
        <v>1502</v>
      </c>
      <c r="L566" t="s">
        <v>49</v>
      </c>
    </row>
    <row r="567" spans="1:12" x14ac:dyDescent="0.3">
      <c r="A567" t="s">
        <v>1503</v>
      </c>
      <c r="B567" t="s">
        <v>1504</v>
      </c>
      <c r="C567" t="s">
        <v>52</v>
      </c>
      <c r="D567" t="s">
        <v>35</v>
      </c>
      <c r="E567">
        <v>34</v>
      </c>
      <c r="F567">
        <v>142.13999999999999</v>
      </c>
      <c r="G567">
        <v>4832.76</v>
      </c>
      <c r="H567">
        <v>0</v>
      </c>
      <c r="I567" t="s">
        <v>24</v>
      </c>
      <c r="J567" t="s">
        <v>36</v>
      </c>
      <c r="K567" t="s">
        <v>1505</v>
      </c>
      <c r="L567" t="s">
        <v>27</v>
      </c>
    </row>
    <row r="568" spans="1:12" x14ac:dyDescent="0.3">
      <c r="A568" t="s">
        <v>1506</v>
      </c>
      <c r="B568" t="s">
        <v>1507</v>
      </c>
      <c r="C568" t="s">
        <v>99</v>
      </c>
      <c r="D568" t="s">
        <v>23</v>
      </c>
      <c r="E568">
        <v>33</v>
      </c>
      <c r="F568">
        <v>15.85</v>
      </c>
      <c r="G568">
        <v>470.74</v>
      </c>
      <c r="H568">
        <v>10</v>
      </c>
      <c r="I568" t="s">
        <v>46</v>
      </c>
      <c r="J568" t="s">
        <v>78</v>
      </c>
      <c r="K568" t="s">
        <v>1358</v>
      </c>
      <c r="L568" t="s">
        <v>69</v>
      </c>
    </row>
    <row r="569" spans="1:12" x14ac:dyDescent="0.3">
      <c r="A569" t="s">
        <v>1508</v>
      </c>
      <c r="B569" t="s">
        <v>1509</v>
      </c>
      <c r="C569" t="s">
        <v>103</v>
      </c>
      <c r="D569" t="s">
        <v>35</v>
      </c>
      <c r="E569">
        <v>13</v>
      </c>
      <c r="F569">
        <v>537.61</v>
      </c>
      <c r="G569">
        <v>6639.48</v>
      </c>
      <c r="H569">
        <v>5</v>
      </c>
      <c r="I569" t="s">
        <v>16</v>
      </c>
      <c r="J569" t="s">
        <v>160</v>
      </c>
      <c r="K569" t="s">
        <v>1510</v>
      </c>
      <c r="L569" t="s">
        <v>69</v>
      </c>
    </row>
    <row r="570" spans="1:12" x14ac:dyDescent="0.3">
      <c r="A570" t="s">
        <v>1511</v>
      </c>
      <c r="B570" t="s">
        <v>465</v>
      </c>
      <c r="C570" t="s">
        <v>45</v>
      </c>
      <c r="D570" t="s">
        <v>23</v>
      </c>
      <c r="E570">
        <v>9</v>
      </c>
      <c r="F570">
        <v>184.7</v>
      </c>
      <c r="G570">
        <v>1496.07</v>
      </c>
      <c r="H570">
        <v>10</v>
      </c>
      <c r="I570" t="s">
        <v>24</v>
      </c>
      <c r="J570" t="s">
        <v>36</v>
      </c>
      <c r="K570" t="s">
        <v>1512</v>
      </c>
      <c r="L570" t="s">
        <v>69</v>
      </c>
    </row>
    <row r="571" spans="1:12" x14ac:dyDescent="0.3">
      <c r="A571" t="s">
        <v>1513</v>
      </c>
      <c r="B571" t="s">
        <v>1514</v>
      </c>
      <c r="C571" t="s">
        <v>58</v>
      </c>
      <c r="D571" t="s">
        <v>35</v>
      </c>
      <c r="E571">
        <v>40</v>
      </c>
      <c r="F571">
        <v>291.51</v>
      </c>
      <c r="G571">
        <v>11660.4</v>
      </c>
      <c r="H571">
        <v>0</v>
      </c>
      <c r="I571" t="s">
        <v>53</v>
      </c>
      <c r="J571" t="s">
        <v>67</v>
      </c>
      <c r="K571" t="s">
        <v>782</v>
      </c>
      <c r="L571" t="s">
        <v>69</v>
      </c>
    </row>
    <row r="572" spans="1:12" x14ac:dyDescent="0.3">
      <c r="A572" t="s">
        <v>1515</v>
      </c>
      <c r="B572" t="s">
        <v>1516</v>
      </c>
      <c r="C572" t="s">
        <v>14</v>
      </c>
      <c r="D572" t="s">
        <v>15</v>
      </c>
      <c r="E572">
        <v>30</v>
      </c>
      <c r="F572">
        <v>105</v>
      </c>
      <c r="G572">
        <v>2992.5</v>
      </c>
      <c r="H572">
        <v>5</v>
      </c>
      <c r="I572" t="s">
        <v>53</v>
      </c>
      <c r="J572" t="s">
        <v>67</v>
      </c>
      <c r="K572" t="s">
        <v>1517</v>
      </c>
      <c r="L572" t="s">
        <v>31</v>
      </c>
    </row>
    <row r="573" spans="1:12" x14ac:dyDescent="0.3">
      <c r="A573" t="s">
        <v>1518</v>
      </c>
      <c r="B573" t="s">
        <v>1519</v>
      </c>
      <c r="C573" t="s">
        <v>52</v>
      </c>
      <c r="D573" t="s">
        <v>35</v>
      </c>
      <c r="E573">
        <v>41</v>
      </c>
      <c r="F573">
        <v>212.4</v>
      </c>
      <c r="G573">
        <v>8272.98</v>
      </c>
      <c r="H573">
        <v>5</v>
      </c>
      <c r="I573" t="s">
        <v>24</v>
      </c>
      <c r="J573" t="s">
        <v>25</v>
      </c>
      <c r="K573" t="s">
        <v>1045</v>
      </c>
      <c r="L573" t="s">
        <v>69</v>
      </c>
    </row>
    <row r="574" spans="1:12" x14ac:dyDescent="0.3">
      <c r="A574" t="s">
        <v>1520</v>
      </c>
      <c r="B574" t="s">
        <v>656</v>
      </c>
      <c r="C574" t="s">
        <v>72</v>
      </c>
      <c r="D574" t="s">
        <v>73</v>
      </c>
      <c r="E574">
        <v>13</v>
      </c>
      <c r="F574">
        <v>446.19</v>
      </c>
      <c r="G574">
        <v>4640.38</v>
      </c>
      <c r="H574">
        <v>20</v>
      </c>
      <c r="I574" t="s">
        <v>16</v>
      </c>
      <c r="J574" t="s">
        <v>160</v>
      </c>
      <c r="K574" t="s">
        <v>1521</v>
      </c>
      <c r="L574" t="s">
        <v>31</v>
      </c>
    </row>
    <row r="575" spans="1:12" x14ac:dyDescent="0.3">
      <c r="A575" t="s">
        <v>1522</v>
      </c>
      <c r="B575" t="s">
        <v>1523</v>
      </c>
      <c r="C575" t="s">
        <v>63</v>
      </c>
      <c r="D575" t="s">
        <v>15</v>
      </c>
      <c r="E575">
        <v>1</v>
      </c>
      <c r="F575">
        <v>37.020000000000003</v>
      </c>
      <c r="G575">
        <v>37.020000000000003</v>
      </c>
      <c r="H575">
        <v>0</v>
      </c>
      <c r="I575" t="s">
        <v>46</v>
      </c>
      <c r="J575" t="s">
        <v>83</v>
      </c>
      <c r="K575" t="s">
        <v>1389</v>
      </c>
      <c r="L575" t="s">
        <v>31</v>
      </c>
    </row>
    <row r="576" spans="1:12" x14ac:dyDescent="0.3">
      <c r="A576" t="s">
        <v>1524</v>
      </c>
      <c r="B576" t="s">
        <v>1525</v>
      </c>
      <c r="C576" t="s">
        <v>103</v>
      </c>
      <c r="D576" t="s">
        <v>35</v>
      </c>
      <c r="E576">
        <v>44</v>
      </c>
      <c r="F576">
        <v>400.86</v>
      </c>
      <c r="G576">
        <v>17637.84</v>
      </c>
      <c r="H576">
        <v>0</v>
      </c>
      <c r="I576" t="s">
        <v>16</v>
      </c>
      <c r="J576" t="s">
        <v>17</v>
      </c>
      <c r="K576" t="s">
        <v>1526</v>
      </c>
      <c r="L576" t="s">
        <v>27</v>
      </c>
    </row>
    <row r="577" spans="1:12" x14ac:dyDescent="0.3">
      <c r="A577" t="s">
        <v>1527</v>
      </c>
      <c r="B577" t="s">
        <v>1528</v>
      </c>
      <c r="C577" t="s">
        <v>34</v>
      </c>
      <c r="D577" t="s">
        <v>35</v>
      </c>
      <c r="E577">
        <v>20</v>
      </c>
      <c r="F577">
        <v>871.75</v>
      </c>
      <c r="G577">
        <v>16563.25</v>
      </c>
      <c r="H577">
        <v>5</v>
      </c>
      <c r="I577" t="s">
        <v>24</v>
      </c>
      <c r="J577" t="s">
        <v>25</v>
      </c>
      <c r="K577" t="s">
        <v>898</v>
      </c>
      <c r="L577" t="s">
        <v>31</v>
      </c>
    </row>
    <row r="578" spans="1:12" x14ac:dyDescent="0.3">
      <c r="A578" t="s">
        <v>1529</v>
      </c>
      <c r="B578" t="s">
        <v>1530</v>
      </c>
      <c r="C578" t="s">
        <v>82</v>
      </c>
      <c r="D578" t="s">
        <v>73</v>
      </c>
      <c r="E578">
        <v>12</v>
      </c>
      <c r="F578">
        <v>510.58</v>
      </c>
      <c r="G578">
        <v>5820.61</v>
      </c>
      <c r="H578">
        <v>5</v>
      </c>
      <c r="I578" t="s">
        <v>24</v>
      </c>
      <c r="J578" t="s">
        <v>59</v>
      </c>
      <c r="K578" t="s">
        <v>1531</v>
      </c>
      <c r="L578" t="s">
        <v>49</v>
      </c>
    </row>
    <row r="579" spans="1:12" x14ac:dyDescent="0.3">
      <c r="A579" t="s">
        <v>1532</v>
      </c>
      <c r="B579" t="s">
        <v>1533</v>
      </c>
      <c r="C579" t="s">
        <v>45</v>
      </c>
      <c r="D579" t="s">
        <v>23</v>
      </c>
      <c r="E579">
        <v>36</v>
      </c>
      <c r="F579">
        <v>40.79</v>
      </c>
      <c r="G579">
        <v>1174.75</v>
      </c>
      <c r="H579">
        <v>20</v>
      </c>
      <c r="I579" t="s">
        <v>24</v>
      </c>
      <c r="J579" t="s">
        <v>104</v>
      </c>
      <c r="K579" t="s">
        <v>1534</v>
      </c>
      <c r="L579" t="s">
        <v>31</v>
      </c>
    </row>
    <row r="580" spans="1:12" x14ac:dyDescent="0.3">
      <c r="A580" t="s">
        <v>1535</v>
      </c>
      <c r="B580" t="s">
        <v>900</v>
      </c>
      <c r="C580" t="s">
        <v>95</v>
      </c>
      <c r="D580" t="s">
        <v>35</v>
      </c>
      <c r="E580">
        <v>29</v>
      </c>
      <c r="F580">
        <v>888.38</v>
      </c>
      <c r="G580">
        <v>25763.02</v>
      </c>
      <c r="H580">
        <v>0</v>
      </c>
      <c r="I580" t="s">
        <v>24</v>
      </c>
      <c r="J580" t="s">
        <v>41</v>
      </c>
      <c r="K580" t="s">
        <v>1536</v>
      </c>
      <c r="L580" t="s">
        <v>69</v>
      </c>
    </row>
    <row r="581" spans="1:12" x14ac:dyDescent="0.3">
      <c r="A581" t="s">
        <v>1537</v>
      </c>
      <c r="B581" t="s">
        <v>1538</v>
      </c>
      <c r="C581" t="s">
        <v>82</v>
      </c>
      <c r="D581" t="s">
        <v>73</v>
      </c>
      <c r="E581">
        <v>26</v>
      </c>
      <c r="F581">
        <v>458.47</v>
      </c>
      <c r="G581">
        <v>11920.22</v>
      </c>
      <c r="H581">
        <v>0</v>
      </c>
      <c r="I581" t="s">
        <v>24</v>
      </c>
      <c r="J581" t="s">
        <v>59</v>
      </c>
      <c r="K581" t="s">
        <v>1539</v>
      </c>
      <c r="L581" t="s">
        <v>69</v>
      </c>
    </row>
    <row r="582" spans="1:12" x14ac:dyDescent="0.3">
      <c r="A582" t="s">
        <v>1540</v>
      </c>
      <c r="B582" t="s">
        <v>1541</v>
      </c>
      <c r="C582" t="s">
        <v>72</v>
      </c>
      <c r="D582" t="s">
        <v>73</v>
      </c>
      <c r="E582">
        <v>22</v>
      </c>
      <c r="F582">
        <v>199.82</v>
      </c>
      <c r="G582">
        <v>3736.63</v>
      </c>
      <c r="H582">
        <v>15</v>
      </c>
      <c r="I582" t="s">
        <v>46</v>
      </c>
      <c r="J582" t="s">
        <v>47</v>
      </c>
      <c r="K582" t="s">
        <v>693</v>
      </c>
      <c r="L582" t="s">
        <v>49</v>
      </c>
    </row>
    <row r="583" spans="1:12" x14ac:dyDescent="0.3">
      <c r="A583" t="s">
        <v>1542</v>
      </c>
      <c r="B583" t="s">
        <v>1543</v>
      </c>
      <c r="C583" t="s">
        <v>123</v>
      </c>
      <c r="D583" t="s">
        <v>15</v>
      </c>
      <c r="E583">
        <v>9</v>
      </c>
      <c r="F583">
        <v>29.81</v>
      </c>
      <c r="G583">
        <v>268.29000000000002</v>
      </c>
      <c r="H583">
        <v>0</v>
      </c>
      <c r="I583" t="s">
        <v>46</v>
      </c>
      <c r="J583" t="s">
        <v>47</v>
      </c>
      <c r="K583" t="s">
        <v>1544</v>
      </c>
      <c r="L583" t="s">
        <v>49</v>
      </c>
    </row>
    <row r="584" spans="1:12" x14ac:dyDescent="0.3">
      <c r="A584" t="s">
        <v>1545</v>
      </c>
      <c r="B584" t="s">
        <v>371</v>
      </c>
      <c r="C584" t="s">
        <v>34</v>
      </c>
      <c r="D584" t="s">
        <v>35</v>
      </c>
      <c r="E584">
        <v>11</v>
      </c>
      <c r="F584">
        <v>446.12</v>
      </c>
      <c r="G584">
        <v>4661.95</v>
      </c>
      <c r="H584">
        <v>5</v>
      </c>
      <c r="I584" t="s">
        <v>24</v>
      </c>
      <c r="J584" t="s">
        <v>36</v>
      </c>
      <c r="K584" t="s">
        <v>1123</v>
      </c>
      <c r="L584" t="s">
        <v>69</v>
      </c>
    </row>
    <row r="585" spans="1:12" x14ac:dyDescent="0.3">
      <c r="A585" t="s">
        <v>1546</v>
      </c>
      <c r="B585" t="s">
        <v>241</v>
      </c>
      <c r="C585" t="s">
        <v>22</v>
      </c>
      <c r="D585" t="s">
        <v>23</v>
      </c>
      <c r="E585">
        <v>42</v>
      </c>
      <c r="F585">
        <v>26.06</v>
      </c>
      <c r="G585">
        <v>1094.52</v>
      </c>
      <c r="H585">
        <v>0</v>
      </c>
      <c r="I585" t="s">
        <v>53</v>
      </c>
      <c r="J585" t="s">
        <v>141</v>
      </c>
      <c r="K585" t="s">
        <v>151</v>
      </c>
      <c r="L585" t="s">
        <v>27</v>
      </c>
    </row>
    <row r="586" spans="1:12" x14ac:dyDescent="0.3">
      <c r="A586" t="s">
        <v>1547</v>
      </c>
      <c r="B586" t="s">
        <v>1206</v>
      </c>
      <c r="C586" t="s">
        <v>40</v>
      </c>
      <c r="D586" t="s">
        <v>23</v>
      </c>
      <c r="E586">
        <v>48</v>
      </c>
      <c r="F586">
        <v>34.119999999999997</v>
      </c>
      <c r="G586">
        <v>1310.21</v>
      </c>
      <c r="H586">
        <v>20</v>
      </c>
      <c r="I586" t="s">
        <v>46</v>
      </c>
      <c r="J586" t="s">
        <v>83</v>
      </c>
      <c r="K586" t="s">
        <v>1548</v>
      </c>
      <c r="L586" t="s">
        <v>69</v>
      </c>
    </row>
    <row r="587" spans="1:12" x14ac:dyDescent="0.3">
      <c r="A587" t="s">
        <v>1549</v>
      </c>
      <c r="B587" t="s">
        <v>1550</v>
      </c>
      <c r="C587" t="s">
        <v>90</v>
      </c>
      <c r="D587" t="s">
        <v>23</v>
      </c>
      <c r="E587">
        <v>21</v>
      </c>
      <c r="F587">
        <v>40.14</v>
      </c>
      <c r="G587">
        <v>758.65</v>
      </c>
      <c r="H587">
        <v>10</v>
      </c>
      <c r="I587" t="s">
        <v>53</v>
      </c>
      <c r="J587" t="s">
        <v>170</v>
      </c>
      <c r="K587" t="s">
        <v>708</v>
      </c>
      <c r="L587" t="s">
        <v>49</v>
      </c>
    </row>
    <row r="588" spans="1:12" x14ac:dyDescent="0.3">
      <c r="A588" t="s">
        <v>1551</v>
      </c>
      <c r="B588" t="s">
        <v>1552</v>
      </c>
      <c r="C588" t="s">
        <v>90</v>
      </c>
      <c r="D588" t="s">
        <v>23</v>
      </c>
      <c r="E588">
        <v>25</v>
      </c>
      <c r="F588">
        <v>15.01</v>
      </c>
      <c r="G588">
        <v>375.25</v>
      </c>
      <c r="H588">
        <v>0</v>
      </c>
      <c r="I588" t="s">
        <v>24</v>
      </c>
      <c r="J588" t="s">
        <v>59</v>
      </c>
      <c r="K588" t="s">
        <v>1553</v>
      </c>
      <c r="L588" t="s">
        <v>69</v>
      </c>
    </row>
    <row r="589" spans="1:12" x14ac:dyDescent="0.3">
      <c r="A589" t="s">
        <v>1554</v>
      </c>
      <c r="B589" t="s">
        <v>1555</v>
      </c>
      <c r="C589" t="s">
        <v>34</v>
      </c>
      <c r="D589" t="s">
        <v>35</v>
      </c>
      <c r="E589">
        <v>9</v>
      </c>
      <c r="F589">
        <v>609.84</v>
      </c>
      <c r="G589">
        <v>5488.56</v>
      </c>
      <c r="H589">
        <v>0</v>
      </c>
      <c r="I589" t="s">
        <v>16</v>
      </c>
      <c r="J589" t="s">
        <v>111</v>
      </c>
      <c r="K589" t="s">
        <v>1556</v>
      </c>
      <c r="L589" t="s">
        <v>69</v>
      </c>
    </row>
    <row r="590" spans="1:12" x14ac:dyDescent="0.3">
      <c r="A590" t="s">
        <v>1557</v>
      </c>
      <c r="B590" t="s">
        <v>1122</v>
      </c>
      <c r="C590" t="s">
        <v>82</v>
      </c>
      <c r="D590" t="s">
        <v>73</v>
      </c>
      <c r="E590">
        <v>50</v>
      </c>
      <c r="F590">
        <v>422.9</v>
      </c>
      <c r="G590">
        <v>21145</v>
      </c>
      <c r="H590">
        <v>0</v>
      </c>
      <c r="I590" t="s">
        <v>24</v>
      </c>
      <c r="J590" t="s">
        <v>41</v>
      </c>
      <c r="K590" t="s">
        <v>602</v>
      </c>
      <c r="L590" t="s">
        <v>19</v>
      </c>
    </row>
    <row r="591" spans="1:12" x14ac:dyDescent="0.3">
      <c r="A591" t="s">
        <v>1558</v>
      </c>
      <c r="B591" t="s">
        <v>1559</v>
      </c>
      <c r="C591" t="s">
        <v>103</v>
      </c>
      <c r="D591" t="s">
        <v>35</v>
      </c>
      <c r="E591">
        <v>3</v>
      </c>
      <c r="F591">
        <v>593.08000000000004</v>
      </c>
      <c r="G591">
        <v>1423.39</v>
      </c>
      <c r="H591">
        <v>20</v>
      </c>
      <c r="I591" t="s">
        <v>53</v>
      </c>
      <c r="J591" t="s">
        <v>134</v>
      </c>
      <c r="K591" t="s">
        <v>1560</v>
      </c>
      <c r="L591" t="s">
        <v>69</v>
      </c>
    </row>
    <row r="592" spans="1:12" x14ac:dyDescent="0.3">
      <c r="A592" t="s">
        <v>1561</v>
      </c>
      <c r="B592" t="s">
        <v>1562</v>
      </c>
      <c r="C592" t="s">
        <v>63</v>
      </c>
      <c r="D592" t="s">
        <v>15</v>
      </c>
      <c r="E592">
        <v>37</v>
      </c>
      <c r="F592">
        <v>65.87</v>
      </c>
      <c r="G592">
        <v>2193.4699999999998</v>
      </c>
      <c r="H592">
        <v>10</v>
      </c>
      <c r="I592" t="s">
        <v>53</v>
      </c>
      <c r="J592" t="s">
        <v>67</v>
      </c>
      <c r="K592" t="s">
        <v>608</v>
      </c>
      <c r="L592" t="s">
        <v>19</v>
      </c>
    </row>
    <row r="593" spans="1:12" x14ac:dyDescent="0.3">
      <c r="A593" t="s">
        <v>1563</v>
      </c>
      <c r="B593" t="s">
        <v>1564</v>
      </c>
      <c r="C593" t="s">
        <v>99</v>
      </c>
      <c r="D593" t="s">
        <v>23</v>
      </c>
      <c r="E593">
        <v>2</v>
      </c>
      <c r="F593">
        <v>13.26</v>
      </c>
      <c r="G593">
        <v>26.52</v>
      </c>
      <c r="H593">
        <v>0</v>
      </c>
      <c r="I593" t="s">
        <v>16</v>
      </c>
      <c r="J593" t="s">
        <v>160</v>
      </c>
      <c r="K593" t="s">
        <v>1565</v>
      </c>
      <c r="L593" t="s">
        <v>49</v>
      </c>
    </row>
    <row r="594" spans="1:12" x14ac:dyDescent="0.3">
      <c r="A594" t="s">
        <v>1566</v>
      </c>
      <c r="B594" t="s">
        <v>1567</v>
      </c>
      <c r="C594" t="s">
        <v>45</v>
      </c>
      <c r="D594" t="s">
        <v>23</v>
      </c>
      <c r="E594">
        <v>28</v>
      </c>
      <c r="F594">
        <v>53.02</v>
      </c>
      <c r="G594">
        <v>1484.56</v>
      </c>
      <c r="H594">
        <v>0</v>
      </c>
      <c r="I594" t="s">
        <v>53</v>
      </c>
      <c r="J594" t="s">
        <v>134</v>
      </c>
      <c r="K594" t="s">
        <v>1241</v>
      </c>
      <c r="L594" t="s">
        <v>49</v>
      </c>
    </row>
    <row r="595" spans="1:12" x14ac:dyDescent="0.3">
      <c r="A595" t="s">
        <v>1568</v>
      </c>
      <c r="B595" t="s">
        <v>1569</v>
      </c>
      <c r="C595" t="s">
        <v>52</v>
      </c>
      <c r="D595" t="s">
        <v>35</v>
      </c>
      <c r="E595">
        <v>43</v>
      </c>
      <c r="F595">
        <v>228.04</v>
      </c>
      <c r="G595">
        <v>9315.43</v>
      </c>
      <c r="H595">
        <v>5</v>
      </c>
      <c r="I595" t="s">
        <v>16</v>
      </c>
      <c r="J595" t="s">
        <v>91</v>
      </c>
      <c r="K595" t="s">
        <v>1137</v>
      </c>
      <c r="L595" t="s">
        <v>49</v>
      </c>
    </row>
    <row r="596" spans="1:12" x14ac:dyDescent="0.3">
      <c r="A596" t="s">
        <v>1570</v>
      </c>
      <c r="B596" t="s">
        <v>1571</v>
      </c>
      <c r="C596" t="s">
        <v>34</v>
      </c>
      <c r="D596" t="s">
        <v>35</v>
      </c>
      <c r="E596">
        <v>31</v>
      </c>
      <c r="F596">
        <v>747.63</v>
      </c>
      <c r="G596">
        <v>23176.53</v>
      </c>
      <c r="H596">
        <v>0</v>
      </c>
      <c r="I596" t="s">
        <v>53</v>
      </c>
      <c r="J596" t="s">
        <v>67</v>
      </c>
      <c r="K596" t="s">
        <v>1572</v>
      </c>
      <c r="L596" t="s">
        <v>19</v>
      </c>
    </row>
    <row r="597" spans="1:12" x14ac:dyDescent="0.3">
      <c r="A597" t="s">
        <v>1573</v>
      </c>
      <c r="B597" t="s">
        <v>359</v>
      </c>
      <c r="C597" t="s">
        <v>14</v>
      </c>
      <c r="D597" t="s">
        <v>15</v>
      </c>
      <c r="E597">
        <v>29</v>
      </c>
      <c r="F597">
        <v>72.61</v>
      </c>
      <c r="G597">
        <v>2105.69</v>
      </c>
      <c r="H597">
        <v>0</v>
      </c>
      <c r="I597" t="s">
        <v>24</v>
      </c>
      <c r="J597" t="s">
        <v>25</v>
      </c>
      <c r="K597" t="s">
        <v>1574</v>
      </c>
      <c r="L597" t="s">
        <v>69</v>
      </c>
    </row>
    <row r="598" spans="1:12" x14ac:dyDescent="0.3">
      <c r="A598" t="s">
        <v>1575</v>
      </c>
      <c r="B598" t="s">
        <v>1562</v>
      </c>
      <c r="C598" t="s">
        <v>63</v>
      </c>
      <c r="D598" t="s">
        <v>15</v>
      </c>
      <c r="E598">
        <v>45</v>
      </c>
      <c r="F598">
        <v>66.099999999999994</v>
      </c>
      <c r="G598">
        <v>2379.6</v>
      </c>
      <c r="H598">
        <v>20</v>
      </c>
      <c r="I598" t="s">
        <v>46</v>
      </c>
      <c r="J598" t="s">
        <v>124</v>
      </c>
      <c r="K598" t="s">
        <v>758</v>
      </c>
      <c r="L598" t="s">
        <v>69</v>
      </c>
    </row>
    <row r="599" spans="1:12" x14ac:dyDescent="0.3">
      <c r="A599" t="s">
        <v>1576</v>
      </c>
      <c r="B599" t="s">
        <v>376</v>
      </c>
      <c r="C599" t="s">
        <v>72</v>
      </c>
      <c r="D599" t="s">
        <v>73</v>
      </c>
      <c r="E599">
        <v>50</v>
      </c>
      <c r="F599">
        <v>335.95</v>
      </c>
      <c r="G599">
        <v>13438</v>
      </c>
      <c r="H599">
        <v>20</v>
      </c>
      <c r="I599" t="s">
        <v>53</v>
      </c>
      <c r="J599" t="s">
        <v>134</v>
      </c>
      <c r="K599" t="s">
        <v>1577</v>
      </c>
      <c r="L599" t="s">
        <v>27</v>
      </c>
    </row>
    <row r="600" spans="1:12" x14ac:dyDescent="0.3">
      <c r="A600" t="s">
        <v>1578</v>
      </c>
      <c r="B600" t="s">
        <v>223</v>
      </c>
      <c r="C600" t="s">
        <v>95</v>
      </c>
      <c r="D600" t="s">
        <v>35</v>
      </c>
      <c r="E600">
        <v>13</v>
      </c>
      <c r="F600">
        <v>969.26</v>
      </c>
      <c r="G600">
        <v>12600.38</v>
      </c>
      <c r="H600">
        <v>0</v>
      </c>
      <c r="I600" t="s">
        <v>46</v>
      </c>
      <c r="J600" t="s">
        <v>47</v>
      </c>
      <c r="K600" t="s">
        <v>1579</v>
      </c>
      <c r="L600" t="s">
        <v>31</v>
      </c>
    </row>
    <row r="601" spans="1:12" x14ac:dyDescent="0.3">
      <c r="A601" t="s">
        <v>1580</v>
      </c>
      <c r="B601" t="s">
        <v>1581</v>
      </c>
      <c r="C601" t="s">
        <v>14</v>
      </c>
      <c r="D601" t="s">
        <v>15</v>
      </c>
      <c r="E601">
        <v>44</v>
      </c>
      <c r="F601">
        <v>55.8</v>
      </c>
      <c r="G601">
        <v>2209.6799999999998</v>
      </c>
      <c r="H601">
        <v>10</v>
      </c>
      <c r="I601" t="s">
        <v>46</v>
      </c>
      <c r="J601" t="s">
        <v>124</v>
      </c>
      <c r="K601" t="s">
        <v>1582</v>
      </c>
      <c r="L601" t="s">
        <v>69</v>
      </c>
    </row>
    <row r="602" spans="1:12" x14ac:dyDescent="0.3">
      <c r="A602" t="s">
        <v>1583</v>
      </c>
      <c r="B602" t="s">
        <v>1584</v>
      </c>
      <c r="C602" t="s">
        <v>63</v>
      </c>
      <c r="D602" t="s">
        <v>15</v>
      </c>
      <c r="E602">
        <v>24</v>
      </c>
      <c r="F602">
        <v>37.840000000000003</v>
      </c>
      <c r="G602">
        <v>726.53</v>
      </c>
      <c r="H602">
        <v>20</v>
      </c>
      <c r="I602" t="s">
        <v>16</v>
      </c>
      <c r="J602" t="s">
        <v>91</v>
      </c>
      <c r="K602" t="s">
        <v>1197</v>
      </c>
      <c r="L602" t="s">
        <v>19</v>
      </c>
    </row>
    <row r="603" spans="1:12" x14ac:dyDescent="0.3">
      <c r="A603" t="s">
        <v>1585</v>
      </c>
      <c r="B603" t="s">
        <v>1168</v>
      </c>
      <c r="C603" t="s">
        <v>52</v>
      </c>
      <c r="D603" t="s">
        <v>35</v>
      </c>
      <c r="E603">
        <v>45</v>
      </c>
      <c r="F603">
        <v>283.91000000000003</v>
      </c>
      <c r="G603">
        <v>12137.15</v>
      </c>
      <c r="H603">
        <v>5</v>
      </c>
      <c r="I603" t="s">
        <v>16</v>
      </c>
      <c r="J603" t="s">
        <v>17</v>
      </c>
      <c r="K603" t="s">
        <v>779</v>
      </c>
      <c r="L603" t="s">
        <v>69</v>
      </c>
    </row>
    <row r="604" spans="1:12" x14ac:dyDescent="0.3">
      <c r="A604" t="s">
        <v>1586</v>
      </c>
      <c r="B604" t="s">
        <v>1587</v>
      </c>
      <c r="C604" t="s">
        <v>95</v>
      </c>
      <c r="D604" t="s">
        <v>35</v>
      </c>
      <c r="E604">
        <v>13</v>
      </c>
      <c r="F604">
        <v>1134.18</v>
      </c>
      <c r="G604">
        <v>14007.12</v>
      </c>
      <c r="H604">
        <v>5</v>
      </c>
      <c r="I604" t="s">
        <v>53</v>
      </c>
      <c r="J604" t="s">
        <v>54</v>
      </c>
      <c r="K604" t="s">
        <v>1588</v>
      </c>
      <c r="L604" t="s">
        <v>69</v>
      </c>
    </row>
    <row r="605" spans="1:12" x14ac:dyDescent="0.3">
      <c r="A605" t="s">
        <v>1589</v>
      </c>
      <c r="B605" t="s">
        <v>1259</v>
      </c>
      <c r="C605" t="s">
        <v>72</v>
      </c>
      <c r="D605" t="s">
        <v>73</v>
      </c>
      <c r="E605">
        <v>8</v>
      </c>
      <c r="F605">
        <v>200.64</v>
      </c>
      <c r="G605">
        <v>1605.12</v>
      </c>
      <c r="H605">
        <v>0</v>
      </c>
      <c r="I605" t="s">
        <v>53</v>
      </c>
      <c r="J605" t="s">
        <v>67</v>
      </c>
      <c r="K605" t="s">
        <v>1590</v>
      </c>
      <c r="L605" t="s">
        <v>49</v>
      </c>
    </row>
    <row r="606" spans="1:12" x14ac:dyDescent="0.3">
      <c r="A606" t="s">
        <v>1591</v>
      </c>
      <c r="B606" t="s">
        <v>1592</v>
      </c>
      <c r="C606" t="s">
        <v>95</v>
      </c>
      <c r="D606" t="s">
        <v>35</v>
      </c>
      <c r="E606">
        <v>23</v>
      </c>
      <c r="F606">
        <v>1067.8900000000001</v>
      </c>
      <c r="G606">
        <v>23333.4</v>
      </c>
      <c r="H606">
        <v>5</v>
      </c>
      <c r="I606" t="s">
        <v>24</v>
      </c>
      <c r="J606" t="s">
        <v>59</v>
      </c>
      <c r="K606" t="s">
        <v>1593</v>
      </c>
      <c r="L606" t="s">
        <v>27</v>
      </c>
    </row>
    <row r="607" spans="1:12" x14ac:dyDescent="0.3">
      <c r="A607" t="s">
        <v>1594</v>
      </c>
      <c r="B607" t="s">
        <v>1595</v>
      </c>
      <c r="C607" t="s">
        <v>63</v>
      </c>
      <c r="D607" t="s">
        <v>15</v>
      </c>
      <c r="E607">
        <v>44</v>
      </c>
      <c r="F607">
        <v>36.85</v>
      </c>
      <c r="G607">
        <v>1540.33</v>
      </c>
      <c r="H607">
        <v>5</v>
      </c>
      <c r="I607" t="s">
        <v>24</v>
      </c>
      <c r="J607" t="s">
        <v>36</v>
      </c>
      <c r="K607" t="s">
        <v>913</v>
      </c>
      <c r="L607" t="s">
        <v>27</v>
      </c>
    </row>
    <row r="608" spans="1:12" x14ac:dyDescent="0.3">
      <c r="A608" t="s">
        <v>1596</v>
      </c>
      <c r="B608" t="s">
        <v>253</v>
      </c>
      <c r="C608" t="s">
        <v>103</v>
      </c>
      <c r="D608" t="s">
        <v>35</v>
      </c>
      <c r="E608">
        <v>31</v>
      </c>
      <c r="F608">
        <v>430.04</v>
      </c>
      <c r="G608">
        <v>13331.24</v>
      </c>
      <c r="H608">
        <v>0</v>
      </c>
      <c r="I608" t="s">
        <v>46</v>
      </c>
      <c r="J608" t="s">
        <v>47</v>
      </c>
      <c r="K608" t="s">
        <v>306</v>
      </c>
      <c r="L608" t="s">
        <v>31</v>
      </c>
    </row>
    <row r="609" spans="1:12" x14ac:dyDescent="0.3">
      <c r="A609" t="s">
        <v>1597</v>
      </c>
      <c r="B609" t="s">
        <v>1061</v>
      </c>
      <c r="C609" t="s">
        <v>22</v>
      </c>
      <c r="D609" t="s">
        <v>23</v>
      </c>
      <c r="E609">
        <v>9</v>
      </c>
      <c r="F609">
        <v>39.04</v>
      </c>
      <c r="G609">
        <v>316.22000000000003</v>
      </c>
      <c r="H609">
        <v>10</v>
      </c>
      <c r="I609" t="s">
        <v>46</v>
      </c>
      <c r="J609" t="s">
        <v>124</v>
      </c>
      <c r="K609" t="s">
        <v>1598</v>
      </c>
      <c r="L609" t="s">
        <v>19</v>
      </c>
    </row>
    <row r="610" spans="1:12" x14ac:dyDescent="0.3">
      <c r="A610" t="s">
        <v>1599</v>
      </c>
      <c r="B610" t="s">
        <v>250</v>
      </c>
      <c r="C610" t="s">
        <v>95</v>
      </c>
      <c r="D610" t="s">
        <v>35</v>
      </c>
      <c r="E610">
        <v>6</v>
      </c>
      <c r="F610">
        <v>891.81</v>
      </c>
      <c r="G610">
        <v>5350.86</v>
      </c>
      <c r="H610">
        <v>0</v>
      </c>
      <c r="I610" t="s">
        <v>53</v>
      </c>
      <c r="J610" t="s">
        <v>67</v>
      </c>
      <c r="K610" t="s">
        <v>1181</v>
      </c>
      <c r="L610" t="s">
        <v>27</v>
      </c>
    </row>
    <row r="611" spans="1:12" x14ac:dyDescent="0.3">
      <c r="A611" t="s">
        <v>1600</v>
      </c>
      <c r="B611" t="s">
        <v>1601</v>
      </c>
      <c r="C611" t="s">
        <v>22</v>
      </c>
      <c r="D611" t="s">
        <v>23</v>
      </c>
      <c r="E611">
        <v>1</v>
      </c>
      <c r="F611">
        <v>37.9</v>
      </c>
      <c r="G611">
        <v>36</v>
      </c>
      <c r="H611">
        <v>5</v>
      </c>
      <c r="I611" t="s">
        <v>53</v>
      </c>
      <c r="J611" t="s">
        <v>54</v>
      </c>
      <c r="K611" t="s">
        <v>1602</v>
      </c>
      <c r="L611" t="s">
        <v>49</v>
      </c>
    </row>
    <row r="612" spans="1:12" x14ac:dyDescent="0.3">
      <c r="A612" t="s">
        <v>1603</v>
      </c>
      <c r="B612" t="s">
        <v>282</v>
      </c>
      <c r="C612" t="s">
        <v>103</v>
      </c>
      <c r="D612" t="s">
        <v>35</v>
      </c>
      <c r="E612">
        <v>10</v>
      </c>
      <c r="F612">
        <v>499.87</v>
      </c>
      <c r="G612">
        <v>4248.8900000000003</v>
      </c>
      <c r="H612">
        <v>15</v>
      </c>
      <c r="I612" t="s">
        <v>53</v>
      </c>
      <c r="J612" t="s">
        <v>170</v>
      </c>
      <c r="K612" t="s">
        <v>1604</v>
      </c>
      <c r="L612" t="s">
        <v>31</v>
      </c>
    </row>
    <row r="613" spans="1:12" x14ac:dyDescent="0.3">
      <c r="A613" t="s">
        <v>1605</v>
      </c>
      <c r="B613" t="s">
        <v>1606</v>
      </c>
      <c r="C613" t="s">
        <v>103</v>
      </c>
      <c r="D613" t="s">
        <v>35</v>
      </c>
      <c r="E613">
        <v>47</v>
      </c>
      <c r="F613">
        <v>580.49</v>
      </c>
      <c r="G613">
        <v>27283.03</v>
      </c>
      <c r="H613">
        <v>0</v>
      </c>
      <c r="I613" t="s">
        <v>24</v>
      </c>
      <c r="J613" t="s">
        <v>25</v>
      </c>
      <c r="K613" t="s">
        <v>1521</v>
      </c>
      <c r="L613" t="s">
        <v>69</v>
      </c>
    </row>
    <row r="614" spans="1:12" x14ac:dyDescent="0.3">
      <c r="A614" t="s">
        <v>1607</v>
      </c>
      <c r="B614" t="s">
        <v>342</v>
      </c>
      <c r="C614" t="s">
        <v>90</v>
      </c>
      <c r="D614" t="s">
        <v>23</v>
      </c>
      <c r="E614">
        <v>28</v>
      </c>
      <c r="F614">
        <v>23.83</v>
      </c>
      <c r="G614">
        <v>667.24</v>
      </c>
      <c r="H614">
        <v>0</v>
      </c>
      <c r="I614" t="s">
        <v>53</v>
      </c>
      <c r="J614" t="s">
        <v>141</v>
      </c>
      <c r="K614" t="s">
        <v>1608</v>
      </c>
      <c r="L614" t="s">
        <v>49</v>
      </c>
    </row>
    <row r="615" spans="1:12" x14ac:dyDescent="0.3">
      <c r="A615" t="s">
        <v>1609</v>
      </c>
      <c r="B615" t="s">
        <v>1610</v>
      </c>
      <c r="C615" t="s">
        <v>72</v>
      </c>
      <c r="D615" t="s">
        <v>73</v>
      </c>
      <c r="E615">
        <v>26</v>
      </c>
      <c r="F615">
        <v>302.49</v>
      </c>
      <c r="G615">
        <v>6291.79</v>
      </c>
      <c r="H615">
        <v>20</v>
      </c>
      <c r="I615" t="s">
        <v>53</v>
      </c>
      <c r="J615" t="s">
        <v>67</v>
      </c>
      <c r="K615" t="s">
        <v>1611</v>
      </c>
      <c r="L615" t="s">
        <v>27</v>
      </c>
    </row>
    <row r="616" spans="1:12" x14ac:dyDescent="0.3">
      <c r="A616" t="s">
        <v>1612</v>
      </c>
      <c r="B616" t="s">
        <v>1613</v>
      </c>
      <c r="C616" t="s">
        <v>14</v>
      </c>
      <c r="D616" t="s">
        <v>15</v>
      </c>
      <c r="E616">
        <v>19</v>
      </c>
      <c r="F616">
        <v>102.04</v>
      </c>
      <c r="G616">
        <v>1841.82</v>
      </c>
      <c r="H616">
        <v>5</v>
      </c>
      <c r="I616" t="s">
        <v>16</v>
      </c>
      <c r="J616" t="s">
        <v>111</v>
      </c>
      <c r="K616" t="s">
        <v>561</v>
      </c>
      <c r="L616" t="s">
        <v>69</v>
      </c>
    </row>
    <row r="617" spans="1:12" x14ac:dyDescent="0.3">
      <c r="A617" t="s">
        <v>1614</v>
      </c>
      <c r="B617" t="s">
        <v>1615</v>
      </c>
      <c r="C617" t="s">
        <v>99</v>
      </c>
      <c r="D617" t="s">
        <v>23</v>
      </c>
      <c r="E617">
        <v>43</v>
      </c>
      <c r="F617">
        <v>12.53</v>
      </c>
      <c r="G617">
        <v>431.03</v>
      </c>
      <c r="H617">
        <v>20</v>
      </c>
      <c r="I617" t="s">
        <v>24</v>
      </c>
      <c r="J617" t="s">
        <v>36</v>
      </c>
      <c r="K617" t="s">
        <v>1157</v>
      </c>
      <c r="L617" t="s">
        <v>69</v>
      </c>
    </row>
    <row r="618" spans="1:12" x14ac:dyDescent="0.3">
      <c r="A618" t="s">
        <v>1616</v>
      </c>
      <c r="B618" t="s">
        <v>179</v>
      </c>
      <c r="C618" t="s">
        <v>40</v>
      </c>
      <c r="D618" t="s">
        <v>23</v>
      </c>
      <c r="E618">
        <v>26</v>
      </c>
      <c r="F618">
        <v>43.84</v>
      </c>
      <c r="G618">
        <v>1139.8399999999999</v>
      </c>
      <c r="H618">
        <v>0</v>
      </c>
      <c r="I618" t="s">
        <v>46</v>
      </c>
      <c r="J618" t="s">
        <v>124</v>
      </c>
      <c r="K618" t="s">
        <v>1283</v>
      </c>
      <c r="L618" t="s">
        <v>27</v>
      </c>
    </row>
    <row r="619" spans="1:12" x14ac:dyDescent="0.3">
      <c r="A619" t="s">
        <v>1617</v>
      </c>
      <c r="B619" t="s">
        <v>1618</v>
      </c>
      <c r="C619" t="s">
        <v>22</v>
      </c>
      <c r="D619" t="s">
        <v>23</v>
      </c>
      <c r="E619">
        <v>32</v>
      </c>
      <c r="F619">
        <v>33.56</v>
      </c>
      <c r="G619">
        <v>912.83</v>
      </c>
      <c r="H619">
        <v>15</v>
      </c>
      <c r="I619" t="s">
        <v>24</v>
      </c>
      <c r="J619" t="s">
        <v>104</v>
      </c>
      <c r="K619" t="s">
        <v>1373</v>
      </c>
      <c r="L619" t="s">
        <v>27</v>
      </c>
    </row>
    <row r="620" spans="1:12" x14ac:dyDescent="0.3">
      <c r="A620" t="s">
        <v>1619</v>
      </c>
      <c r="B620" t="s">
        <v>1620</v>
      </c>
      <c r="C620" t="s">
        <v>34</v>
      </c>
      <c r="D620" t="s">
        <v>35</v>
      </c>
      <c r="E620">
        <v>6</v>
      </c>
      <c r="F620">
        <v>803.02</v>
      </c>
      <c r="G620">
        <v>4818.12</v>
      </c>
      <c r="H620">
        <v>0</v>
      </c>
      <c r="I620" t="s">
        <v>46</v>
      </c>
      <c r="J620" t="s">
        <v>78</v>
      </c>
      <c r="K620" t="s">
        <v>978</v>
      </c>
      <c r="L620" t="s">
        <v>69</v>
      </c>
    </row>
    <row r="621" spans="1:12" x14ac:dyDescent="0.3">
      <c r="A621" t="s">
        <v>1621</v>
      </c>
      <c r="B621" t="s">
        <v>1541</v>
      </c>
      <c r="C621" t="s">
        <v>90</v>
      </c>
      <c r="D621" t="s">
        <v>23</v>
      </c>
      <c r="E621">
        <v>17</v>
      </c>
      <c r="F621">
        <v>25.18</v>
      </c>
      <c r="G621">
        <v>406.66</v>
      </c>
      <c r="H621">
        <v>5</v>
      </c>
      <c r="I621" t="s">
        <v>53</v>
      </c>
      <c r="J621" t="s">
        <v>141</v>
      </c>
      <c r="K621" t="s">
        <v>164</v>
      </c>
      <c r="L621" t="s">
        <v>19</v>
      </c>
    </row>
    <row r="622" spans="1:12" x14ac:dyDescent="0.3">
      <c r="A622" t="s">
        <v>1622</v>
      </c>
      <c r="B622" t="s">
        <v>1471</v>
      </c>
      <c r="C622" t="s">
        <v>58</v>
      </c>
      <c r="D622" t="s">
        <v>35</v>
      </c>
      <c r="E622">
        <v>2</v>
      </c>
      <c r="F622">
        <v>255.27</v>
      </c>
      <c r="G622">
        <v>485.01</v>
      </c>
      <c r="H622">
        <v>5</v>
      </c>
      <c r="I622" t="s">
        <v>53</v>
      </c>
      <c r="J622" t="s">
        <v>67</v>
      </c>
      <c r="K622" t="s">
        <v>537</v>
      </c>
      <c r="L622" t="s">
        <v>69</v>
      </c>
    </row>
    <row r="623" spans="1:12" x14ac:dyDescent="0.3">
      <c r="A623" t="s">
        <v>1623</v>
      </c>
      <c r="B623" t="s">
        <v>1624</v>
      </c>
      <c r="C623" t="s">
        <v>103</v>
      </c>
      <c r="D623" t="s">
        <v>35</v>
      </c>
      <c r="E623">
        <v>1</v>
      </c>
      <c r="F623">
        <v>394.23</v>
      </c>
      <c r="G623">
        <v>394.23</v>
      </c>
      <c r="H623">
        <v>0</v>
      </c>
      <c r="I623" t="s">
        <v>53</v>
      </c>
      <c r="J623" t="s">
        <v>141</v>
      </c>
      <c r="K623" t="s">
        <v>306</v>
      </c>
      <c r="L623" t="s">
        <v>19</v>
      </c>
    </row>
    <row r="624" spans="1:12" x14ac:dyDescent="0.3">
      <c r="A624" t="s">
        <v>1625</v>
      </c>
      <c r="B624" t="s">
        <v>1626</v>
      </c>
      <c r="C624" t="s">
        <v>72</v>
      </c>
      <c r="D624" t="s">
        <v>73</v>
      </c>
      <c r="E624">
        <v>11</v>
      </c>
      <c r="F624">
        <v>185.84</v>
      </c>
      <c r="G624">
        <v>2044.24</v>
      </c>
      <c r="H624">
        <v>0</v>
      </c>
      <c r="I624" t="s">
        <v>24</v>
      </c>
      <c r="J624" t="s">
        <v>25</v>
      </c>
      <c r="K624" t="s">
        <v>1224</v>
      </c>
      <c r="L624" t="s">
        <v>27</v>
      </c>
    </row>
    <row r="625" spans="1:12" x14ac:dyDescent="0.3">
      <c r="A625" t="s">
        <v>1627</v>
      </c>
      <c r="B625" t="s">
        <v>1628</v>
      </c>
      <c r="C625" t="s">
        <v>123</v>
      </c>
      <c r="D625" t="s">
        <v>15</v>
      </c>
      <c r="E625">
        <v>19</v>
      </c>
      <c r="F625">
        <v>49.36</v>
      </c>
      <c r="G625">
        <v>937.84</v>
      </c>
      <c r="H625">
        <v>0</v>
      </c>
      <c r="I625" t="s">
        <v>24</v>
      </c>
      <c r="J625" t="s">
        <v>59</v>
      </c>
      <c r="K625" t="s">
        <v>1229</v>
      </c>
      <c r="L625" t="s">
        <v>19</v>
      </c>
    </row>
    <row r="626" spans="1:12" x14ac:dyDescent="0.3">
      <c r="A626" t="s">
        <v>1629</v>
      </c>
      <c r="B626" t="s">
        <v>1630</v>
      </c>
      <c r="C626" t="s">
        <v>52</v>
      </c>
      <c r="D626" t="s">
        <v>35</v>
      </c>
      <c r="E626">
        <v>50</v>
      </c>
      <c r="F626">
        <v>277.97000000000003</v>
      </c>
      <c r="G626">
        <v>11118.8</v>
      </c>
      <c r="H626">
        <v>20</v>
      </c>
      <c r="I626" t="s">
        <v>46</v>
      </c>
      <c r="J626" t="s">
        <v>83</v>
      </c>
      <c r="K626" t="s">
        <v>186</v>
      </c>
      <c r="L626" t="s">
        <v>49</v>
      </c>
    </row>
    <row r="627" spans="1:12" x14ac:dyDescent="0.3">
      <c r="A627" t="s">
        <v>1631</v>
      </c>
      <c r="B627" t="s">
        <v>1632</v>
      </c>
      <c r="C627" t="s">
        <v>14</v>
      </c>
      <c r="D627" t="s">
        <v>15</v>
      </c>
      <c r="E627">
        <v>37</v>
      </c>
      <c r="F627">
        <v>92.54</v>
      </c>
      <c r="G627">
        <v>3252.78</v>
      </c>
      <c r="H627">
        <v>5</v>
      </c>
      <c r="I627" t="s">
        <v>24</v>
      </c>
      <c r="J627" t="s">
        <v>36</v>
      </c>
      <c r="K627" t="s">
        <v>1560</v>
      </c>
      <c r="L627" t="s">
        <v>31</v>
      </c>
    </row>
    <row r="628" spans="1:12" x14ac:dyDescent="0.3">
      <c r="A628" t="s">
        <v>1633</v>
      </c>
      <c r="B628" t="s">
        <v>1634</v>
      </c>
      <c r="C628" t="s">
        <v>14</v>
      </c>
      <c r="D628" t="s">
        <v>15</v>
      </c>
      <c r="E628">
        <v>12</v>
      </c>
      <c r="F628">
        <v>92.37</v>
      </c>
      <c r="G628">
        <v>942.17</v>
      </c>
      <c r="H628">
        <v>15</v>
      </c>
      <c r="I628" t="s">
        <v>16</v>
      </c>
      <c r="J628" t="s">
        <v>160</v>
      </c>
      <c r="K628" t="s">
        <v>1635</v>
      </c>
      <c r="L628" t="s">
        <v>27</v>
      </c>
    </row>
    <row r="629" spans="1:12" x14ac:dyDescent="0.3">
      <c r="A629" t="s">
        <v>1636</v>
      </c>
      <c r="B629" t="s">
        <v>1637</v>
      </c>
      <c r="C629" t="s">
        <v>103</v>
      </c>
      <c r="D629" t="s">
        <v>35</v>
      </c>
      <c r="E629">
        <v>48</v>
      </c>
      <c r="F629">
        <v>525.29</v>
      </c>
      <c r="G629">
        <v>21431.83</v>
      </c>
      <c r="H629">
        <v>15</v>
      </c>
      <c r="I629" t="s">
        <v>16</v>
      </c>
      <c r="J629" t="s">
        <v>91</v>
      </c>
      <c r="K629" t="s">
        <v>750</v>
      </c>
      <c r="L629" t="s">
        <v>27</v>
      </c>
    </row>
    <row r="630" spans="1:12" x14ac:dyDescent="0.3">
      <c r="A630" t="s">
        <v>1638</v>
      </c>
      <c r="B630" t="s">
        <v>1639</v>
      </c>
      <c r="C630" t="s">
        <v>90</v>
      </c>
      <c r="D630" t="s">
        <v>23</v>
      </c>
      <c r="E630">
        <v>41</v>
      </c>
      <c r="F630">
        <v>43.17</v>
      </c>
      <c r="G630">
        <v>1592.97</v>
      </c>
      <c r="H630">
        <v>10</v>
      </c>
      <c r="I630" t="s">
        <v>46</v>
      </c>
      <c r="J630" t="s">
        <v>124</v>
      </c>
      <c r="K630" t="s">
        <v>1640</v>
      </c>
      <c r="L630" t="s">
        <v>69</v>
      </c>
    </row>
    <row r="631" spans="1:12" x14ac:dyDescent="0.3">
      <c r="A631" t="s">
        <v>1641</v>
      </c>
      <c r="B631" t="s">
        <v>1642</v>
      </c>
      <c r="C631" t="s">
        <v>103</v>
      </c>
      <c r="D631" t="s">
        <v>35</v>
      </c>
      <c r="E631">
        <v>14</v>
      </c>
      <c r="F631">
        <v>425.03</v>
      </c>
      <c r="G631">
        <v>5652.9</v>
      </c>
      <c r="H631">
        <v>5</v>
      </c>
      <c r="I631" t="s">
        <v>16</v>
      </c>
      <c r="J631" t="s">
        <v>111</v>
      </c>
      <c r="K631" t="s">
        <v>1643</v>
      </c>
      <c r="L631" t="s">
        <v>69</v>
      </c>
    </row>
    <row r="632" spans="1:12" x14ac:dyDescent="0.3">
      <c r="A632" t="s">
        <v>1644</v>
      </c>
      <c r="B632" t="s">
        <v>1645</v>
      </c>
      <c r="C632" t="s">
        <v>63</v>
      </c>
      <c r="D632" t="s">
        <v>15</v>
      </c>
      <c r="E632">
        <v>24</v>
      </c>
      <c r="F632">
        <v>31.83</v>
      </c>
      <c r="G632">
        <v>763.92</v>
      </c>
      <c r="H632">
        <v>0</v>
      </c>
      <c r="I632" t="s">
        <v>46</v>
      </c>
      <c r="J632" t="s">
        <v>244</v>
      </c>
      <c r="K632" t="s">
        <v>1646</v>
      </c>
      <c r="L632" t="s">
        <v>19</v>
      </c>
    </row>
    <row r="633" spans="1:12" x14ac:dyDescent="0.3">
      <c r="A633" t="s">
        <v>1647</v>
      </c>
      <c r="B633" t="s">
        <v>71</v>
      </c>
      <c r="C633" t="s">
        <v>45</v>
      </c>
      <c r="D633" t="s">
        <v>23</v>
      </c>
      <c r="E633">
        <v>46</v>
      </c>
      <c r="F633">
        <v>149.07</v>
      </c>
      <c r="G633">
        <v>5828.64</v>
      </c>
      <c r="H633">
        <v>15</v>
      </c>
      <c r="I633" t="s">
        <v>53</v>
      </c>
      <c r="J633" t="s">
        <v>170</v>
      </c>
      <c r="K633" t="s">
        <v>1648</v>
      </c>
      <c r="L633" t="s">
        <v>49</v>
      </c>
    </row>
    <row r="634" spans="1:12" x14ac:dyDescent="0.3">
      <c r="A634" t="s">
        <v>1649</v>
      </c>
      <c r="B634" t="s">
        <v>700</v>
      </c>
      <c r="C634" t="s">
        <v>52</v>
      </c>
      <c r="D634" t="s">
        <v>35</v>
      </c>
      <c r="E634">
        <v>44</v>
      </c>
      <c r="F634">
        <v>302.27999999999997</v>
      </c>
      <c r="G634">
        <v>11305.27</v>
      </c>
      <c r="H634">
        <v>15</v>
      </c>
      <c r="I634" t="s">
        <v>53</v>
      </c>
      <c r="J634" t="s">
        <v>67</v>
      </c>
      <c r="K634" t="s">
        <v>1650</v>
      </c>
      <c r="L634" t="s">
        <v>31</v>
      </c>
    </row>
    <row r="635" spans="1:12" x14ac:dyDescent="0.3">
      <c r="A635" t="s">
        <v>1651</v>
      </c>
      <c r="B635" t="s">
        <v>1652</v>
      </c>
      <c r="C635" t="s">
        <v>90</v>
      </c>
      <c r="D635" t="s">
        <v>23</v>
      </c>
      <c r="E635">
        <v>27</v>
      </c>
      <c r="F635">
        <v>20.62</v>
      </c>
      <c r="G635">
        <v>556.74</v>
      </c>
      <c r="H635">
        <v>0</v>
      </c>
      <c r="I635" t="s">
        <v>53</v>
      </c>
      <c r="J635" t="s">
        <v>170</v>
      </c>
      <c r="K635" t="s">
        <v>807</v>
      </c>
      <c r="L635" t="s">
        <v>49</v>
      </c>
    </row>
    <row r="636" spans="1:12" x14ac:dyDescent="0.3">
      <c r="A636" t="s">
        <v>1653</v>
      </c>
      <c r="B636" t="s">
        <v>1654</v>
      </c>
      <c r="C636" t="s">
        <v>63</v>
      </c>
      <c r="D636" t="s">
        <v>15</v>
      </c>
      <c r="E636">
        <v>16</v>
      </c>
      <c r="F636">
        <v>61.48</v>
      </c>
      <c r="G636">
        <v>934.5</v>
      </c>
      <c r="H636">
        <v>5</v>
      </c>
      <c r="I636" t="s">
        <v>46</v>
      </c>
      <c r="J636" t="s">
        <v>83</v>
      </c>
      <c r="K636" t="s">
        <v>108</v>
      </c>
      <c r="L636" t="s">
        <v>69</v>
      </c>
    </row>
    <row r="637" spans="1:12" x14ac:dyDescent="0.3">
      <c r="A637" t="s">
        <v>1655</v>
      </c>
      <c r="B637" t="s">
        <v>144</v>
      </c>
      <c r="C637" t="s">
        <v>123</v>
      </c>
      <c r="D637" t="s">
        <v>15</v>
      </c>
      <c r="E637">
        <v>16</v>
      </c>
      <c r="F637">
        <v>26.31</v>
      </c>
      <c r="G637">
        <v>378.86</v>
      </c>
      <c r="H637">
        <v>10</v>
      </c>
      <c r="I637" t="s">
        <v>53</v>
      </c>
      <c r="J637" t="s">
        <v>170</v>
      </c>
      <c r="K637" t="s">
        <v>383</v>
      </c>
      <c r="L637" t="s">
        <v>19</v>
      </c>
    </row>
    <row r="638" spans="1:12" x14ac:dyDescent="0.3">
      <c r="A638" t="s">
        <v>1656</v>
      </c>
      <c r="B638" t="s">
        <v>1657</v>
      </c>
      <c r="C638" t="s">
        <v>52</v>
      </c>
      <c r="D638" t="s">
        <v>35</v>
      </c>
      <c r="E638">
        <v>42</v>
      </c>
      <c r="F638">
        <v>270.57</v>
      </c>
      <c r="G638">
        <v>9091.15</v>
      </c>
      <c r="H638">
        <v>20</v>
      </c>
      <c r="I638" t="s">
        <v>46</v>
      </c>
      <c r="J638" t="s">
        <v>244</v>
      </c>
      <c r="K638" t="s">
        <v>1658</v>
      </c>
      <c r="L638" t="s">
        <v>31</v>
      </c>
    </row>
    <row r="639" spans="1:12" x14ac:dyDescent="0.3">
      <c r="A639" t="s">
        <v>1659</v>
      </c>
      <c r="B639" t="s">
        <v>499</v>
      </c>
      <c r="C639" t="s">
        <v>90</v>
      </c>
      <c r="D639" t="s">
        <v>23</v>
      </c>
      <c r="E639">
        <v>47</v>
      </c>
      <c r="F639">
        <v>33.880000000000003</v>
      </c>
      <c r="G639">
        <v>1512.74</v>
      </c>
      <c r="H639">
        <v>5</v>
      </c>
      <c r="I639" t="s">
        <v>24</v>
      </c>
      <c r="J639" t="s">
        <v>59</v>
      </c>
      <c r="K639" t="s">
        <v>1660</v>
      </c>
      <c r="L639" t="s">
        <v>27</v>
      </c>
    </row>
    <row r="640" spans="1:12" x14ac:dyDescent="0.3">
      <c r="A640" t="s">
        <v>1661</v>
      </c>
      <c r="B640" t="s">
        <v>1662</v>
      </c>
      <c r="C640" t="s">
        <v>40</v>
      </c>
      <c r="D640" t="s">
        <v>23</v>
      </c>
      <c r="E640">
        <v>9</v>
      </c>
      <c r="F640">
        <v>41.75</v>
      </c>
      <c r="G640">
        <v>375.75</v>
      </c>
      <c r="H640">
        <v>0</v>
      </c>
      <c r="I640" t="s">
        <v>16</v>
      </c>
      <c r="J640" t="s">
        <v>74</v>
      </c>
      <c r="K640" t="s">
        <v>1663</v>
      </c>
      <c r="L640" t="s">
        <v>69</v>
      </c>
    </row>
    <row r="641" spans="1:12" x14ac:dyDescent="0.3">
      <c r="A641" t="s">
        <v>1664</v>
      </c>
      <c r="B641" t="s">
        <v>1665</v>
      </c>
      <c r="C641" t="s">
        <v>90</v>
      </c>
      <c r="D641" t="s">
        <v>23</v>
      </c>
      <c r="E641">
        <v>32</v>
      </c>
      <c r="F641">
        <v>43.7</v>
      </c>
      <c r="G641">
        <v>1258.56</v>
      </c>
      <c r="H641">
        <v>10</v>
      </c>
      <c r="I641" t="s">
        <v>24</v>
      </c>
      <c r="J641" t="s">
        <v>59</v>
      </c>
      <c r="K641" t="s">
        <v>343</v>
      </c>
      <c r="L641" t="s">
        <v>31</v>
      </c>
    </row>
    <row r="642" spans="1:12" x14ac:dyDescent="0.3">
      <c r="A642" t="s">
        <v>1666</v>
      </c>
      <c r="B642" t="s">
        <v>1667</v>
      </c>
      <c r="C642" t="s">
        <v>123</v>
      </c>
      <c r="D642" t="s">
        <v>15</v>
      </c>
      <c r="E642">
        <v>50</v>
      </c>
      <c r="F642">
        <v>15.48</v>
      </c>
      <c r="G642">
        <v>774</v>
      </c>
      <c r="H642">
        <v>0</v>
      </c>
      <c r="I642" t="s">
        <v>24</v>
      </c>
      <c r="J642" t="s">
        <v>36</v>
      </c>
      <c r="K642" t="s">
        <v>1668</v>
      </c>
      <c r="L642" t="s">
        <v>69</v>
      </c>
    </row>
    <row r="643" spans="1:12" x14ac:dyDescent="0.3">
      <c r="A643" t="s">
        <v>1669</v>
      </c>
      <c r="B643" t="s">
        <v>1403</v>
      </c>
      <c r="C643" t="s">
        <v>40</v>
      </c>
      <c r="D643" t="s">
        <v>23</v>
      </c>
      <c r="E643">
        <v>16</v>
      </c>
      <c r="F643">
        <v>57.93</v>
      </c>
      <c r="G643">
        <v>926.88</v>
      </c>
      <c r="H643">
        <v>0</v>
      </c>
      <c r="I643" t="s">
        <v>24</v>
      </c>
      <c r="J643" t="s">
        <v>41</v>
      </c>
      <c r="K643" t="s">
        <v>1022</v>
      </c>
      <c r="L643" t="s">
        <v>19</v>
      </c>
    </row>
    <row r="644" spans="1:12" x14ac:dyDescent="0.3">
      <c r="A644" t="s">
        <v>1670</v>
      </c>
      <c r="B644" t="s">
        <v>1671</v>
      </c>
      <c r="C644" t="s">
        <v>99</v>
      </c>
      <c r="D644" t="s">
        <v>23</v>
      </c>
      <c r="E644">
        <v>29</v>
      </c>
      <c r="F644">
        <v>26.09</v>
      </c>
      <c r="G644">
        <v>756.61</v>
      </c>
      <c r="H644">
        <v>0</v>
      </c>
      <c r="I644" t="s">
        <v>16</v>
      </c>
      <c r="J644" t="s">
        <v>17</v>
      </c>
      <c r="K644" t="s">
        <v>294</v>
      </c>
      <c r="L644" t="s">
        <v>69</v>
      </c>
    </row>
    <row r="645" spans="1:12" x14ac:dyDescent="0.3">
      <c r="A645" t="s">
        <v>1672</v>
      </c>
      <c r="B645" t="s">
        <v>949</v>
      </c>
      <c r="C645" t="s">
        <v>72</v>
      </c>
      <c r="D645" t="s">
        <v>73</v>
      </c>
      <c r="E645">
        <v>6</v>
      </c>
      <c r="F645">
        <v>276.25</v>
      </c>
      <c r="G645">
        <v>1408.88</v>
      </c>
      <c r="H645">
        <v>15</v>
      </c>
      <c r="I645" t="s">
        <v>46</v>
      </c>
      <c r="J645" t="s">
        <v>83</v>
      </c>
      <c r="K645" t="s">
        <v>386</v>
      </c>
      <c r="L645" t="s">
        <v>27</v>
      </c>
    </row>
    <row r="646" spans="1:12" x14ac:dyDescent="0.3">
      <c r="A646" t="s">
        <v>1673</v>
      </c>
      <c r="B646" t="s">
        <v>1674</v>
      </c>
      <c r="C646" t="s">
        <v>52</v>
      </c>
      <c r="D646" t="s">
        <v>35</v>
      </c>
      <c r="E646">
        <v>42</v>
      </c>
      <c r="F646">
        <v>381.24</v>
      </c>
      <c r="G646">
        <v>15211.48</v>
      </c>
      <c r="H646">
        <v>5</v>
      </c>
      <c r="I646" t="s">
        <v>24</v>
      </c>
      <c r="J646" t="s">
        <v>104</v>
      </c>
      <c r="K646" t="s">
        <v>1646</v>
      </c>
      <c r="L646" t="s">
        <v>19</v>
      </c>
    </row>
    <row r="647" spans="1:12" x14ac:dyDescent="0.3">
      <c r="A647" t="s">
        <v>1675</v>
      </c>
      <c r="B647" t="s">
        <v>1676</v>
      </c>
      <c r="C647" t="s">
        <v>34</v>
      </c>
      <c r="D647" t="s">
        <v>35</v>
      </c>
      <c r="E647">
        <v>10</v>
      </c>
      <c r="F647">
        <v>461.84</v>
      </c>
      <c r="G647">
        <v>4156.5600000000004</v>
      </c>
      <c r="H647">
        <v>10</v>
      </c>
      <c r="I647" t="s">
        <v>24</v>
      </c>
      <c r="J647" t="s">
        <v>104</v>
      </c>
      <c r="K647" t="s">
        <v>758</v>
      </c>
      <c r="L647" t="s">
        <v>31</v>
      </c>
    </row>
    <row r="648" spans="1:12" x14ac:dyDescent="0.3">
      <c r="A648" t="s">
        <v>1677</v>
      </c>
      <c r="B648" t="s">
        <v>1678</v>
      </c>
      <c r="C648" t="s">
        <v>82</v>
      </c>
      <c r="D648" t="s">
        <v>73</v>
      </c>
      <c r="E648">
        <v>7</v>
      </c>
      <c r="F648">
        <v>543.16999999999996</v>
      </c>
      <c r="G648">
        <v>3802.19</v>
      </c>
      <c r="H648">
        <v>0</v>
      </c>
      <c r="I648" t="s">
        <v>53</v>
      </c>
      <c r="J648" t="s">
        <v>54</v>
      </c>
      <c r="K648" t="s">
        <v>1679</v>
      </c>
      <c r="L648" t="s">
        <v>69</v>
      </c>
    </row>
    <row r="649" spans="1:12" x14ac:dyDescent="0.3">
      <c r="A649" t="s">
        <v>1680</v>
      </c>
      <c r="B649" t="s">
        <v>1681</v>
      </c>
      <c r="C649" t="s">
        <v>40</v>
      </c>
      <c r="D649" t="s">
        <v>23</v>
      </c>
      <c r="E649">
        <v>46</v>
      </c>
      <c r="F649">
        <v>31.49</v>
      </c>
      <c r="G649">
        <v>1376.11</v>
      </c>
      <c r="H649">
        <v>5</v>
      </c>
      <c r="I649" t="s">
        <v>24</v>
      </c>
      <c r="J649" t="s">
        <v>25</v>
      </c>
      <c r="K649" t="s">
        <v>761</v>
      </c>
      <c r="L649" t="s">
        <v>19</v>
      </c>
    </row>
    <row r="650" spans="1:12" x14ac:dyDescent="0.3">
      <c r="A650" t="s">
        <v>1682</v>
      </c>
      <c r="B650" t="s">
        <v>1683</v>
      </c>
      <c r="C650" t="s">
        <v>63</v>
      </c>
      <c r="D650" t="s">
        <v>15</v>
      </c>
      <c r="E650">
        <v>32</v>
      </c>
      <c r="F650">
        <v>45.15</v>
      </c>
      <c r="G650">
        <v>1372.56</v>
      </c>
      <c r="H650">
        <v>5</v>
      </c>
      <c r="I650" t="s">
        <v>53</v>
      </c>
      <c r="J650" t="s">
        <v>170</v>
      </c>
      <c r="K650" t="s">
        <v>1019</v>
      </c>
      <c r="L650" t="s">
        <v>49</v>
      </c>
    </row>
    <row r="651" spans="1:12" x14ac:dyDescent="0.3">
      <c r="A651" t="s">
        <v>1684</v>
      </c>
      <c r="B651" t="s">
        <v>1685</v>
      </c>
      <c r="C651" t="s">
        <v>45</v>
      </c>
      <c r="D651" t="s">
        <v>23</v>
      </c>
      <c r="E651">
        <v>7</v>
      </c>
      <c r="F651">
        <v>161.66</v>
      </c>
      <c r="G651">
        <v>905.3</v>
      </c>
      <c r="H651">
        <v>20</v>
      </c>
      <c r="I651" t="s">
        <v>46</v>
      </c>
      <c r="J651" t="s">
        <v>47</v>
      </c>
      <c r="K651" t="s">
        <v>805</v>
      </c>
      <c r="L651" t="s">
        <v>19</v>
      </c>
    </row>
    <row r="652" spans="1:12" x14ac:dyDescent="0.3">
      <c r="A652" t="s">
        <v>1686</v>
      </c>
      <c r="B652" t="s">
        <v>185</v>
      </c>
      <c r="C652" t="s">
        <v>99</v>
      </c>
      <c r="D652" t="s">
        <v>23</v>
      </c>
      <c r="E652">
        <v>29</v>
      </c>
      <c r="F652">
        <v>18.559999999999999</v>
      </c>
      <c r="G652">
        <v>538.24</v>
      </c>
      <c r="H652">
        <v>0</v>
      </c>
      <c r="I652" t="s">
        <v>16</v>
      </c>
      <c r="J652" t="s">
        <v>74</v>
      </c>
      <c r="K652" t="s">
        <v>357</v>
      </c>
      <c r="L652" t="s">
        <v>19</v>
      </c>
    </row>
    <row r="653" spans="1:12" x14ac:dyDescent="0.3">
      <c r="A653" t="s">
        <v>1687</v>
      </c>
      <c r="B653" t="s">
        <v>1688</v>
      </c>
      <c r="C653" t="s">
        <v>123</v>
      </c>
      <c r="D653" t="s">
        <v>15</v>
      </c>
      <c r="E653">
        <v>47</v>
      </c>
      <c r="F653">
        <v>35.04</v>
      </c>
      <c r="G653">
        <v>1646.88</v>
      </c>
      <c r="H653">
        <v>0</v>
      </c>
      <c r="I653" t="s">
        <v>16</v>
      </c>
      <c r="J653" t="s">
        <v>17</v>
      </c>
      <c r="K653" t="s">
        <v>1016</v>
      </c>
      <c r="L653" t="s">
        <v>27</v>
      </c>
    </row>
    <row r="654" spans="1:12" x14ac:dyDescent="0.3">
      <c r="A654" t="s">
        <v>1689</v>
      </c>
      <c r="B654" t="s">
        <v>66</v>
      </c>
      <c r="C654" t="s">
        <v>63</v>
      </c>
      <c r="D654" t="s">
        <v>15</v>
      </c>
      <c r="E654">
        <v>33</v>
      </c>
      <c r="F654">
        <v>45.36</v>
      </c>
      <c r="G654">
        <v>1422.04</v>
      </c>
      <c r="H654">
        <v>5</v>
      </c>
      <c r="I654" t="s">
        <v>24</v>
      </c>
      <c r="J654" t="s">
        <v>25</v>
      </c>
      <c r="K654" t="s">
        <v>1178</v>
      </c>
      <c r="L654" t="s">
        <v>19</v>
      </c>
    </row>
    <row r="655" spans="1:12" x14ac:dyDescent="0.3">
      <c r="A655" t="s">
        <v>1690</v>
      </c>
      <c r="B655" t="s">
        <v>1691</v>
      </c>
      <c r="C655" t="s">
        <v>95</v>
      </c>
      <c r="D655" t="s">
        <v>35</v>
      </c>
      <c r="E655">
        <v>47</v>
      </c>
      <c r="F655">
        <v>963.71</v>
      </c>
      <c r="G655">
        <v>45294.37</v>
      </c>
      <c r="H655">
        <v>0</v>
      </c>
      <c r="I655" t="s">
        <v>24</v>
      </c>
      <c r="J655" t="s">
        <v>41</v>
      </c>
      <c r="K655" t="s">
        <v>274</v>
      </c>
      <c r="L655" t="s">
        <v>27</v>
      </c>
    </row>
    <row r="656" spans="1:12" x14ac:dyDescent="0.3">
      <c r="A656" t="s">
        <v>1692</v>
      </c>
      <c r="B656" t="s">
        <v>1693</v>
      </c>
      <c r="C656" t="s">
        <v>82</v>
      </c>
      <c r="D656" t="s">
        <v>73</v>
      </c>
      <c r="E656">
        <v>39</v>
      </c>
      <c r="F656">
        <v>718.61</v>
      </c>
      <c r="G656">
        <v>28025.79</v>
      </c>
      <c r="H656">
        <v>0</v>
      </c>
      <c r="I656" t="s">
        <v>46</v>
      </c>
      <c r="J656" t="s">
        <v>244</v>
      </c>
      <c r="K656" t="s">
        <v>1590</v>
      </c>
      <c r="L656" t="s">
        <v>19</v>
      </c>
    </row>
    <row r="657" spans="1:12" x14ac:dyDescent="0.3">
      <c r="A657" t="s">
        <v>1694</v>
      </c>
      <c r="B657" t="s">
        <v>1695</v>
      </c>
      <c r="C657" t="s">
        <v>40</v>
      </c>
      <c r="D657" t="s">
        <v>23</v>
      </c>
      <c r="E657">
        <v>37</v>
      </c>
      <c r="F657">
        <v>50.9</v>
      </c>
      <c r="G657">
        <v>1600.8</v>
      </c>
      <c r="H657">
        <v>15</v>
      </c>
      <c r="I657" t="s">
        <v>46</v>
      </c>
      <c r="J657" t="s">
        <v>78</v>
      </c>
      <c r="K657" t="s">
        <v>1696</v>
      </c>
      <c r="L657" t="s">
        <v>49</v>
      </c>
    </row>
    <row r="658" spans="1:12" x14ac:dyDescent="0.3">
      <c r="A658" t="s">
        <v>1697</v>
      </c>
      <c r="B658" t="s">
        <v>169</v>
      </c>
      <c r="C658" t="s">
        <v>52</v>
      </c>
      <c r="D658" t="s">
        <v>35</v>
      </c>
      <c r="E658">
        <v>49</v>
      </c>
      <c r="F658">
        <v>255.24</v>
      </c>
      <c r="G658">
        <v>12506.76</v>
      </c>
      <c r="H658">
        <v>0</v>
      </c>
      <c r="I658" t="s">
        <v>24</v>
      </c>
      <c r="J658" t="s">
        <v>41</v>
      </c>
      <c r="K658" t="s">
        <v>189</v>
      </c>
      <c r="L658" t="s">
        <v>31</v>
      </c>
    </row>
    <row r="659" spans="1:12" x14ac:dyDescent="0.3">
      <c r="A659" t="s">
        <v>1698</v>
      </c>
      <c r="B659" t="s">
        <v>1699</v>
      </c>
      <c r="C659" t="s">
        <v>123</v>
      </c>
      <c r="D659" t="s">
        <v>15</v>
      </c>
      <c r="E659">
        <v>28</v>
      </c>
      <c r="F659">
        <v>42.43</v>
      </c>
      <c r="G659">
        <v>1188.04</v>
      </c>
      <c r="H659">
        <v>0</v>
      </c>
      <c r="I659" t="s">
        <v>53</v>
      </c>
      <c r="J659" t="s">
        <v>134</v>
      </c>
      <c r="K659" t="s">
        <v>1700</v>
      </c>
      <c r="L659" t="s">
        <v>69</v>
      </c>
    </row>
    <row r="660" spans="1:12" x14ac:dyDescent="0.3">
      <c r="A660" t="s">
        <v>1701</v>
      </c>
      <c r="B660" t="s">
        <v>1144</v>
      </c>
      <c r="C660" t="s">
        <v>58</v>
      </c>
      <c r="D660" t="s">
        <v>35</v>
      </c>
      <c r="E660">
        <v>29</v>
      </c>
      <c r="F660">
        <v>441.88</v>
      </c>
      <c r="G660">
        <v>12173.79</v>
      </c>
      <c r="H660">
        <v>5</v>
      </c>
      <c r="I660" t="s">
        <v>46</v>
      </c>
      <c r="J660" t="s">
        <v>83</v>
      </c>
      <c r="K660" t="s">
        <v>1702</v>
      </c>
      <c r="L660" t="s">
        <v>19</v>
      </c>
    </row>
    <row r="661" spans="1:12" x14ac:dyDescent="0.3">
      <c r="A661" t="s">
        <v>1703</v>
      </c>
      <c r="B661" t="s">
        <v>1704</v>
      </c>
      <c r="C661" t="s">
        <v>90</v>
      </c>
      <c r="D661" t="s">
        <v>23</v>
      </c>
      <c r="E661">
        <v>26</v>
      </c>
      <c r="F661">
        <v>42.42</v>
      </c>
      <c r="G661">
        <v>1102.92</v>
      </c>
      <c r="H661">
        <v>0</v>
      </c>
      <c r="I661" t="s">
        <v>46</v>
      </c>
      <c r="J661" t="s">
        <v>124</v>
      </c>
      <c r="K661" t="s">
        <v>1705</v>
      </c>
      <c r="L661" t="s">
        <v>49</v>
      </c>
    </row>
    <row r="662" spans="1:12" x14ac:dyDescent="0.3">
      <c r="A662" t="s">
        <v>1706</v>
      </c>
      <c r="B662" t="s">
        <v>1707</v>
      </c>
      <c r="C662" t="s">
        <v>45</v>
      </c>
      <c r="D662" t="s">
        <v>23</v>
      </c>
      <c r="E662">
        <v>1</v>
      </c>
      <c r="F662">
        <v>137.63999999999999</v>
      </c>
      <c r="G662">
        <v>116.99</v>
      </c>
      <c r="H662">
        <v>15</v>
      </c>
      <c r="I662" t="s">
        <v>53</v>
      </c>
      <c r="J662" t="s">
        <v>170</v>
      </c>
      <c r="K662" t="s">
        <v>1708</v>
      </c>
      <c r="L662" t="s">
        <v>31</v>
      </c>
    </row>
    <row r="663" spans="1:12" x14ac:dyDescent="0.3">
      <c r="A663" t="s">
        <v>1709</v>
      </c>
      <c r="B663" t="s">
        <v>1710</v>
      </c>
      <c r="C663" t="s">
        <v>90</v>
      </c>
      <c r="D663" t="s">
        <v>23</v>
      </c>
      <c r="E663">
        <v>29</v>
      </c>
      <c r="F663">
        <v>42.06</v>
      </c>
      <c r="G663">
        <v>1219.74</v>
      </c>
      <c r="H663">
        <v>0</v>
      </c>
      <c r="I663" t="s">
        <v>53</v>
      </c>
      <c r="J663" t="s">
        <v>141</v>
      </c>
      <c r="K663" t="s">
        <v>403</v>
      </c>
      <c r="L663" t="s">
        <v>49</v>
      </c>
    </row>
    <row r="664" spans="1:12" x14ac:dyDescent="0.3">
      <c r="A664" t="s">
        <v>1711</v>
      </c>
      <c r="B664" t="s">
        <v>1712</v>
      </c>
      <c r="C664" t="s">
        <v>63</v>
      </c>
      <c r="D664" t="s">
        <v>15</v>
      </c>
      <c r="E664">
        <v>17</v>
      </c>
      <c r="F664">
        <v>34.25</v>
      </c>
      <c r="G664">
        <v>582.25</v>
      </c>
      <c r="H664">
        <v>0</v>
      </c>
      <c r="I664" t="s">
        <v>16</v>
      </c>
      <c r="J664" t="s">
        <v>111</v>
      </c>
      <c r="K664" t="s">
        <v>300</v>
      </c>
      <c r="L664" t="s">
        <v>49</v>
      </c>
    </row>
    <row r="665" spans="1:12" x14ac:dyDescent="0.3">
      <c r="A665" t="s">
        <v>1713</v>
      </c>
      <c r="B665" t="s">
        <v>1714</v>
      </c>
      <c r="C665" t="s">
        <v>58</v>
      </c>
      <c r="D665" t="s">
        <v>35</v>
      </c>
      <c r="E665">
        <v>27</v>
      </c>
      <c r="F665">
        <v>438.77</v>
      </c>
      <c r="G665">
        <v>11846.79</v>
      </c>
      <c r="H665">
        <v>0</v>
      </c>
      <c r="I665" t="s">
        <v>24</v>
      </c>
      <c r="J665" t="s">
        <v>36</v>
      </c>
      <c r="K665" t="s">
        <v>1715</v>
      </c>
      <c r="L665" t="s">
        <v>27</v>
      </c>
    </row>
    <row r="666" spans="1:12" x14ac:dyDescent="0.3">
      <c r="A666" t="s">
        <v>1716</v>
      </c>
      <c r="B666" t="s">
        <v>1717</v>
      </c>
      <c r="C666" t="s">
        <v>103</v>
      </c>
      <c r="D666" t="s">
        <v>35</v>
      </c>
      <c r="E666">
        <v>13</v>
      </c>
      <c r="F666">
        <v>585.21</v>
      </c>
      <c r="G666">
        <v>6086.18</v>
      </c>
      <c r="H666">
        <v>20</v>
      </c>
      <c r="I666" t="s">
        <v>46</v>
      </c>
      <c r="J666" t="s">
        <v>47</v>
      </c>
      <c r="K666" t="s">
        <v>1718</v>
      </c>
      <c r="L666" t="s">
        <v>31</v>
      </c>
    </row>
    <row r="667" spans="1:12" x14ac:dyDescent="0.3">
      <c r="A667" t="s">
        <v>1719</v>
      </c>
      <c r="B667" t="s">
        <v>710</v>
      </c>
      <c r="C667" t="s">
        <v>82</v>
      </c>
      <c r="D667" t="s">
        <v>73</v>
      </c>
      <c r="E667">
        <v>45</v>
      </c>
      <c r="F667">
        <v>630.27</v>
      </c>
      <c r="G667">
        <v>28362.15</v>
      </c>
      <c r="H667">
        <v>0</v>
      </c>
      <c r="I667" t="s">
        <v>53</v>
      </c>
      <c r="J667" t="s">
        <v>134</v>
      </c>
      <c r="K667" t="s">
        <v>306</v>
      </c>
      <c r="L667" t="s">
        <v>27</v>
      </c>
    </row>
    <row r="668" spans="1:12" x14ac:dyDescent="0.3">
      <c r="A668" t="s">
        <v>1720</v>
      </c>
      <c r="B668" t="s">
        <v>1721</v>
      </c>
      <c r="C668" t="s">
        <v>34</v>
      </c>
      <c r="D668" t="s">
        <v>35</v>
      </c>
      <c r="E668">
        <v>46</v>
      </c>
      <c r="F668">
        <v>670.33</v>
      </c>
      <c r="G668">
        <v>27751.66</v>
      </c>
      <c r="H668">
        <v>10</v>
      </c>
      <c r="I668" t="s">
        <v>46</v>
      </c>
      <c r="J668" t="s">
        <v>83</v>
      </c>
      <c r="K668" t="s">
        <v>1722</v>
      </c>
      <c r="L668" t="s">
        <v>31</v>
      </c>
    </row>
    <row r="669" spans="1:12" x14ac:dyDescent="0.3">
      <c r="A669" t="s">
        <v>1723</v>
      </c>
      <c r="B669" t="s">
        <v>1724</v>
      </c>
      <c r="C669" t="s">
        <v>58</v>
      </c>
      <c r="D669" t="s">
        <v>35</v>
      </c>
      <c r="E669">
        <v>8</v>
      </c>
      <c r="F669">
        <v>223.8</v>
      </c>
      <c r="G669">
        <v>1790.4</v>
      </c>
      <c r="H669">
        <v>0</v>
      </c>
      <c r="I669" t="s">
        <v>24</v>
      </c>
      <c r="J669" t="s">
        <v>36</v>
      </c>
      <c r="K669" t="s">
        <v>1174</v>
      </c>
      <c r="L669" t="s">
        <v>69</v>
      </c>
    </row>
    <row r="670" spans="1:12" x14ac:dyDescent="0.3">
      <c r="A670" t="s">
        <v>1725</v>
      </c>
      <c r="B670" t="s">
        <v>1726</v>
      </c>
      <c r="C670" t="s">
        <v>45</v>
      </c>
      <c r="D670" t="s">
        <v>23</v>
      </c>
      <c r="E670">
        <v>11</v>
      </c>
      <c r="F670">
        <v>159.22</v>
      </c>
      <c r="G670">
        <v>1751.42</v>
      </c>
      <c r="H670">
        <v>0</v>
      </c>
      <c r="I670" t="s">
        <v>53</v>
      </c>
      <c r="J670" t="s">
        <v>134</v>
      </c>
      <c r="K670" t="s">
        <v>1727</v>
      </c>
      <c r="L670" t="s">
        <v>69</v>
      </c>
    </row>
    <row r="671" spans="1:12" x14ac:dyDescent="0.3">
      <c r="A671" t="s">
        <v>1728</v>
      </c>
      <c r="B671" t="s">
        <v>267</v>
      </c>
      <c r="C671" t="s">
        <v>40</v>
      </c>
      <c r="D671" t="s">
        <v>23</v>
      </c>
      <c r="E671">
        <v>43</v>
      </c>
      <c r="F671">
        <v>34.44</v>
      </c>
      <c r="G671">
        <v>1480.92</v>
      </c>
      <c r="H671">
        <v>0</v>
      </c>
      <c r="I671" t="s">
        <v>24</v>
      </c>
      <c r="J671" t="s">
        <v>36</v>
      </c>
      <c r="K671" t="s">
        <v>1729</v>
      </c>
      <c r="L671" t="s">
        <v>31</v>
      </c>
    </row>
    <row r="672" spans="1:12" x14ac:dyDescent="0.3">
      <c r="A672" t="s">
        <v>1730</v>
      </c>
      <c r="B672" t="s">
        <v>1731</v>
      </c>
      <c r="C672" t="s">
        <v>82</v>
      </c>
      <c r="D672" t="s">
        <v>73</v>
      </c>
      <c r="E672">
        <v>29</v>
      </c>
      <c r="F672">
        <v>469.02</v>
      </c>
      <c r="G672">
        <v>13601.58</v>
      </c>
      <c r="H672">
        <v>0</v>
      </c>
      <c r="I672" t="s">
        <v>24</v>
      </c>
      <c r="J672" t="s">
        <v>104</v>
      </c>
      <c r="K672" t="s">
        <v>445</v>
      </c>
      <c r="L672" t="s">
        <v>69</v>
      </c>
    </row>
    <row r="673" spans="1:12" x14ac:dyDescent="0.3">
      <c r="A673" t="s">
        <v>1732</v>
      </c>
      <c r="B673" t="s">
        <v>1733</v>
      </c>
      <c r="C673" t="s">
        <v>22</v>
      </c>
      <c r="D673" t="s">
        <v>23</v>
      </c>
      <c r="E673">
        <v>2</v>
      </c>
      <c r="F673">
        <v>21.65</v>
      </c>
      <c r="G673">
        <v>38.97</v>
      </c>
      <c r="H673">
        <v>10</v>
      </c>
      <c r="I673" t="s">
        <v>16</v>
      </c>
      <c r="J673" t="s">
        <v>160</v>
      </c>
      <c r="K673" t="s">
        <v>1211</v>
      </c>
      <c r="L673" t="s">
        <v>69</v>
      </c>
    </row>
    <row r="674" spans="1:12" x14ac:dyDescent="0.3">
      <c r="A674" t="s">
        <v>1734</v>
      </c>
      <c r="B674" t="s">
        <v>1735</v>
      </c>
      <c r="C674" t="s">
        <v>72</v>
      </c>
      <c r="D674" t="s">
        <v>73</v>
      </c>
      <c r="E674">
        <v>5</v>
      </c>
      <c r="F674">
        <v>447.85</v>
      </c>
      <c r="G674">
        <v>2239.25</v>
      </c>
      <c r="H674">
        <v>0</v>
      </c>
      <c r="I674" t="s">
        <v>16</v>
      </c>
      <c r="J674" t="s">
        <v>160</v>
      </c>
      <c r="K674" t="s">
        <v>1736</v>
      </c>
      <c r="L674" t="s">
        <v>49</v>
      </c>
    </row>
    <row r="675" spans="1:12" x14ac:dyDescent="0.3">
      <c r="A675" t="s">
        <v>1737</v>
      </c>
      <c r="B675" t="s">
        <v>1738</v>
      </c>
      <c r="C675" t="s">
        <v>82</v>
      </c>
      <c r="D675" t="s">
        <v>73</v>
      </c>
      <c r="E675">
        <v>16</v>
      </c>
      <c r="F675">
        <v>445.23</v>
      </c>
      <c r="G675">
        <v>7123.68</v>
      </c>
      <c r="H675">
        <v>0</v>
      </c>
      <c r="I675" t="s">
        <v>16</v>
      </c>
      <c r="J675" t="s">
        <v>74</v>
      </c>
      <c r="K675" t="s">
        <v>1739</v>
      </c>
      <c r="L675" t="s">
        <v>31</v>
      </c>
    </row>
    <row r="676" spans="1:12" x14ac:dyDescent="0.3">
      <c r="A676" t="s">
        <v>1740</v>
      </c>
      <c r="B676" t="s">
        <v>1741</v>
      </c>
      <c r="C676" t="s">
        <v>22</v>
      </c>
      <c r="D676" t="s">
        <v>23</v>
      </c>
      <c r="E676">
        <v>14</v>
      </c>
      <c r="F676">
        <v>25.31</v>
      </c>
      <c r="G676">
        <v>354.34</v>
      </c>
      <c r="H676">
        <v>0</v>
      </c>
      <c r="I676" t="s">
        <v>24</v>
      </c>
      <c r="J676" t="s">
        <v>104</v>
      </c>
      <c r="K676" t="s">
        <v>251</v>
      </c>
      <c r="L676" t="s">
        <v>19</v>
      </c>
    </row>
    <row r="677" spans="1:12" x14ac:dyDescent="0.3">
      <c r="A677" t="s">
        <v>1742</v>
      </c>
      <c r="B677" t="s">
        <v>1058</v>
      </c>
      <c r="C677" t="s">
        <v>63</v>
      </c>
      <c r="D677" t="s">
        <v>15</v>
      </c>
      <c r="E677">
        <v>28</v>
      </c>
      <c r="F677">
        <v>53.14</v>
      </c>
      <c r="G677">
        <v>1487.92</v>
      </c>
      <c r="H677">
        <v>0</v>
      </c>
      <c r="I677" t="s">
        <v>53</v>
      </c>
      <c r="J677" t="s">
        <v>141</v>
      </c>
      <c r="K677" t="s">
        <v>75</v>
      </c>
      <c r="L677" t="s">
        <v>69</v>
      </c>
    </row>
    <row r="678" spans="1:12" x14ac:dyDescent="0.3">
      <c r="A678" t="s">
        <v>1743</v>
      </c>
      <c r="B678" t="s">
        <v>1102</v>
      </c>
      <c r="C678" t="s">
        <v>95</v>
      </c>
      <c r="D678" t="s">
        <v>35</v>
      </c>
      <c r="E678">
        <v>22</v>
      </c>
      <c r="F678">
        <v>1060.18</v>
      </c>
      <c r="G678">
        <v>23323.96</v>
      </c>
      <c r="H678">
        <v>0</v>
      </c>
      <c r="I678" t="s">
        <v>24</v>
      </c>
      <c r="J678" t="s">
        <v>59</v>
      </c>
      <c r="K678" t="s">
        <v>1270</v>
      </c>
      <c r="L678" t="s">
        <v>31</v>
      </c>
    </row>
    <row r="679" spans="1:12" x14ac:dyDescent="0.3">
      <c r="A679" t="s">
        <v>1744</v>
      </c>
      <c r="B679" t="s">
        <v>703</v>
      </c>
      <c r="C679" t="s">
        <v>45</v>
      </c>
      <c r="D679" t="s">
        <v>23</v>
      </c>
      <c r="E679">
        <v>36</v>
      </c>
      <c r="F679">
        <v>97.3</v>
      </c>
      <c r="G679">
        <v>3152.52</v>
      </c>
      <c r="H679">
        <v>10</v>
      </c>
      <c r="I679" t="s">
        <v>16</v>
      </c>
      <c r="J679" t="s">
        <v>160</v>
      </c>
      <c r="K679" t="s">
        <v>167</v>
      </c>
      <c r="L679" t="s">
        <v>69</v>
      </c>
    </row>
    <row r="680" spans="1:12" x14ac:dyDescent="0.3">
      <c r="A680" t="s">
        <v>1745</v>
      </c>
      <c r="B680" t="s">
        <v>1746</v>
      </c>
      <c r="C680" t="s">
        <v>63</v>
      </c>
      <c r="D680" t="s">
        <v>15</v>
      </c>
      <c r="E680">
        <v>14</v>
      </c>
      <c r="F680">
        <v>56.99</v>
      </c>
      <c r="G680">
        <v>757.97</v>
      </c>
      <c r="H680">
        <v>5</v>
      </c>
      <c r="I680" t="s">
        <v>46</v>
      </c>
      <c r="J680" t="s">
        <v>47</v>
      </c>
      <c r="K680" t="s">
        <v>1668</v>
      </c>
      <c r="L680" t="s">
        <v>19</v>
      </c>
    </row>
    <row r="681" spans="1:12" x14ac:dyDescent="0.3">
      <c r="A681" t="s">
        <v>1747</v>
      </c>
      <c r="B681" t="s">
        <v>1748</v>
      </c>
      <c r="C681" t="s">
        <v>45</v>
      </c>
      <c r="D681" t="s">
        <v>23</v>
      </c>
      <c r="E681">
        <v>5</v>
      </c>
      <c r="F681">
        <v>34.17</v>
      </c>
      <c r="G681">
        <v>153.77000000000001</v>
      </c>
      <c r="H681">
        <v>10</v>
      </c>
      <c r="I681" t="s">
        <v>24</v>
      </c>
      <c r="J681" t="s">
        <v>36</v>
      </c>
      <c r="K681" t="s">
        <v>1446</v>
      </c>
      <c r="L681" t="s">
        <v>27</v>
      </c>
    </row>
    <row r="682" spans="1:12" x14ac:dyDescent="0.3">
      <c r="A682" t="s">
        <v>1749</v>
      </c>
      <c r="B682" t="s">
        <v>1750</v>
      </c>
      <c r="C682" t="s">
        <v>34</v>
      </c>
      <c r="D682" t="s">
        <v>35</v>
      </c>
      <c r="E682">
        <v>46</v>
      </c>
      <c r="F682">
        <v>608.76</v>
      </c>
      <c r="G682">
        <v>22402.37</v>
      </c>
      <c r="H682">
        <v>20</v>
      </c>
      <c r="I682" t="s">
        <v>16</v>
      </c>
      <c r="J682" t="s">
        <v>74</v>
      </c>
      <c r="K682" t="s">
        <v>570</v>
      </c>
      <c r="L682" t="s">
        <v>69</v>
      </c>
    </row>
    <row r="683" spans="1:12" x14ac:dyDescent="0.3">
      <c r="A683" t="s">
        <v>1751</v>
      </c>
      <c r="B683" t="s">
        <v>1752</v>
      </c>
      <c r="C683" t="s">
        <v>34</v>
      </c>
      <c r="D683" t="s">
        <v>35</v>
      </c>
      <c r="E683">
        <v>26</v>
      </c>
      <c r="F683">
        <v>426.52</v>
      </c>
      <c r="G683">
        <v>11089.52</v>
      </c>
      <c r="H683">
        <v>0</v>
      </c>
      <c r="I683" t="s">
        <v>53</v>
      </c>
      <c r="J683" t="s">
        <v>54</v>
      </c>
      <c r="K683" t="s">
        <v>1753</v>
      </c>
      <c r="L683" t="s">
        <v>49</v>
      </c>
    </row>
    <row r="684" spans="1:12" x14ac:dyDescent="0.3">
      <c r="A684" t="s">
        <v>1754</v>
      </c>
      <c r="B684" t="s">
        <v>1755</v>
      </c>
      <c r="C684" t="s">
        <v>72</v>
      </c>
      <c r="D684" t="s">
        <v>73</v>
      </c>
      <c r="E684">
        <v>32</v>
      </c>
      <c r="F684">
        <v>385</v>
      </c>
      <c r="G684">
        <v>11088</v>
      </c>
      <c r="H684">
        <v>10</v>
      </c>
      <c r="I684" t="s">
        <v>53</v>
      </c>
      <c r="J684" t="s">
        <v>141</v>
      </c>
      <c r="K684" t="s">
        <v>1355</v>
      </c>
      <c r="L684" t="s">
        <v>27</v>
      </c>
    </row>
    <row r="685" spans="1:12" x14ac:dyDescent="0.3">
      <c r="A685" t="s">
        <v>1756</v>
      </c>
      <c r="B685" t="s">
        <v>1757</v>
      </c>
      <c r="C685" t="s">
        <v>90</v>
      </c>
      <c r="D685" t="s">
        <v>23</v>
      </c>
      <c r="E685">
        <v>13</v>
      </c>
      <c r="F685">
        <v>29.92</v>
      </c>
      <c r="G685">
        <v>369.51</v>
      </c>
      <c r="H685">
        <v>5</v>
      </c>
      <c r="I685" t="s">
        <v>53</v>
      </c>
      <c r="J685" t="s">
        <v>67</v>
      </c>
      <c r="K685" t="s">
        <v>732</v>
      </c>
      <c r="L685" t="s">
        <v>19</v>
      </c>
    </row>
    <row r="686" spans="1:12" x14ac:dyDescent="0.3">
      <c r="A686" t="s">
        <v>1758</v>
      </c>
      <c r="B686" t="s">
        <v>1759</v>
      </c>
      <c r="C686" t="s">
        <v>90</v>
      </c>
      <c r="D686" t="s">
        <v>23</v>
      </c>
      <c r="E686">
        <v>20</v>
      </c>
      <c r="F686">
        <v>27.13</v>
      </c>
      <c r="G686">
        <v>461.21</v>
      </c>
      <c r="H686">
        <v>15</v>
      </c>
      <c r="I686" t="s">
        <v>16</v>
      </c>
      <c r="J686" t="s">
        <v>17</v>
      </c>
      <c r="K686" t="s">
        <v>245</v>
      </c>
      <c r="L686" t="s">
        <v>69</v>
      </c>
    </row>
    <row r="687" spans="1:12" x14ac:dyDescent="0.3">
      <c r="A687" t="s">
        <v>1760</v>
      </c>
      <c r="B687" t="s">
        <v>705</v>
      </c>
      <c r="C687" t="s">
        <v>22</v>
      </c>
      <c r="D687" t="s">
        <v>23</v>
      </c>
      <c r="E687">
        <v>31</v>
      </c>
      <c r="F687">
        <v>20.48</v>
      </c>
      <c r="G687">
        <v>603.14</v>
      </c>
      <c r="H687">
        <v>5</v>
      </c>
      <c r="I687" t="s">
        <v>46</v>
      </c>
      <c r="J687" t="s">
        <v>124</v>
      </c>
      <c r="K687" t="s">
        <v>1130</v>
      </c>
      <c r="L687" t="s">
        <v>69</v>
      </c>
    </row>
    <row r="688" spans="1:12" x14ac:dyDescent="0.3">
      <c r="A688" t="s">
        <v>1761</v>
      </c>
      <c r="B688" t="s">
        <v>1762</v>
      </c>
      <c r="C688" t="s">
        <v>58</v>
      </c>
      <c r="D688" t="s">
        <v>35</v>
      </c>
      <c r="E688">
        <v>33</v>
      </c>
      <c r="F688">
        <v>495.95</v>
      </c>
      <c r="G688">
        <v>16366.35</v>
      </c>
      <c r="H688">
        <v>0</v>
      </c>
      <c r="I688" t="s">
        <v>46</v>
      </c>
      <c r="J688" t="s">
        <v>124</v>
      </c>
      <c r="K688" t="s">
        <v>1663</v>
      </c>
      <c r="L688" t="s">
        <v>49</v>
      </c>
    </row>
    <row r="689" spans="1:12" x14ac:dyDescent="0.3">
      <c r="A689" t="s">
        <v>1763</v>
      </c>
      <c r="B689" t="s">
        <v>1764</v>
      </c>
      <c r="C689" t="s">
        <v>40</v>
      </c>
      <c r="D689" t="s">
        <v>23</v>
      </c>
      <c r="E689">
        <v>30</v>
      </c>
      <c r="F689">
        <v>53.53</v>
      </c>
      <c r="G689">
        <v>1605.9</v>
      </c>
      <c r="H689">
        <v>0</v>
      </c>
      <c r="I689" t="s">
        <v>46</v>
      </c>
      <c r="J689" t="s">
        <v>244</v>
      </c>
      <c r="K689" t="s">
        <v>479</v>
      </c>
      <c r="L689" t="s">
        <v>27</v>
      </c>
    </row>
    <row r="690" spans="1:12" x14ac:dyDescent="0.3">
      <c r="A690" t="s">
        <v>1765</v>
      </c>
      <c r="B690" t="s">
        <v>1056</v>
      </c>
      <c r="C690" t="s">
        <v>34</v>
      </c>
      <c r="D690" t="s">
        <v>35</v>
      </c>
      <c r="E690">
        <v>26</v>
      </c>
      <c r="F690">
        <v>587.47</v>
      </c>
      <c r="G690">
        <v>15274.22</v>
      </c>
      <c r="H690">
        <v>0</v>
      </c>
      <c r="I690" t="s">
        <v>24</v>
      </c>
      <c r="J690" t="s">
        <v>25</v>
      </c>
      <c r="K690" t="s">
        <v>745</v>
      </c>
      <c r="L690" t="s">
        <v>19</v>
      </c>
    </row>
    <row r="691" spans="1:12" x14ac:dyDescent="0.3">
      <c r="A691" t="s">
        <v>1766</v>
      </c>
      <c r="B691" t="s">
        <v>1767</v>
      </c>
      <c r="C691" t="s">
        <v>63</v>
      </c>
      <c r="D691" t="s">
        <v>15</v>
      </c>
      <c r="E691">
        <v>34</v>
      </c>
      <c r="F691">
        <v>67.02</v>
      </c>
      <c r="G691">
        <v>1936.88</v>
      </c>
      <c r="H691">
        <v>15</v>
      </c>
      <c r="I691" t="s">
        <v>46</v>
      </c>
      <c r="J691" t="s">
        <v>124</v>
      </c>
      <c r="K691" t="s">
        <v>1768</v>
      </c>
      <c r="L691" t="s">
        <v>31</v>
      </c>
    </row>
    <row r="692" spans="1:12" x14ac:dyDescent="0.3">
      <c r="A692" t="s">
        <v>1769</v>
      </c>
      <c r="B692" t="s">
        <v>1770</v>
      </c>
      <c r="C692" t="s">
        <v>22</v>
      </c>
      <c r="D692" t="s">
        <v>23</v>
      </c>
      <c r="E692">
        <v>20</v>
      </c>
      <c r="F692">
        <v>37.33</v>
      </c>
      <c r="G692">
        <v>671.94</v>
      </c>
      <c r="H692">
        <v>10</v>
      </c>
      <c r="I692" t="s">
        <v>46</v>
      </c>
      <c r="J692" t="s">
        <v>47</v>
      </c>
      <c r="K692" t="s">
        <v>1753</v>
      </c>
      <c r="L692" t="s">
        <v>27</v>
      </c>
    </row>
    <row r="693" spans="1:12" x14ac:dyDescent="0.3">
      <c r="A693" t="s">
        <v>1771</v>
      </c>
      <c r="B693" t="s">
        <v>1772</v>
      </c>
      <c r="C693" t="s">
        <v>58</v>
      </c>
      <c r="D693" t="s">
        <v>35</v>
      </c>
      <c r="E693">
        <v>34</v>
      </c>
      <c r="F693">
        <v>248.44</v>
      </c>
      <c r="G693">
        <v>7602.26</v>
      </c>
      <c r="H693">
        <v>10</v>
      </c>
      <c r="I693" t="s">
        <v>53</v>
      </c>
      <c r="J693" t="s">
        <v>54</v>
      </c>
      <c r="K693" t="s">
        <v>280</v>
      </c>
      <c r="L693" t="s">
        <v>31</v>
      </c>
    </row>
    <row r="694" spans="1:12" x14ac:dyDescent="0.3">
      <c r="A694" t="s">
        <v>1773</v>
      </c>
      <c r="B694" t="s">
        <v>1774</v>
      </c>
      <c r="C694" t="s">
        <v>123</v>
      </c>
      <c r="D694" t="s">
        <v>15</v>
      </c>
      <c r="E694">
        <v>5</v>
      </c>
      <c r="F694">
        <v>24.69</v>
      </c>
      <c r="G694">
        <v>98.76</v>
      </c>
      <c r="H694">
        <v>20</v>
      </c>
      <c r="I694" t="s">
        <v>16</v>
      </c>
      <c r="J694" t="s">
        <v>74</v>
      </c>
      <c r="K694" t="s">
        <v>488</v>
      </c>
      <c r="L694" t="s">
        <v>69</v>
      </c>
    </row>
    <row r="695" spans="1:12" x14ac:dyDescent="0.3">
      <c r="A695" t="s">
        <v>1775</v>
      </c>
      <c r="B695" t="s">
        <v>1776</v>
      </c>
      <c r="C695" t="s">
        <v>40</v>
      </c>
      <c r="D695" t="s">
        <v>23</v>
      </c>
      <c r="E695">
        <v>11</v>
      </c>
      <c r="F695">
        <v>31.37</v>
      </c>
      <c r="G695">
        <v>345.07</v>
      </c>
      <c r="H695">
        <v>0</v>
      </c>
      <c r="I695" t="s">
        <v>24</v>
      </c>
      <c r="J695" t="s">
        <v>104</v>
      </c>
      <c r="K695" t="s">
        <v>1253</v>
      </c>
      <c r="L695" t="s">
        <v>27</v>
      </c>
    </row>
    <row r="696" spans="1:12" x14ac:dyDescent="0.3">
      <c r="A696" t="s">
        <v>1777</v>
      </c>
      <c r="B696" t="s">
        <v>1778</v>
      </c>
      <c r="C696" t="s">
        <v>95</v>
      </c>
      <c r="D696" t="s">
        <v>35</v>
      </c>
      <c r="E696">
        <v>23</v>
      </c>
      <c r="F696">
        <v>882.01</v>
      </c>
      <c r="G696">
        <v>18257.61</v>
      </c>
      <c r="H696">
        <v>10</v>
      </c>
      <c r="I696" t="s">
        <v>46</v>
      </c>
      <c r="J696" t="s">
        <v>244</v>
      </c>
      <c r="K696" t="s">
        <v>125</v>
      </c>
      <c r="L696" t="s">
        <v>69</v>
      </c>
    </row>
    <row r="697" spans="1:12" x14ac:dyDescent="0.3">
      <c r="A697" t="s">
        <v>1779</v>
      </c>
      <c r="B697" t="s">
        <v>932</v>
      </c>
      <c r="C697" t="s">
        <v>14</v>
      </c>
      <c r="D697" t="s">
        <v>15</v>
      </c>
      <c r="E697">
        <v>1</v>
      </c>
      <c r="F697">
        <v>62.8</v>
      </c>
      <c r="G697">
        <v>59.66</v>
      </c>
      <c r="H697">
        <v>5</v>
      </c>
      <c r="I697" t="s">
        <v>16</v>
      </c>
      <c r="J697" t="s">
        <v>111</v>
      </c>
      <c r="K697" t="s">
        <v>479</v>
      </c>
      <c r="L697" t="s">
        <v>27</v>
      </c>
    </row>
    <row r="698" spans="1:12" x14ac:dyDescent="0.3">
      <c r="A698" t="s">
        <v>1780</v>
      </c>
      <c r="B698" t="s">
        <v>1642</v>
      </c>
      <c r="C698" t="s">
        <v>40</v>
      </c>
      <c r="D698" t="s">
        <v>23</v>
      </c>
      <c r="E698">
        <v>17</v>
      </c>
      <c r="F698">
        <v>75.599999999999994</v>
      </c>
      <c r="G698">
        <v>1285.2</v>
      </c>
      <c r="H698">
        <v>0</v>
      </c>
      <c r="I698" t="s">
        <v>16</v>
      </c>
      <c r="J698" t="s">
        <v>74</v>
      </c>
      <c r="K698" t="s">
        <v>1781</v>
      </c>
      <c r="L698" t="s">
        <v>31</v>
      </c>
    </row>
    <row r="699" spans="1:12" x14ac:dyDescent="0.3">
      <c r="A699" t="s">
        <v>1782</v>
      </c>
      <c r="B699" t="s">
        <v>1525</v>
      </c>
      <c r="C699" t="s">
        <v>82</v>
      </c>
      <c r="D699" t="s">
        <v>73</v>
      </c>
      <c r="E699">
        <v>33</v>
      </c>
      <c r="F699">
        <v>486.25</v>
      </c>
      <c r="G699">
        <v>14441.63</v>
      </c>
      <c r="H699">
        <v>10</v>
      </c>
      <c r="I699" t="s">
        <v>53</v>
      </c>
      <c r="J699" t="s">
        <v>54</v>
      </c>
      <c r="K699" t="s">
        <v>1202</v>
      </c>
      <c r="L699" t="s">
        <v>31</v>
      </c>
    </row>
    <row r="700" spans="1:12" x14ac:dyDescent="0.3">
      <c r="A700" t="s">
        <v>1783</v>
      </c>
      <c r="B700" t="s">
        <v>1784</v>
      </c>
      <c r="C700" t="s">
        <v>52</v>
      </c>
      <c r="D700" t="s">
        <v>35</v>
      </c>
      <c r="E700">
        <v>19</v>
      </c>
      <c r="F700">
        <v>144.79</v>
      </c>
      <c r="G700">
        <v>2751.01</v>
      </c>
      <c r="H700">
        <v>0</v>
      </c>
      <c r="I700" t="s">
        <v>24</v>
      </c>
      <c r="J700" t="s">
        <v>59</v>
      </c>
      <c r="K700" t="s">
        <v>1785</v>
      </c>
      <c r="L700" t="s">
        <v>31</v>
      </c>
    </row>
    <row r="701" spans="1:12" x14ac:dyDescent="0.3">
      <c r="A701" t="s">
        <v>1786</v>
      </c>
      <c r="B701" t="s">
        <v>1642</v>
      </c>
      <c r="C701" t="s">
        <v>82</v>
      </c>
      <c r="D701" t="s">
        <v>73</v>
      </c>
      <c r="E701">
        <v>19</v>
      </c>
      <c r="F701">
        <v>654.32000000000005</v>
      </c>
      <c r="G701">
        <v>9945.66</v>
      </c>
      <c r="H701">
        <v>20</v>
      </c>
      <c r="I701" t="s">
        <v>46</v>
      </c>
      <c r="J701" t="s">
        <v>47</v>
      </c>
      <c r="K701" t="s">
        <v>648</v>
      </c>
      <c r="L701" t="s">
        <v>19</v>
      </c>
    </row>
    <row r="702" spans="1:12" x14ac:dyDescent="0.3">
      <c r="A702" t="s">
        <v>1787</v>
      </c>
      <c r="B702" t="s">
        <v>1788</v>
      </c>
      <c r="C702" t="s">
        <v>40</v>
      </c>
      <c r="D702" t="s">
        <v>23</v>
      </c>
      <c r="E702">
        <v>41</v>
      </c>
      <c r="F702">
        <v>50.85</v>
      </c>
      <c r="G702">
        <v>1876.37</v>
      </c>
      <c r="H702">
        <v>10</v>
      </c>
      <c r="I702" t="s">
        <v>16</v>
      </c>
      <c r="J702" t="s">
        <v>74</v>
      </c>
      <c r="K702" t="s">
        <v>758</v>
      </c>
      <c r="L702" t="s">
        <v>69</v>
      </c>
    </row>
    <row r="703" spans="1:12" x14ac:dyDescent="0.3">
      <c r="A703" t="s">
        <v>1789</v>
      </c>
      <c r="B703" t="s">
        <v>1790</v>
      </c>
      <c r="C703" t="s">
        <v>40</v>
      </c>
      <c r="D703" t="s">
        <v>23</v>
      </c>
      <c r="E703">
        <v>39</v>
      </c>
      <c r="F703">
        <v>36.270000000000003</v>
      </c>
      <c r="G703">
        <v>1414.53</v>
      </c>
      <c r="H703">
        <v>0</v>
      </c>
      <c r="I703" t="s">
        <v>24</v>
      </c>
      <c r="J703" t="s">
        <v>59</v>
      </c>
      <c r="K703" t="s">
        <v>1791</v>
      </c>
      <c r="L703" t="s">
        <v>69</v>
      </c>
    </row>
    <row r="704" spans="1:12" x14ac:dyDescent="0.3">
      <c r="A704" t="s">
        <v>1792</v>
      </c>
      <c r="B704" t="s">
        <v>1793</v>
      </c>
      <c r="C704" t="s">
        <v>45</v>
      </c>
      <c r="D704" t="s">
        <v>23</v>
      </c>
      <c r="E704">
        <v>21</v>
      </c>
      <c r="F704">
        <v>43.16</v>
      </c>
      <c r="G704">
        <v>906.36</v>
      </c>
      <c r="H704">
        <v>0</v>
      </c>
      <c r="I704" t="s">
        <v>16</v>
      </c>
      <c r="J704" t="s">
        <v>160</v>
      </c>
      <c r="K704" t="s">
        <v>322</v>
      </c>
      <c r="L704" t="s">
        <v>69</v>
      </c>
    </row>
    <row r="705" spans="1:12" x14ac:dyDescent="0.3">
      <c r="A705" t="s">
        <v>1794</v>
      </c>
      <c r="B705" t="s">
        <v>707</v>
      </c>
      <c r="C705" t="s">
        <v>52</v>
      </c>
      <c r="D705" t="s">
        <v>35</v>
      </c>
      <c r="E705">
        <v>47</v>
      </c>
      <c r="F705">
        <v>309.42</v>
      </c>
      <c r="G705">
        <v>12361.33</v>
      </c>
      <c r="H705">
        <v>15</v>
      </c>
      <c r="I705" t="s">
        <v>24</v>
      </c>
      <c r="J705" t="s">
        <v>41</v>
      </c>
      <c r="K705" t="s">
        <v>1795</v>
      </c>
      <c r="L705" t="s">
        <v>31</v>
      </c>
    </row>
    <row r="706" spans="1:12" x14ac:dyDescent="0.3">
      <c r="A706" t="s">
        <v>1796</v>
      </c>
      <c r="B706" t="s">
        <v>1797</v>
      </c>
      <c r="C706" t="s">
        <v>58</v>
      </c>
      <c r="D706" t="s">
        <v>35</v>
      </c>
      <c r="E706">
        <v>46</v>
      </c>
      <c r="F706">
        <v>447.59</v>
      </c>
      <c r="G706">
        <v>19559.68</v>
      </c>
      <c r="H706">
        <v>5</v>
      </c>
      <c r="I706" t="s">
        <v>16</v>
      </c>
      <c r="J706" t="s">
        <v>74</v>
      </c>
      <c r="K706" t="s">
        <v>64</v>
      </c>
      <c r="L706" t="s">
        <v>31</v>
      </c>
    </row>
    <row r="707" spans="1:12" x14ac:dyDescent="0.3">
      <c r="A707" t="s">
        <v>1798</v>
      </c>
      <c r="B707" t="s">
        <v>1799</v>
      </c>
      <c r="C707" t="s">
        <v>63</v>
      </c>
      <c r="D707" t="s">
        <v>15</v>
      </c>
      <c r="E707">
        <v>38</v>
      </c>
      <c r="F707">
        <v>34.840000000000003</v>
      </c>
      <c r="G707">
        <v>1257.72</v>
      </c>
      <c r="H707">
        <v>5</v>
      </c>
      <c r="I707" t="s">
        <v>46</v>
      </c>
      <c r="J707" t="s">
        <v>244</v>
      </c>
      <c r="K707" t="s">
        <v>1800</v>
      </c>
      <c r="L707" t="s">
        <v>49</v>
      </c>
    </row>
    <row r="708" spans="1:12" x14ac:dyDescent="0.3">
      <c r="A708" t="s">
        <v>1801</v>
      </c>
      <c r="B708" t="s">
        <v>1802</v>
      </c>
      <c r="C708" t="s">
        <v>34</v>
      </c>
      <c r="D708" t="s">
        <v>35</v>
      </c>
      <c r="E708">
        <v>5</v>
      </c>
      <c r="F708">
        <v>727.36</v>
      </c>
      <c r="G708">
        <v>3091.28</v>
      </c>
      <c r="H708">
        <v>15</v>
      </c>
      <c r="I708" t="s">
        <v>24</v>
      </c>
      <c r="J708" t="s">
        <v>41</v>
      </c>
      <c r="K708" t="s">
        <v>500</v>
      </c>
      <c r="L708" t="s">
        <v>19</v>
      </c>
    </row>
    <row r="709" spans="1:12" x14ac:dyDescent="0.3">
      <c r="A709" t="s">
        <v>1803</v>
      </c>
      <c r="B709" t="s">
        <v>966</v>
      </c>
      <c r="C709" t="s">
        <v>99</v>
      </c>
      <c r="D709" t="s">
        <v>23</v>
      </c>
      <c r="E709">
        <v>33</v>
      </c>
      <c r="F709">
        <v>18.670000000000002</v>
      </c>
      <c r="G709">
        <v>616.11</v>
      </c>
      <c r="H709">
        <v>0</v>
      </c>
      <c r="I709" t="s">
        <v>16</v>
      </c>
      <c r="J709" t="s">
        <v>111</v>
      </c>
      <c r="K709" t="s">
        <v>1804</v>
      </c>
      <c r="L709" t="s">
        <v>49</v>
      </c>
    </row>
    <row r="710" spans="1:12" x14ac:dyDescent="0.3">
      <c r="A710" t="s">
        <v>1805</v>
      </c>
      <c r="B710" t="s">
        <v>1177</v>
      </c>
      <c r="C710" t="s">
        <v>52</v>
      </c>
      <c r="D710" t="s">
        <v>35</v>
      </c>
      <c r="E710">
        <v>8</v>
      </c>
      <c r="F710">
        <v>308.27</v>
      </c>
      <c r="G710">
        <v>2219.54</v>
      </c>
      <c r="H710">
        <v>10</v>
      </c>
      <c r="I710" t="s">
        <v>24</v>
      </c>
      <c r="J710" t="s">
        <v>25</v>
      </c>
      <c r="K710" t="s">
        <v>1467</v>
      </c>
      <c r="L710" t="s">
        <v>19</v>
      </c>
    </row>
    <row r="711" spans="1:12" x14ac:dyDescent="0.3">
      <c r="A711" t="s">
        <v>1806</v>
      </c>
      <c r="B711" t="s">
        <v>1807</v>
      </c>
      <c r="C711" t="s">
        <v>34</v>
      </c>
      <c r="D711" t="s">
        <v>35</v>
      </c>
      <c r="E711">
        <v>44</v>
      </c>
      <c r="F711">
        <v>668.31</v>
      </c>
      <c r="G711">
        <v>24994.79</v>
      </c>
      <c r="H711">
        <v>15</v>
      </c>
      <c r="I711" t="s">
        <v>16</v>
      </c>
      <c r="J711" t="s">
        <v>17</v>
      </c>
      <c r="K711" t="s">
        <v>1804</v>
      </c>
      <c r="L711" t="s">
        <v>31</v>
      </c>
    </row>
    <row r="712" spans="1:12" x14ac:dyDescent="0.3">
      <c r="A712" t="s">
        <v>1808</v>
      </c>
      <c r="B712" t="s">
        <v>841</v>
      </c>
      <c r="C712" t="s">
        <v>123</v>
      </c>
      <c r="D712" t="s">
        <v>15</v>
      </c>
      <c r="E712">
        <v>27</v>
      </c>
      <c r="F712">
        <v>15.98</v>
      </c>
      <c r="G712">
        <v>431.46</v>
      </c>
      <c r="H712">
        <v>0</v>
      </c>
      <c r="I712" t="s">
        <v>16</v>
      </c>
      <c r="J712" t="s">
        <v>91</v>
      </c>
      <c r="K712" t="s">
        <v>1809</v>
      </c>
      <c r="L712" t="s">
        <v>19</v>
      </c>
    </row>
    <row r="713" spans="1:12" x14ac:dyDescent="0.3">
      <c r="A713" t="s">
        <v>1810</v>
      </c>
      <c r="B713" t="s">
        <v>1454</v>
      </c>
      <c r="C713" t="s">
        <v>52</v>
      </c>
      <c r="D713" t="s">
        <v>35</v>
      </c>
      <c r="E713">
        <v>5</v>
      </c>
      <c r="F713">
        <v>104.09</v>
      </c>
      <c r="G713">
        <v>520.45000000000005</v>
      </c>
      <c r="H713">
        <v>0</v>
      </c>
      <c r="I713" t="s">
        <v>46</v>
      </c>
      <c r="J713" t="s">
        <v>83</v>
      </c>
      <c r="K713" t="s">
        <v>1811</v>
      </c>
      <c r="L713" t="s">
        <v>31</v>
      </c>
    </row>
    <row r="714" spans="1:12" x14ac:dyDescent="0.3">
      <c r="A714" t="s">
        <v>1812</v>
      </c>
      <c r="B714" t="s">
        <v>1813</v>
      </c>
      <c r="C714" t="s">
        <v>14</v>
      </c>
      <c r="D714" t="s">
        <v>15</v>
      </c>
      <c r="E714">
        <v>28</v>
      </c>
      <c r="F714">
        <v>96.43</v>
      </c>
      <c r="G714">
        <v>2700.04</v>
      </c>
      <c r="H714">
        <v>0</v>
      </c>
      <c r="I714" t="s">
        <v>53</v>
      </c>
      <c r="J714" t="s">
        <v>134</v>
      </c>
      <c r="K714" t="s">
        <v>112</v>
      </c>
      <c r="L714" t="s">
        <v>27</v>
      </c>
    </row>
    <row r="715" spans="1:12" x14ac:dyDescent="0.3">
      <c r="A715" t="s">
        <v>1814</v>
      </c>
      <c r="B715" t="s">
        <v>1815</v>
      </c>
      <c r="C715" t="s">
        <v>82</v>
      </c>
      <c r="D715" t="s">
        <v>73</v>
      </c>
      <c r="E715">
        <v>41</v>
      </c>
      <c r="F715">
        <v>394.53</v>
      </c>
      <c r="G715">
        <v>16175.73</v>
      </c>
      <c r="H715">
        <v>0</v>
      </c>
      <c r="I715" t="s">
        <v>16</v>
      </c>
      <c r="J715" t="s">
        <v>74</v>
      </c>
      <c r="K715" t="s">
        <v>369</v>
      </c>
      <c r="L715" t="s">
        <v>69</v>
      </c>
    </row>
    <row r="716" spans="1:12" x14ac:dyDescent="0.3">
      <c r="A716" t="s">
        <v>1816</v>
      </c>
      <c r="B716" t="s">
        <v>1817</v>
      </c>
      <c r="C716" t="s">
        <v>90</v>
      </c>
      <c r="D716" t="s">
        <v>23</v>
      </c>
      <c r="E716">
        <v>39</v>
      </c>
      <c r="F716">
        <v>23.88</v>
      </c>
      <c r="G716">
        <v>838.19</v>
      </c>
      <c r="H716">
        <v>10</v>
      </c>
      <c r="I716" t="s">
        <v>46</v>
      </c>
      <c r="J716" t="s">
        <v>47</v>
      </c>
      <c r="K716" t="s">
        <v>1818</v>
      </c>
      <c r="L716" t="s">
        <v>69</v>
      </c>
    </row>
    <row r="717" spans="1:12" x14ac:dyDescent="0.3">
      <c r="A717" t="s">
        <v>1819</v>
      </c>
      <c r="B717" t="s">
        <v>1498</v>
      </c>
      <c r="C717" t="s">
        <v>90</v>
      </c>
      <c r="D717" t="s">
        <v>23</v>
      </c>
      <c r="E717">
        <v>39</v>
      </c>
      <c r="F717">
        <v>33.93</v>
      </c>
      <c r="G717">
        <v>1190.94</v>
      </c>
      <c r="H717">
        <v>10</v>
      </c>
      <c r="I717" t="s">
        <v>16</v>
      </c>
      <c r="J717" t="s">
        <v>160</v>
      </c>
      <c r="K717" t="s">
        <v>1820</v>
      </c>
      <c r="L717" t="s">
        <v>19</v>
      </c>
    </row>
    <row r="718" spans="1:12" x14ac:dyDescent="0.3">
      <c r="A718" t="s">
        <v>1821</v>
      </c>
      <c r="B718" t="s">
        <v>1822</v>
      </c>
      <c r="C718" t="s">
        <v>82</v>
      </c>
      <c r="D718" t="s">
        <v>73</v>
      </c>
      <c r="E718">
        <v>26</v>
      </c>
      <c r="F718">
        <v>457.45</v>
      </c>
      <c r="G718">
        <v>11299.01</v>
      </c>
      <c r="H718">
        <v>5</v>
      </c>
      <c r="I718" t="s">
        <v>24</v>
      </c>
      <c r="J718" t="s">
        <v>59</v>
      </c>
      <c r="K718" t="s">
        <v>1033</v>
      </c>
      <c r="L718" t="s">
        <v>31</v>
      </c>
    </row>
    <row r="719" spans="1:12" x14ac:dyDescent="0.3">
      <c r="A719" t="s">
        <v>1823</v>
      </c>
      <c r="B719" t="s">
        <v>1824</v>
      </c>
      <c r="C719" t="s">
        <v>14</v>
      </c>
      <c r="D719" t="s">
        <v>15</v>
      </c>
      <c r="E719">
        <v>42</v>
      </c>
      <c r="F719">
        <v>55.48</v>
      </c>
      <c r="G719">
        <v>2330.16</v>
      </c>
      <c r="H719">
        <v>0</v>
      </c>
      <c r="I719" t="s">
        <v>16</v>
      </c>
      <c r="J719" t="s">
        <v>91</v>
      </c>
      <c r="K719" t="s">
        <v>1112</v>
      </c>
      <c r="L719" t="s">
        <v>49</v>
      </c>
    </row>
    <row r="720" spans="1:12" x14ac:dyDescent="0.3">
      <c r="A720" t="s">
        <v>1825</v>
      </c>
      <c r="B720" t="s">
        <v>1807</v>
      </c>
      <c r="C720" t="s">
        <v>40</v>
      </c>
      <c r="D720" t="s">
        <v>23</v>
      </c>
      <c r="E720">
        <v>8</v>
      </c>
      <c r="F720">
        <v>44.81</v>
      </c>
      <c r="G720">
        <v>358.48</v>
      </c>
      <c r="H720">
        <v>0</v>
      </c>
      <c r="I720" t="s">
        <v>24</v>
      </c>
      <c r="J720" t="s">
        <v>25</v>
      </c>
      <c r="K720" t="s">
        <v>1826</v>
      </c>
      <c r="L720" t="s">
        <v>69</v>
      </c>
    </row>
    <row r="721" spans="1:12" x14ac:dyDescent="0.3">
      <c r="A721" t="s">
        <v>1827</v>
      </c>
      <c r="B721" t="s">
        <v>362</v>
      </c>
      <c r="C721" t="s">
        <v>99</v>
      </c>
      <c r="D721" t="s">
        <v>23</v>
      </c>
      <c r="E721">
        <v>23</v>
      </c>
      <c r="F721">
        <v>19.600000000000001</v>
      </c>
      <c r="G721">
        <v>428.26</v>
      </c>
      <c r="H721">
        <v>5</v>
      </c>
      <c r="I721" t="s">
        <v>46</v>
      </c>
      <c r="J721" t="s">
        <v>78</v>
      </c>
      <c r="K721" t="s">
        <v>488</v>
      </c>
      <c r="L721" t="s">
        <v>19</v>
      </c>
    </row>
    <row r="722" spans="1:12" x14ac:dyDescent="0.3">
      <c r="A722" t="s">
        <v>1828</v>
      </c>
      <c r="B722" t="s">
        <v>1829</v>
      </c>
      <c r="C722" t="s">
        <v>72</v>
      </c>
      <c r="D722" t="s">
        <v>73</v>
      </c>
      <c r="E722">
        <v>40</v>
      </c>
      <c r="F722">
        <v>476.63</v>
      </c>
      <c r="G722">
        <v>16205.42</v>
      </c>
      <c r="H722">
        <v>15</v>
      </c>
      <c r="I722" t="s">
        <v>53</v>
      </c>
      <c r="J722" t="s">
        <v>134</v>
      </c>
      <c r="K722" t="s">
        <v>1830</v>
      </c>
      <c r="L722" t="s">
        <v>31</v>
      </c>
    </row>
    <row r="723" spans="1:12" x14ac:dyDescent="0.3">
      <c r="A723" t="s">
        <v>1831</v>
      </c>
      <c r="B723" t="s">
        <v>1832</v>
      </c>
      <c r="C723" t="s">
        <v>72</v>
      </c>
      <c r="D723" t="s">
        <v>73</v>
      </c>
      <c r="E723">
        <v>21</v>
      </c>
      <c r="F723">
        <v>443.76</v>
      </c>
      <c r="G723">
        <v>9318.9599999999991</v>
      </c>
      <c r="H723">
        <v>0</v>
      </c>
      <c r="I723" t="s">
        <v>53</v>
      </c>
      <c r="J723" t="s">
        <v>67</v>
      </c>
      <c r="K723" t="s">
        <v>1826</v>
      </c>
      <c r="L723" t="s">
        <v>69</v>
      </c>
    </row>
    <row r="724" spans="1:12" x14ac:dyDescent="0.3">
      <c r="A724" t="s">
        <v>1833</v>
      </c>
      <c r="B724" t="s">
        <v>1834</v>
      </c>
      <c r="C724" t="s">
        <v>63</v>
      </c>
      <c r="D724" t="s">
        <v>15</v>
      </c>
      <c r="E724">
        <v>3</v>
      </c>
      <c r="F724">
        <v>29.14</v>
      </c>
      <c r="G724">
        <v>78.680000000000007</v>
      </c>
      <c r="H724">
        <v>10</v>
      </c>
      <c r="I724" t="s">
        <v>53</v>
      </c>
      <c r="J724" t="s">
        <v>134</v>
      </c>
      <c r="K724" t="s">
        <v>245</v>
      </c>
      <c r="L724" t="s">
        <v>19</v>
      </c>
    </row>
    <row r="725" spans="1:12" x14ac:dyDescent="0.3">
      <c r="A725" t="s">
        <v>1835</v>
      </c>
      <c r="B725" t="s">
        <v>1836</v>
      </c>
      <c r="C725" t="s">
        <v>45</v>
      </c>
      <c r="D725" t="s">
        <v>23</v>
      </c>
      <c r="E725">
        <v>28</v>
      </c>
      <c r="F725">
        <v>163.62</v>
      </c>
      <c r="G725">
        <v>4581.3599999999997</v>
      </c>
      <c r="H725">
        <v>0</v>
      </c>
      <c r="I725" t="s">
        <v>53</v>
      </c>
      <c r="J725" t="s">
        <v>141</v>
      </c>
      <c r="K725" t="s">
        <v>1052</v>
      </c>
      <c r="L725" t="s">
        <v>49</v>
      </c>
    </row>
    <row r="726" spans="1:12" x14ac:dyDescent="0.3">
      <c r="A726" t="s">
        <v>1837</v>
      </c>
      <c r="B726" t="s">
        <v>1838</v>
      </c>
      <c r="C726" t="s">
        <v>95</v>
      </c>
      <c r="D726" t="s">
        <v>35</v>
      </c>
      <c r="E726">
        <v>11</v>
      </c>
      <c r="F726">
        <v>1155.76</v>
      </c>
      <c r="G726">
        <v>10806.36</v>
      </c>
      <c r="H726">
        <v>15</v>
      </c>
      <c r="I726" t="s">
        <v>16</v>
      </c>
      <c r="J726" t="s">
        <v>74</v>
      </c>
      <c r="K726" t="s">
        <v>1490</v>
      </c>
      <c r="L726" t="s">
        <v>27</v>
      </c>
    </row>
    <row r="727" spans="1:12" x14ac:dyDescent="0.3">
      <c r="A727" t="s">
        <v>1839</v>
      </c>
      <c r="B727" t="s">
        <v>1840</v>
      </c>
      <c r="C727" t="s">
        <v>34</v>
      </c>
      <c r="D727" t="s">
        <v>35</v>
      </c>
      <c r="E727">
        <v>38</v>
      </c>
      <c r="F727">
        <v>489.12</v>
      </c>
      <c r="G727">
        <v>16727.900000000001</v>
      </c>
      <c r="H727">
        <v>10</v>
      </c>
      <c r="I727" t="s">
        <v>46</v>
      </c>
      <c r="J727" t="s">
        <v>124</v>
      </c>
      <c r="K727" t="s">
        <v>392</v>
      </c>
      <c r="L727" t="s">
        <v>49</v>
      </c>
    </row>
    <row r="728" spans="1:12" x14ac:dyDescent="0.3">
      <c r="A728" t="s">
        <v>1841</v>
      </c>
      <c r="B728" t="s">
        <v>1842</v>
      </c>
      <c r="C728" t="s">
        <v>63</v>
      </c>
      <c r="D728" t="s">
        <v>15</v>
      </c>
      <c r="E728">
        <v>22</v>
      </c>
      <c r="F728">
        <v>38.549999999999997</v>
      </c>
      <c r="G728">
        <v>805.69</v>
      </c>
      <c r="H728">
        <v>5</v>
      </c>
      <c r="I728" t="s">
        <v>16</v>
      </c>
      <c r="J728" t="s">
        <v>91</v>
      </c>
      <c r="K728" t="s">
        <v>766</v>
      </c>
      <c r="L728" t="s">
        <v>19</v>
      </c>
    </row>
    <row r="729" spans="1:12" x14ac:dyDescent="0.3">
      <c r="A729" t="s">
        <v>1843</v>
      </c>
      <c r="B729" t="s">
        <v>1844</v>
      </c>
      <c r="C729" t="s">
        <v>82</v>
      </c>
      <c r="D729" t="s">
        <v>73</v>
      </c>
      <c r="E729">
        <v>31</v>
      </c>
      <c r="F729">
        <v>685.6</v>
      </c>
      <c r="G729">
        <v>20190.919999999998</v>
      </c>
      <c r="H729">
        <v>5</v>
      </c>
      <c r="I729" t="s">
        <v>16</v>
      </c>
      <c r="J729" t="s">
        <v>74</v>
      </c>
      <c r="K729" t="s">
        <v>1845</v>
      </c>
      <c r="L729" t="s">
        <v>31</v>
      </c>
    </row>
    <row r="730" spans="1:12" x14ac:dyDescent="0.3">
      <c r="A730" t="s">
        <v>1846</v>
      </c>
      <c r="B730" t="s">
        <v>282</v>
      </c>
      <c r="C730" t="s">
        <v>82</v>
      </c>
      <c r="D730" t="s">
        <v>73</v>
      </c>
      <c r="E730">
        <v>15</v>
      </c>
      <c r="F730">
        <v>710.36</v>
      </c>
      <c r="G730">
        <v>10655.4</v>
      </c>
      <c r="H730">
        <v>0</v>
      </c>
      <c r="I730" t="s">
        <v>53</v>
      </c>
      <c r="J730" t="s">
        <v>67</v>
      </c>
      <c r="K730" t="s">
        <v>294</v>
      </c>
      <c r="L730" t="s">
        <v>31</v>
      </c>
    </row>
    <row r="731" spans="1:12" x14ac:dyDescent="0.3">
      <c r="A731" t="s">
        <v>1847</v>
      </c>
      <c r="B731" t="s">
        <v>1848</v>
      </c>
      <c r="C731" t="s">
        <v>63</v>
      </c>
      <c r="D731" t="s">
        <v>15</v>
      </c>
      <c r="E731">
        <v>38</v>
      </c>
      <c r="F731">
        <v>73.22</v>
      </c>
      <c r="G731">
        <v>2225.89</v>
      </c>
      <c r="H731">
        <v>20</v>
      </c>
      <c r="I731" t="s">
        <v>46</v>
      </c>
      <c r="J731" t="s">
        <v>78</v>
      </c>
      <c r="K731" t="s">
        <v>1232</v>
      </c>
      <c r="L731" t="s">
        <v>49</v>
      </c>
    </row>
    <row r="732" spans="1:12" x14ac:dyDescent="0.3">
      <c r="A732" t="s">
        <v>1849</v>
      </c>
      <c r="B732" t="s">
        <v>827</v>
      </c>
      <c r="C732" t="s">
        <v>63</v>
      </c>
      <c r="D732" t="s">
        <v>15</v>
      </c>
      <c r="E732">
        <v>25</v>
      </c>
      <c r="F732">
        <v>51.16</v>
      </c>
      <c r="G732">
        <v>1279</v>
      </c>
      <c r="H732">
        <v>0</v>
      </c>
      <c r="I732" t="s">
        <v>16</v>
      </c>
      <c r="J732" t="s">
        <v>160</v>
      </c>
      <c r="K732" t="s">
        <v>975</v>
      </c>
      <c r="L732" t="s">
        <v>19</v>
      </c>
    </row>
    <row r="733" spans="1:12" x14ac:dyDescent="0.3">
      <c r="A733" t="s">
        <v>1850</v>
      </c>
      <c r="B733" t="s">
        <v>359</v>
      </c>
      <c r="C733" t="s">
        <v>45</v>
      </c>
      <c r="D733" t="s">
        <v>23</v>
      </c>
      <c r="E733">
        <v>28</v>
      </c>
      <c r="F733">
        <v>62.82</v>
      </c>
      <c r="G733">
        <v>1671.01</v>
      </c>
      <c r="H733">
        <v>5</v>
      </c>
      <c r="I733" t="s">
        <v>24</v>
      </c>
      <c r="J733" t="s">
        <v>36</v>
      </c>
      <c r="K733" t="s">
        <v>967</v>
      </c>
      <c r="L733" t="s">
        <v>69</v>
      </c>
    </row>
    <row r="734" spans="1:12" x14ac:dyDescent="0.3">
      <c r="A734" t="s">
        <v>1851</v>
      </c>
      <c r="B734" t="s">
        <v>1852</v>
      </c>
      <c r="C734" t="s">
        <v>58</v>
      </c>
      <c r="D734" t="s">
        <v>35</v>
      </c>
      <c r="E734">
        <v>14</v>
      </c>
      <c r="F734">
        <v>355.43</v>
      </c>
      <c r="G734">
        <v>4976.0200000000004</v>
      </c>
      <c r="H734">
        <v>0</v>
      </c>
      <c r="I734" t="s">
        <v>16</v>
      </c>
      <c r="J734" t="s">
        <v>91</v>
      </c>
      <c r="K734" t="s">
        <v>1853</v>
      </c>
      <c r="L734" t="s">
        <v>19</v>
      </c>
    </row>
    <row r="735" spans="1:12" x14ac:dyDescent="0.3">
      <c r="A735" t="s">
        <v>1854</v>
      </c>
      <c r="B735" t="s">
        <v>1855</v>
      </c>
      <c r="C735" t="s">
        <v>22</v>
      </c>
      <c r="D735" t="s">
        <v>23</v>
      </c>
      <c r="E735">
        <v>6</v>
      </c>
      <c r="F735">
        <v>21.21</v>
      </c>
      <c r="G735">
        <v>127.26</v>
      </c>
      <c r="H735">
        <v>0</v>
      </c>
      <c r="I735" t="s">
        <v>24</v>
      </c>
      <c r="J735" t="s">
        <v>41</v>
      </c>
      <c r="K735" t="s">
        <v>687</v>
      </c>
      <c r="L735" t="s">
        <v>27</v>
      </c>
    </row>
    <row r="736" spans="1:12" x14ac:dyDescent="0.3">
      <c r="A736" t="s">
        <v>1856</v>
      </c>
      <c r="B736" t="s">
        <v>1857</v>
      </c>
      <c r="C736" t="s">
        <v>45</v>
      </c>
      <c r="D736" t="s">
        <v>23</v>
      </c>
      <c r="E736">
        <v>49</v>
      </c>
      <c r="F736">
        <v>47.72</v>
      </c>
      <c r="G736">
        <v>2221.37</v>
      </c>
      <c r="H736">
        <v>5</v>
      </c>
      <c r="I736" t="s">
        <v>46</v>
      </c>
      <c r="J736" t="s">
        <v>78</v>
      </c>
      <c r="K736" t="s">
        <v>174</v>
      </c>
      <c r="L736" t="s">
        <v>49</v>
      </c>
    </row>
    <row r="737" spans="1:12" x14ac:dyDescent="0.3">
      <c r="A737" t="s">
        <v>1858</v>
      </c>
      <c r="B737" t="s">
        <v>552</v>
      </c>
      <c r="C737" t="s">
        <v>58</v>
      </c>
      <c r="D737" t="s">
        <v>35</v>
      </c>
      <c r="E737">
        <v>22</v>
      </c>
      <c r="F737">
        <v>248.74</v>
      </c>
      <c r="G737">
        <v>5198.67</v>
      </c>
      <c r="H737">
        <v>5</v>
      </c>
      <c r="I737" t="s">
        <v>46</v>
      </c>
      <c r="J737" t="s">
        <v>83</v>
      </c>
      <c r="K737" t="s">
        <v>556</v>
      </c>
      <c r="L737" t="s">
        <v>69</v>
      </c>
    </row>
    <row r="738" spans="1:12" x14ac:dyDescent="0.3">
      <c r="A738" t="s">
        <v>1859</v>
      </c>
      <c r="B738" t="s">
        <v>1860</v>
      </c>
      <c r="C738" t="s">
        <v>103</v>
      </c>
      <c r="D738" t="s">
        <v>35</v>
      </c>
      <c r="E738">
        <v>24</v>
      </c>
      <c r="F738">
        <v>566.37</v>
      </c>
      <c r="G738">
        <v>10874.3</v>
      </c>
      <c r="H738">
        <v>20</v>
      </c>
      <c r="I738" t="s">
        <v>16</v>
      </c>
      <c r="J738" t="s">
        <v>91</v>
      </c>
      <c r="K738" t="s">
        <v>1861</v>
      </c>
      <c r="L738" t="s">
        <v>69</v>
      </c>
    </row>
    <row r="739" spans="1:12" x14ac:dyDescent="0.3">
      <c r="A739" t="s">
        <v>1862</v>
      </c>
      <c r="B739" t="s">
        <v>1863</v>
      </c>
      <c r="C739" t="s">
        <v>40</v>
      </c>
      <c r="D739" t="s">
        <v>23</v>
      </c>
      <c r="E739">
        <v>30</v>
      </c>
      <c r="F739">
        <v>66.099999999999994</v>
      </c>
      <c r="G739">
        <v>1685.55</v>
      </c>
      <c r="H739">
        <v>15</v>
      </c>
      <c r="I739" t="s">
        <v>46</v>
      </c>
      <c r="J739" t="s">
        <v>47</v>
      </c>
      <c r="K739" t="s">
        <v>790</v>
      </c>
      <c r="L739" t="s">
        <v>19</v>
      </c>
    </row>
    <row r="740" spans="1:12" x14ac:dyDescent="0.3">
      <c r="A740" t="s">
        <v>1864</v>
      </c>
      <c r="B740" t="s">
        <v>1865</v>
      </c>
      <c r="C740" t="s">
        <v>63</v>
      </c>
      <c r="D740" t="s">
        <v>15</v>
      </c>
      <c r="E740">
        <v>50</v>
      </c>
      <c r="F740">
        <v>34.21</v>
      </c>
      <c r="G740">
        <v>1453.93</v>
      </c>
      <c r="H740">
        <v>15</v>
      </c>
      <c r="I740" t="s">
        <v>46</v>
      </c>
      <c r="J740" t="s">
        <v>244</v>
      </c>
      <c r="K740" t="s">
        <v>891</v>
      </c>
      <c r="L740" t="s">
        <v>19</v>
      </c>
    </row>
    <row r="741" spans="1:12" x14ac:dyDescent="0.3">
      <c r="A741" t="s">
        <v>1866</v>
      </c>
      <c r="B741" t="s">
        <v>1867</v>
      </c>
      <c r="C741" t="s">
        <v>82</v>
      </c>
      <c r="D741" t="s">
        <v>73</v>
      </c>
      <c r="E741">
        <v>3</v>
      </c>
      <c r="F741">
        <v>311.76</v>
      </c>
      <c r="G741">
        <v>935.28</v>
      </c>
      <c r="H741">
        <v>0</v>
      </c>
      <c r="I741" t="s">
        <v>46</v>
      </c>
      <c r="J741" t="s">
        <v>244</v>
      </c>
      <c r="K741" t="s">
        <v>923</v>
      </c>
      <c r="L741" t="s">
        <v>19</v>
      </c>
    </row>
    <row r="742" spans="1:12" x14ac:dyDescent="0.3">
      <c r="A742" t="s">
        <v>1868</v>
      </c>
      <c r="B742" t="s">
        <v>1162</v>
      </c>
      <c r="C742" t="s">
        <v>72</v>
      </c>
      <c r="D742" t="s">
        <v>73</v>
      </c>
      <c r="E742">
        <v>5</v>
      </c>
      <c r="F742">
        <v>434.15</v>
      </c>
      <c r="G742">
        <v>1845.14</v>
      </c>
      <c r="H742">
        <v>15</v>
      </c>
      <c r="I742" t="s">
        <v>46</v>
      </c>
      <c r="J742" t="s">
        <v>83</v>
      </c>
      <c r="K742" t="s">
        <v>1494</v>
      </c>
      <c r="L742" t="s">
        <v>27</v>
      </c>
    </row>
    <row r="743" spans="1:12" x14ac:dyDescent="0.3">
      <c r="A743" t="s">
        <v>1869</v>
      </c>
      <c r="B743" t="s">
        <v>1870</v>
      </c>
      <c r="C743" t="s">
        <v>82</v>
      </c>
      <c r="D743" t="s">
        <v>73</v>
      </c>
      <c r="E743">
        <v>5</v>
      </c>
      <c r="F743">
        <v>479.01</v>
      </c>
      <c r="G743">
        <v>2395.0500000000002</v>
      </c>
      <c r="H743">
        <v>0</v>
      </c>
      <c r="I743" t="s">
        <v>16</v>
      </c>
      <c r="J743" t="s">
        <v>74</v>
      </c>
      <c r="K743" t="s">
        <v>1871</v>
      </c>
      <c r="L743" t="s">
        <v>19</v>
      </c>
    </row>
    <row r="744" spans="1:12" x14ac:dyDescent="0.3">
      <c r="A744" t="s">
        <v>1872</v>
      </c>
      <c r="B744" t="s">
        <v>1088</v>
      </c>
      <c r="C744" t="s">
        <v>95</v>
      </c>
      <c r="D744" t="s">
        <v>35</v>
      </c>
      <c r="E744">
        <v>43</v>
      </c>
      <c r="F744">
        <v>962.73</v>
      </c>
      <c r="G744">
        <v>41397.39</v>
      </c>
      <c r="H744">
        <v>0</v>
      </c>
      <c r="I744" t="s">
        <v>16</v>
      </c>
      <c r="J744" t="s">
        <v>160</v>
      </c>
      <c r="K744" t="s">
        <v>1408</v>
      </c>
      <c r="L744" t="s">
        <v>31</v>
      </c>
    </row>
    <row r="745" spans="1:12" x14ac:dyDescent="0.3">
      <c r="A745" t="s">
        <v>1873</v>
      </c>
      <c r="B745" t="s">
        <v>647</v>
      </c>
      <c r="C745" t="s">
        <v>103</v>
      </c>
      <c r="D745" t="s">
        <v>35</v>
      </c>
      <c r="E745">
        <v>41</v>
      </c>
      <c r="F745">
        <v>407.68</v>
      </c>
      <c r="G745">
        <v>14207.65</v>
      </c>
      <c r="H745">
        <v>15</v>
      </c>
      <c r="I745" t="s">
        <v>24</v>
      </c>
      <c r="J745" t="s">
        <v>59</v>
      </c>
      <c r="K745" t="s">
        <v>306</v>
      </c>
      <c r="L745" t="s">
        <v>19</v>
      </c>
    </row>
    <row r="746" spans="1:12" x14ac:dyDescent="0.3">
      <c r="A746" t="s">
        <v>1874</v>
      </c>
      <c r="B746" t="s">
        <v>1838</v>
      </c>
      <c r="C746" t="s">
        <v>99</v>
      </c>
      <c r="D746" t="s">
        <v>23</v>
      </c>
      <c r="E746">
        <v>44</v>
      </c>
      <c r="F746">
        <v>24.36</v>
      </c>
      <c r="G746">
        <v>1071.8399999999999</v>
      </c>
      <c r="H746">
        <v>0</v>
      </c>
      <c r="I746" t="s">
        <v>46</v>
      </c>
      <c r="J746" t="s">
        <v>47</v>
      </c>
      <c r="K746" t="s">
        <v>1875</v>
      </c>
      <c r="L746" t="s">
        <v>69</v>
      </c>
    </row>
    <row r="747" spans="1:12" x14ac:dyDescent="0.3">
      <c r="A747" t="s">
        <v>1876</v>
      </c>
      <c r="B747" t="s">
        <v>1877</v>
      </c>
      <c r="C747" t="s">
        <v>72</v>
      </c>
      <c r="D747" t="s">
        <v>73</v>
      </c>
      <c r="E747">
        <v>28</v>
      </c>
      <c r="F747">
        <v>213.45</v>
      </c>
      <c r="G747">
        <v>5378.94</v>
      </c>
      <c r="H747">
        <v>10</v>
      </c>
      <c r="I747" t="s">
        <v>24</v>
      </c>
      <c r="J747" t="s">
        <v>36</v>
      </c>
      <c r="K747" t="s">
        <v>1582</v>
      </c>
      <c r="L747" t="s">
        <v>69</v>
      </c>
    </row>
    <row r="748" spans="1:12" x14ac:dyDescent="0.3">
      <c r="A748" t="s">
        <v>1878</v>
      </c>
      <c r="B748" t="s">
        <v>725</v>
      </c>
      <c r="C748" t="s">
        <v>82</v>
      </c>
      <c r="D748" t="s">
        <v>73</v>
      </c>
      <c r="E748">
        <v>39</v>
      </c>
      <c r="F748">
        <v>661.32</v>
      </c>
      <c r="G748">
        <v>25791.48</v>
      </c>
      <c r="H748">
        <v>0</v>
      </c>
      <c r="I748" t="s">
        <v>53</v>
      </c>
      <c r="J748" t="s">
        <v>67</v>
      </c>
      <c r="K748" t="s">
        <v>1560</v>
      </c>
      <c r="L748" t="s">
        <v>49</v>
      </c>
    </row>
    <row r="749" spans="1:12" x14ac:dyDescent="0.3">
      <c r="A749" t="s">
        <v>1879</v>
      </c>
      <c r="B749" t="s">
        <v>1880</v>
      </c>
      <c r="C749" t="s">
        <v>95</v>
      </c>
      <c r="D749" t="s">
        <v>35</v>
      </c>
      <c r="E749">
        <v>49</v>
      </c>
      <c r="F749">
        <v>1146.6400000000001</v>
      </c>
      <c r="G749">
        <v>53376.09</v>
      </c>
      <c r="H749">
        <v>5</v>
      </c>
      <c r="I749" t="s">
        <v>46</v>
      </c>
      <c r="J749" t="s">
        <v>124</v>
      </c>
      <c r="K749" t="s">
        <v>506</v>
      </c>
      <c r="L749" t="s">
        <v>31</v>
      </c>
    </row>
    <row r="750" spans="1:12" x14ac:dyDescent="0.3">
      <c r="A750" t="s">
        <v>1881</v>
      </c>
      <c r="B750" t="s">
        <v>719</v>
      </c>
      <c r="C750" t="s">
        <v>40</v>
      </c>
      <c r="D750" t="s">
        <v>23</v>
      </c>
      <c r="E750">
        <v>50</v>
      </c>
      <c r="F750">
        <v>48.25</v>
      </c>
      <c r="G750">
        <v>2412.5</v>
      </c>
      <c r="H750">
        <v>0</v>
      </c>
      <c r="I750" t="s">
        <v>16</v>
      </c>
      <c r="J750" t="s">
        <v>111</v>
      </c>
      <c r="K750" t="s">
        <v>967</v>
      </c>
      <c r="L750" t="s">
        <v>19</v>
      </c>
    </row>
    <row r="751" spans="1:12" x14ac:dyDescent="0.3">
      <c r="A751" t="s">
        <v>1882</v>
      </c>
      <c r="B751" t="s">
        <v>589</v>
      </c>
      <c r="C751" t="s">
        <v>103</v>
      </c>
      <c r="D751" t="s">
        <v>35</v>
      </c>
      <c r="E751">
        <v>33</v>
      </c>
      <c r="F751">
        <v>395.3</v>
      </c>
      <c r="G751">
        <v>13044.9</v>
      </c>
      <c r="H751">
        <v>0</v>
      </c>
      <c r="I751" t="s">
        <v>53</v>
      </c>
      <c r="J751" t="s">
        <v>141</v>
      </c>
      <c r="K751" t="s">
        <v>280</v>
      </c>
      <c r="L751" t="s">
        <v>69</v>
      </c>
    </row>
    <row r="752" spans="1:12" x14ac:dyDescent="0.3">
      <c r="A752" t="s">
        <v>1883</v>
      </c>
      <c r="B752" t="s">
        <v>1884</v>
      </c>
      <c r="C752" t="s">
        <v>22</v>
      </c>
      <c r="D752" t="s">
        <v>23</v>
      </c>
      <c r="E752">
        <v>45</v>
      </c>
      <c r="F752">
        <v>31.95</v>
      </c>
      <c r="G752">
        <v>1437.75</v>
      </c>
      <c r="H752">
        <v>0</v>
      </c>
      <c r="I752" t="s">
        <v>16</v>
      </c>
      <c r="J752" t="s">
        <v>74</v>
      </c>
      <c r="K752" t="s">
        <v>406</v>
      </c>
      <c r="L752" t="s">
        <v>27</v>
      </c>
    </row>
    <row r="753" spans="1:12" x14ac:dyDescent="0.3">
      <c r="A753" t="s">
        <v>1885</v>
      </c>
      <c r="B753" t="s">
        <v>1886</v>
      </c>
      <c r="C753" t="s">
        <v>103</v>
      </c>
      <c r="D753" t="s">
        <v>35</v>
      </c>
      <c r="E753">
        <v>47</v>
      </c>
      <c r="F753">
        <v>348.99</v>
      </c>
      <c r="G753">
        <v>16402.53</v>
      </c>
      <c r="H753">
        <v>0</v>
      </c>
      <c r="I753" t="s">
        <v>24</v>
      </c>
      <c r="J753" t="s">
        <v>41</v>
      </c>
      <c r="K753" t="s">
        <v>886</v>
      </c>
      <c r="L753" t="s">
        <v>31</v>
      </c>
    </row>
    <row r="754" spans="1:12" x14ac:dyDescent="0.3">
      <c r="A754" t="s">
        <v>1887</v>
      </c>
      <c r="B754" t="s">
        <v>1888</v>
      </c>
      <c r="C754" t="s">
        <v>95</v>
      </c>
      <c r="D754" t="s">
        <v>35</v>
      </c>
      <c r="E754">
        <v>10</v>
      </c>
      <c r="F754">
        <v>1113.58</v>
      </c>
      <c r="G754">
        <v>8908.64</v>
      </c>
      <c r="H754">
        <v>20</v>
      </c>
      <c r="I754" t="s">
        <v>16</v>
      </c>
      <c r="J754" t="s">
        <v>74</v>
      </c>
      <c r="K754" t="s">
        <v>1889</v>
      </c>
      <c r="L754" t="s">
        <v>69</v>
      </c>
    </row>
    <row r="755" spans="1:12" x14ac:dyDescent="0.3">
      <c r="A755" t="s">
        <v>1890</v>
      </c>
      <c r="B755" t="s">
        <v>1891</v>
      </c>
      <c r="C755" t="s">
        <v>58</v>
      </c>
      <c r="D755" t="s">
        <v>35</v>
      </c>
      <c r="E755">
        <v>49</v>
      </c>
      <c r="F755">
        <v>260.95</v>
      </c>
      <c r="G755">
        <v>11507.9</v>
      </c>
      <c r="H755">
        <v>10</v>
      </c>
      <c r="I755" t="s">
        <v>16</v>
      </c>
      <c r="J755" t="s">
        <v>160</v>
      </c>
      <c r="K755" t="s">
        <v>1768</v>
      </c>
      <c r="L755" t="s">
        <v>49</v>
      </c>
    </row>
    <row r="756" spans="1:12" x14ac:dyDescent="0.3">
      <c r="A756" t="s">
        <v>1892</v>
      </c>
      <c r="B756" t="s">
        <v>1893</v>
      </c>
      <c r="C756" t="s">
        <v>90</v>
      </c>
      <c r="D756" t="s">
        <v>23</v>
      </c>
      <c r="E756">
        <v>27</v>
      </c>
      <c r="F756">
        <v>30.57</v>
      </c>
      <c r="G756">
        <v>825.39</v>
      </c>
      <c r="H756">
        <v>0</v>
      </c>
      <c r="I756" t="s">
        <v>53</v>
      </c>
      <c r="J756" t="s">
        <v>134</v>
      </c>
      <c r="K756" t="s">
        <v>1120</v>
      </c>
      <c r="L756" t="s">
        <v>27</v>
      </c>
    </row>
    <row r="757" spans="1:12" x14ac:dyDescent="0.3">
      <c r="A757" t="s">
        <v>1894</v>
      </c>
      <c r="B757" t="s">
        <v>897</v>
      </c>
      <c r="C757" t="s">
        <v>90</v>
      </c>
      <c r="D757" t="s">
        <v>23</v>
      </c>
      <c r="E757">
        <v>48</v>
      </c>
      <c r="F757">
        <v>40.21</v>
      </c>
      <c r="G757">
        <v>1544.06</v>
      </c>
      <c r="H757">
        <v>20</v>
      </c>
      <c r="I757" t="s">
        <v>53</v>
      </c>
      <c r="J757" t="s">
        <v>54</v>
      </c>
      <c r="K757" t="s">
        <v>357</v>
      </c>
      <c r="L757" t="s">
        <v>19</v>
      </c>
    </row>
    <row r="758" spans="1:12" x14ac:dyDescent="0.3">
      <c r="A758" t="s">
        <v>1895</v>
      </c>
      <c r="B758" t="s">
        <v>662</v>
      </c>
      <c r="C758" t="s">
        <v>82</v>
      </c>
      <c r="D758" t="s">
        <v>73</v>
      </c>
      <c r="E758">
        <v>42</v>
      </c>
      <c r="F758">
        <v>429.08</v>
      </c>
      <c r="G758">
        <v>15318.16</v>
      </c>
      <c r="H758">
        <v>15</v>
      </c>
      <c r="I758" t="s">
        <v>53</v>
      </c>
      <c r="J758" t="s">
        <v>54</v>
      </c>
      <c r="K758" t="s">
        <v>1861</v>
      </c>
      <c r="L758" t="s">
        <v>27</v>
      </c>
    </row>
    <row r="759" spans="1:12" x14ac:dyDescent="0.3">
      <c r="A759" t="s">
        <v>1896</v>
      </c>
      <c r="B759" t="s">
        <v>1481</v>
      </c>
      <c r="C759" t="s">
        <v>45</v>
      </c>
      <c r="D759" t="s">
        <v>23</v>
      </c>
      <c r="E759">
        <v>48</v>
      </c>
      <c r="F759">
        <v>130.91</v>
      </c>
      <c r="G759">
        <v>5341.13</v>
      </c>
      <c r="H759">
        <v>15</v>
      </c>
      <c r="I759" t="s">
        <v>16</v>
      </c>
      <c r="J759" t="s">
        <v>111</v>
      </c>
      <c r="K759" t="s">
        <v>1273</v>
      </c>
      <c r="L759" t="s">
        <v>49</v>
      </c>
    </row>
    <row r="760" spans="1:12" x14ac:dyDescent="0.3">
      <c r="A760" t="s">
        <v>1897</v>
      </c>
      <c r="B760" t="s">
        <v>1620</v>
      </c>
      <c r="C760" t="s">
        <v>22</v>
      </c>
      <c r="D760" t="s">
        <v>23</v>
      </c>
      <c r="E760">
        <v>7</v>
      </c>
      <c r="F760">
        <v>34.89</v>
      </c>
      <c r="G760">
        <v>244.23</v>
      </c>
      <c r="H760">
        <v>0</v>
      </c>
      <c r="I760" t="s">
        <v>46</v>
      </c>
      <c r="J760" t="s">
        <v>244</v>
      </c>
      <c r="K760" t="s">
        <v>1241</v>
      </c>
      <c r="L760" t="s">
        <v>49</v>
      </c>
    </row>
    <row r="761" spans="1:12" x14ac:dyDescent="0.3">
      <c r="A761" t="s">
        <v>1898</v>
      </c>
      <c r="B761" t="s">
        <v>1899</v>
      </c>
      <c r="C761" t="s">
        <v>72</v>
      </c>
      <c r="D761" t="s">
        <v>73</v>
      </c>
      <c r="E761">
        <v>44</v>
      </c>
      <c r="F761">
        <v>362.13</v>
      </c>
      <c r="G761">
        <v>15137.03</v>
      </c>
      <c r="H761">
        <v>5</v>
      </c>
      <c r="I761" t="s">
        <v>46</v>
      </c>
      <c r="J761" t="s">
        <v>124</v>
      </c>
      <c r="K761" t="s">
        <v>306</v>
      </c>
      <c r="L761" t="s">
        <v>69</v>
      </c>
    </row>
    <row r="762" spans="1:12" x14ac:dyDescent="0.3">
      <c r="A762" t="s">
        <v>1900</v>
      </c>
      <c r="B762" t="s">
        <v>1901</v>
      </c>
      <c r="C762" t="s">
        <v>72</v>
      </c>
      <c r="D762" t="s">
        <v>73</v>
      </c>
      <c r="E762">
        <v>4</v>
      </c>
      <c r="F762">
        <v>449.14</v>
      </c>
      <c r="G762">
        <v>1796.56</v>
      </c>
      <c r="H762">
        <v>0</v>
      </c>
      <c r="I762" t="s">
        <v>16</v>
      </c>
      <c r="J762" t="s">
        <v>160</v>
      </c>
      <c r="K762" t="s">
        <v>406</v>
      </c>
      <c r="L762" t="s">
        <v>69</v>
      </c>
    </row>
    <row r="763" spans="1:12" x14ac:dyDescent="0.3">
      <c r="A763" t="s">
        <v>1902</v>
      </c>
      <c r="B763" t="s">
        <v>1903</v>
      </c>
      <c r="C763" t="s">
        <v>82</v>
      </c>
      <c r="D763" t="s">
        <v>73</v>
      </c>
      <c r="E763">
        <v>46</v>
      </c>
      <c r="F763">
        <v>379.47</v>
      </c>
      <c r="G763">
        <v>17455.62</v>
      </c>
      <c r="H763">
        <v>0</v>
      </c>
      <c r="I763" t="s">
        <v>16</v>
      </c>
      <c r="J763" t="s">
        <v>111</v>
      </c>
      <c r="K763" t="s">
        <v>1048</v>
      </c>
      <c r="L763" t="s">
        <v>27</v>
      </c>
    </row>
    <row r="764" spans="1:12" x14ac:dyDescent="0.3">
      <c r="A764" t="s">
        <v>1904</v>
      </c>
      <c r="B764" t="s">
        <v>1905</v>
      </c>
      <c r="C764" t="s">
        <v>99</v>
      </c>
      <c r="D764" t="s">
        <v>23</v>
      </c>
      <c r="E764">
        <v>25</v>
      </c>
      <c r="F764">
        <v>19.73</v>
      </c>
      <c r="G764">
        <v>443.93</v>
      </c>
      <c r="H764">
        <v>10</v>
      </c>
      <c r="I764" t="s">
        <v>16</v>
      </c>
      <c r="J764" t="s">
        <v>160</v>
      </c>
      <c r="K764" t="s">
        <v>1906</v>
      </c>
      <c r="L764" t="s">
        <v>69</v>
      </c>
    </row>
    <row r="765" spans="1:12" x14ac:dyDescent="0.3">
      <c r="A765" t="s">
        <v>1907</v>
      </c>
      <c r="B765" t="s">
        <v>1908</v>
      </c>
      <c r="C765" t="s">
        <v>52</v>
      </c>
      <c r="D765" t="s">
        <v>35</v>
      </c>
      <c r="E765">
        <v>42</v>
      </c>
      <c r="F765">
        <v>334.82</v>
      </c>
      <c r="G765">
        <v>13359.32</v>
      </c>
      <c r="H765">
        <v>5</v>
      </c>
      <c r="I765" t="s">
        <v>16</v>
      </c>
      <c r="J765" t="s">
        <v>74</v>
      </c>
      <c r="K765" t="s">
        <v>953</v>
      </c>
      <c r="L765" t="s">
        <v>49</v>
      </c>
    </row>
    <row r="766" spans="1:12" x14ac:dyDescent="0.3">
      <c r="A766" t="s">
        <v>1909</v>
      </c>
      <c r="B766" t="s">
        <v>1910</v>
      </c>
      <c r="C766" t="s">
        <v>95</v>
      </c>
      <c r="D766" t="s">
        <v>35</v>
      </c>
      <c r="E766">
        <v>8</v>
      </c>
      <c r="F766">
        <v>1049.79</v>
      </c>
      <c r="G766">
        <v>8398.32</v>
      </c>
      <c r="H766">
        <v>0</v>
      </c>
      <c r="I766" t="s">
        <v>16</v>
      </c>
      <c r="J766" t="s">
        <v>160</v>
      </c>
      <c r="K766" t="s">
        <v>316</v>
      </c>
      <c r="L766" t="s">
        <v>31</v>
      </c>
    </row>
    <row r="767" spans="1:12" x14ac:dyDescent="0.3">
      <c r="A767" t="s">
        <v>1911</v>
      </c>
      <c r="B767" t="s">
        <v>928</v>
      </c>
      <c r="C767" t="s">
        <v>63</v>
      </c>
      <c r="D767" t="s">
        <v>15</v>
      </c>
      <c r="E767">
        <v>5</v>
      </c>
      <c r="F767">
        <v>47.02</v>
      </c>
      <c r="G767">
        <v>211.59</v>
      </c>
      <c r="H767">
        <v>10</v>
      </c>
      <c r="I767" t="s">
        <v>16</v>
      </c>
      <c r="J767" t="s">
        <v>160</v>
      </c>
      <c r="K767" t="s">
        <v>1650</v>
      </c>
      <c r="L767" t="s">
        <v>69</v>
      </c>
    </row>
    <row r="768" spans="1:12" x14ac:dyDescent="0.3">
      <c r="A768" t="s">
        <v>1912</v>
      </c>
      <c r="B768" t="s">
        <v>1913</v>
      </c>
      <c r="C768" t="s">
        <v>90</v>
      </c>
      <c r="D768" t="s">
        <v>23</v>
      </c>
      <c r="E768">
        <v>9</v>
      </c>
      <c r="F768">
        <v>16.32</v>
      </c>
      <c r="G768">
        <v>139.54</v>
      </c>
      <c r="H768">
        <v>5</v>
      </c>
      <c r="I768" t="s">
        <v>46</v>
      </c>
      <c r="J768" t="s">
        <v>124</v>
      </c>
      <c r="K768" t="s">
        <v>863</v>
      </c>
      <c r="L768" t="s">
        <v>49</v>
      </c>
    </row>
    <row r="769" spans="1:12" x14ac:dyDescent="0.3">
      <c r="A769" t="s">
        <v>1914</v>
      </c>
      <c r="B769" t="s">
        <v>1915</v>
      </c>
      <c r="C769" t="s">
        <v>90</v>
      </c>
      <c r="D769" t="s">
        <v>23</v>
      </c>
      <c r="E769">
        <v>24</v>
      </c>
      <c r="F769">
        <v>34.01</v>
      </c>
      <c r="G769">
        <v>775.43</v>
      </c>
      <c r="H769">
        <v>5</v>
      </c>
      <c r="I769" t="s">
        <v>16</v>
      </c>
      <c r="J769" t="s">
        <v>17</v>
      </c>
      <c r="K769" t="s">
        <v>1916</v>
      </c>
      <c r="L769" t="s">
        <v>27</v>
      </c>
    </row>
    <row r="770" spans="1:12" x14ac:dyDescent="0.3">
      <c r="A770" t="s">
        <v>1917</v>
      </c>
      <c r="B770" t="s">
        <v>994</v>
      </c>
      <c r="C770" t="s">
        <v>45</v>
      </c>
      <c r="D770" t="s">
        <v>23</v>
      </c>
      <c r="E770">
        <v>30</v>
      </c>
      <c r="F770">
        <v>37.979999999999997</v>
      </c>
      <c r="G770">
        <v>911.52</v>
      </c>
      <c r="H770">
        <v>20</v>
      </c>
      <c r="I770" t="s">
        <v>24</v>
      </c>
      <c r="J770" t="s">
        <v>104</v>
      </c>
      <c r="K770" t="s">
        <v>681</v>
      </c>
      <c r="L770" t="s">
        <v>31</v>
      </c>
    </row>
    <row r="771" spans="1:12" x14ac:dyDescent="0.3">
      <c r="A771" t="s">
        <v>1918</v>
      </c>
      <c r="B771" t="s">
        <v>939</v>
      </c>
      <c r="C771" t="s">
        <v>99</v>
      </c>
      <c r="D771" t="s">
        <v>23</v>
      </c>
      <c r="E771">
        <v>44</v>
      </c>
      <c r="F771">
        <v>22.82</v>
      </c>
      <c r="G771">
        <v>1004.08</v>
      </c>
      <c r="H771">
        <v>0</v>
      </c>
      <c r="I771" t="s">
        <v>46</v>
      </c>
      <c r="J771" t="s">
        <v>124</v>
      </c>
      <c r="K771" t="s">
        <v>1919</v>
      </c>
      <c r="L771" t="s">
        <v>27</v>
      </c>
    </row>
    <row r="772" spans="1:12" x14ac:dyDescent="0.3">
      <c r="A772" t="s">
        <v>1920</v>
      </c>
      <c r="B772" t="s">
        <v>1921</v>
      </c>
      <c r="C772" t="s">
        <v>34</v>
      </c>
      <c r="D772" t="s">
        <v>35</v>
      </c>
      <c r="E772">
        <v>42</v>
      </c>
      <c r="F772">
        <v>571.84</v>
      </c>
      <c r="G772">
        <v>24017.279999999999</v>
      </c>
      <c r="H772">
        <v>0</v>
      </c>
      <c r="I772" t="s">
        <v>46</v>
      </c>
      <c r="J772" t="s">
        <v>78</v>
      </c>
      <c r="K772" t="s">
        <v>904</v>
      </c>
      <c r="L772" t="s">
        <v>69</v>
      </c>
    </row>
    <row r="773" spans="1:12" x14ac:dyDescent="0.3">
      <c r="A773" t="s">
        <v>1922</v>
      </c>
      <c r="B773" t="s">
        <v>247</v>
      </c>
      <c r="C773" t="s">
        <v>72</v>
      </c>
      <c r="D773" t="s">
        <v>73</v>
      </c>
      <c r="E773">
        <v>3</v>
      </c>
      <c r="F773">
        <v>198.2</v>
      </c>
      <c r="G773">
        <v>564.87</v>
      </c>
      <c r="H773">
        <v>5</v>
      </c>
      <c r="I773" t="s">
        <v>46</v>
      </c>
      <c r="J773" t="s">
        <v>78</v>
      </c>
      <c r="K773" t="s">
        <v>37</v>
      </c>
      <c r="L773" t="s">
        <v>19</v>
      </c>
    </row>
    <row r="774" spans="1:12" x14ac:dyDescent="0.3">
      <c r="A774" t="s">
        <v>1923</v>
      </c>
      <c r="B774" t="s">
        <v>1924</v>
      </c>
      <c r="C774" t="s">
        <v>14</v>
      </c>
      <c r="D774" t="s">
        <v>15</v>
      </c>
      <c r="E774">
        <v>18</v>
      </c>
      <c r="F774">
        <v>94.82</v>
      </c>
      <c r="G774">
        <v>1621.42</v>
      </c>
      <c r="H774">
        <v>5</v>
      </c>
      <c r="I774" t="s">
        <v>53</v>
      </c>
      <c r="J774" t="s">
        <v>134</v>
      </c>
      <c r="K774" t="s">
        <v>690</v>
      </c>
      <c r="L774" t="s">
        <v>31</v>
      </c>
    </row>
    <row r="775" spans="1:12" x14ac:dyDescent="0.3">
      <c r="A775" t="s">
        <v>1925</v>
      </c>
      <c r="B775" t="s">
        <v>1926</v>
      </c>
      <c r="C775" t="s">
        <v>95</v>
      </c>
      <c r="D775" t="s">
        <v>35</v>
      </c>
      <c r="E775">
        <v>41</v>
      </c>
      <c r="F775">
        <v>1135.24</v>
      </c>
      <c r="G775">
        <v>39563.11</v>
      </c>
      <c r="H775">
        <v>15</v>
      </c>
      <c r="I775" t="s">
        <v>46</v>
      </c>
      <c r="J775" t="s">
        <v>78</v>
      </c>
      <c r="K775" t="s">
        <v>204</v>
      </c>
      <c r="L775" t="s">
        <v>69</v>
      </c>
    </row>
    <row r="776" spans="1:12" x14ac:dyDescent="0.3">
      <c r="A776" t="s">
        <v>1927</v>
      </c>
      <c r="B776" t="s">
        <v>1928</v>
      </c>
      <c r="C776" t="s">
        <v>82</v>
      </c>
      <c r="D776" t="s">
        <v>73</v>
      </c>
      <c r="E776">
        <v>25</v>
      </c>
      <c r="F776">
        <v>535.44000000000005</v>
      </c>
      <c r="G776">
        <v>13386</v>
      </c>
      <c r="H776">
        <v>0</v>
      </c>
      <c r="I776" t="s">
        <v>16</v>
      </c>
      <c r="J776" t="s">
        <v>74</v>
      </c>
      <c r="K776" t="s">
        <v>1929</v>
      </c>
      <c r="L776" t="s">
        <v>31</v>
      </c>
    </row>
    <row r="777" spans="1:12" x14ac:dyDescent="0.3">
      <c r="A777" t="s">
        <v>1930</v>
      </c>
      <c r="B777" t="s">
        <v>757</v>
      </c>
      <c r="C777" t="s">
        <v>45</v>
      </c>
      <c r="D777" t="s">
        <v>23</v>
      </c>
      <c r="E777">
        <v>40</v>
      </c>
      <c r="F777">
        <v>106.04</v>
      </c>
      <c r="G777">
        <v>3393.28</v>
      </c>
      <c r="H777">
        <v>20</v>
      </c>
      <c r="I777" t="s">
        <v>16</v>
      </c>
      <c r="J777" t="s">
        <v>111</v>
      </c>
      <c r="K777" t="s">
        <v>1548</v>
      </c>
      <c r="L777" t="s">
        <v>19</v>
      </c>
    </row>
    <row r="778" spans="1:12" x14ac:dyDescent="0.3">
      <c r="A778" t="s">
        <v>1931</v>
      </c>
      <c r="B778" t="s">
        <v>1492</v>
      </c>
      <c r="C778" t="s">
        <v>34</v>
      </c>
      <c r="D778" t="s">
        <v>35</v>
      </c>
      <c r="E778">
        <v>20</v>
      </c>
      <c r="F778">
        <v>628.82000000000005</v>
      </c>
      <c r="G778">
        <v>11947.58</v>
      </c>
      <c r="H778">
        <v>5</v>
      </c>
      <c r="I778" t="s">
        <v>46</v>
      </c>
      <c r="J778" t="s">
        <v>78</v>
      </c>
      <c r="K778" t="s">
        <v>1722</v>
      </c>
      <c r="L778" t="s">
        <v>69</v>
      </c>
    </row>
    <row r="779" spans="1:12" x14ac:dyDescent="0.3">
      <c r="A779" t="s">
        <v>1932</v>
      </c>
      <c r="B779" t="s">
        <v>1933</v>
      </c>
      <c r="C779" t="s">
        <v>90</v>
      </c>
      <c r="D779" t="s">
        <v>23</v>
      </c>
      <c r="E779">
        <v>37</v>
      </c>
      <c r="F779">
        <v>38.549999999999997</v>
      </c>
      <c r="G779">
        <v>1212.4000000000001</v>
      </c>
      <c r="H779">
        <v>15</v>
      </c>
      <c r="I779" t="s">
        <v>53</v>
      </c>
      <c r="J779" t="s">
        <v>134</v>
      </c>
      <c r="K779" t="s">
        <v>1934</v>
      </c>
      <c r="L779" t="s">
        <v>69</v>
      </c>
    </row>
    <row r="780" spans="1:12" x14ac:dyDescent="0.3">
      <c r="A780" t="s">
        <v>1935</v>
      </c>
      <c r="B780" t="s">
        <v>1936</v>
      </c>
      <c r="C780" t="s">
        <v>34</v>
      </c>
      <c r="D780" t="s">
        <v>35</v>
      </c>
      <c r="E780">
        <v>5</v>
      </c>
      <c r="F780">
        <v>818.45</v>
      </c>
      <c r="G780">
        <v>3887.64</v>
      </c>
      <c r="H780">
        <v>5</v>
      </c>
      <c r="I780" t="s">
        <v>53</v>
      </c>
      <c r="J780" t="s">
        <v>67</v>
      </c>
      <c r="K780" t="s">
        <v>1937</v>
      </c>
      <c r="L780" t="s">
        <v>49</v>
      </c>
    </row>
    <row r="781" spans="1:12" x14ac:dyDescent="0.3">
      <c r="A781" t="s">
        <v>1938</v>
      </c>
      <c r="B781" t="s">
        <v>1939</v>
      </c>
      <c r="C781" t="s">
        <v>22</v>
      </c>
      <c r="D781" t="s">
        <v>23</v>
      </c>
      <c r="E781">
        <v>29</v>
      </c>
      <c r="F781">
        <v>30.4</v>
      </c>
      <c r="G781">
        <v>837.52</v>
      </c>
      <c r="H781">
        <v>5</v>
      </c>
      <c r="I781" t="s">
        <v>46</v>
      </c>
      <c r="J781" t="s">
        <v>47</v>
      </c>
      <c r="K781" t="s">
        <v>1536</v>
      </c>
      <c r="L781" t="s">
        <v>31</v>
      </c>
    </row>
    <row r="782" spans="1:12" x14ac:dyDescent="0.3">
      <c r="A782" t="s">
        <v>1940</v>
      </c>
      <c r="B782" t="s">
        <v>1941</v>
      </c>
      <c r="C782" t="s">
        <v>45</v>
      </c>
      <c r="D782" t="s">
        <v>23</v>
      </c>
      <c r="E782">
        <v>49</v>
      </c>
      <c r="F782">
        <v>186.21</v>
      </c>
      <c r="G782">
        <v>9124.2900000000009</v>
      </c>
      <c r="H782">
        <v>0</v>
      </c>
      <c r="I782" t="s">
        <v>16</v>
      </c>
      <c r="J782" t="s">
        <v>17</v>
      </c>
      <c r="K782" t="s">
        <v>389</v>
      </c>
      <c r="L782" t="s">
        <v>19</v>
      </c>
    </row>
    <row r="783" spans="1:12" x14ac:dyDescent="0.3">
      <c r="A783" t="s">
        <v>1942</v>
      </c>
      <c r="B783" t="s">
        <v>150</v>
      </c>
      <c r="C783" t="s">
        <v>14</v>
      </c>
      <c r="D783" t="s">
        <v>15</v>
      </c>
      <c r="E783">
        <v>21</v>
      </c>
      <c r="F783">
        <v>45.77</v>
      </c>
      <c r="G783">
        <v>961.17</v>
      </c>
      <c r="H783">
        <v>0</v>
      </c>
      <c r="I783" t="s">
        <v>16</v>
      </c>
      <c r="J783" t="s">
        <v>91</v>
      </c>
      <c r="K783" t="s">
        <v>605</v>
      </c>
      <c r="L783" t="s">
        <v>31</v>
      </c>
    </row>
    <row r="784" spans="1:12" x14ac:dyDescent="0.3">
      <c r="A784" t="s">
        <v>1943</v>
      </c>
      <c r="B784" t="s">
        <v>1944</v>
      </c>
      <c r="C784" t="s">
        <v>14</v>
      </c>
      <c r="D784" t="s">
        <v>15</v>
      </c>
      <c r="E784">
        <v>10</v>
      </c>
      <c r="F784">
        <v>44.06</v>
      </c>
      <c r="G784">
        <v>374.51</v>
      </c>
      <c r="H784">
        <v>15</v>
      </c>
      <c r="I784" t="s">
        <v>46</v>
      </c>
      <c r="J784" t="s">
        <v>244</v>
      </c>
      <c r="K784" t="s">
        <v>468</v>
      </c>
      <c r="L784" t="s">
        <v>31</v>
      </c>
    </row>
    <row r="785" spans="1:12" x14ac:dyDescent="0.3">
      <c r="A785" t="s">
        <v>1945</v>
      </c>
      <c r="B785" t="s">
        <v>209</v>
      </c>
      <c r="C785" t="s">
        <v>90</v>
      </c>
      <c r="D785" t="s">
        <v>23</v>
      </c>
      <c r="E785">
        <v>39</v>
      </c>
      <c r="F785">
        <v>15.07</v>
      </c>
      <c r="G785">
        <v>499.57</v>
      </c>
      <c r="H785">
        <v>15</v>
      </c>
      <c r="I785" t="s">
        <v>53</v>
      </c>
      <c r="J785" t="s">
        <v>170</v>
      </c>
      <c r="K785" t="s">
        <v>933</v>
      </c>
      <c r="L785" t="s">
        <v>27</v>
      </c>
    </row>
    <row r="786" spans="1:12" x14ac:dyDescent="0.3">
      <c r="A786" t="s">
        <v>1946</v>
      </c>
      <c r="B786" t="s">
        <v>1947</v>
      </c>
      <c r="C786" t="s">
        <v>99</v>
      </c>
      <c r="D786" t="s">
        <v>23</v>
      </c>
      <c r="E786">
        <v>32</v>
      </c>
      <c r="F786">
        <v>17.739999999999998</v>
      </c>
      <c r="G786">
        <v>567.67999999999995</v>
      </c>
      <c r="H786">
        <v>0</v>
      </c>
      <c r="I786" t="s">
        <v>24</v>
      </c>
      <c r="J786" t="s">
        <v>36</v>
      </c>
      <c r="K786" t="s">
        <v>1715</v>
      </c>
      <c r="L786" t="s">
        <v>27</v>
      </c>
    </row>
    <row r="787" spans="1:12" x14ac:dyDescent="0.3">
      <c r="A787" t="s">
        <v>1948</v>
      </c>
      <c r="B787" t="s">
        <v>1949</v>
      </c>
      <c r="C787" t="s">
        <v>99</v>
      </c>
      <c r="D787" t="s">
        <v>23</v>
      </c>
      <c r="E787">
        <v>49</v>
      </c>
      <c r="F787">
        <v>25.19</v>
      </c>
      <c r="G787">
        <v>1110.8800000000001</v>
      </c>
      <c r="H787">
        <v>10</v>
      </c>
      <c r="I787" t="s">
        <v>16</v>
      </c>
      <c r="J787" t="s">
        <v>74</v>
      </c>
      <c r="K787" t="s">
        <v>678</v>
      </c>
      <c r="L787" t="s">
        <v>31</v>
      </c>
    </row>
    <row r="788" spans="1:12" x14ac:dyDescent="0.3">
      <c r="A788" t="s">
        <v>1950</v>
      </c>
      <c r="B788" t="s">
        <v>669</v>
      </c>
      <c r="C788" t="s">
        <v>52</v>
      </c>
      <c r="D788" t="s">
        <v>35</v>
      </c>
      <c r="E788">
        <v>34</v>
      </c>
      <c r="F788">
        <v>139.1</v>
      </c>
      <c r="G788">
        <v>4256.46</v>
      </c>
      <c r="H788">
        <v>10</v>
      </c>
      <c r="I788" t="s">
        <v>46</v>
      </c>
      <c r="J788" t="s">
        <v>244</v>
      </c>
      <c r="K788" t="s">
        <v>1951</v>
      </c>
      <c r="L788" t="s">
        <v>69</v>
      </c>
    </row>
    <row r="789" spans="1:12" x14ac:dyDescent="0.3">
      <c r="A789" t="s">
        <v>1952</v>
      </c>
      <c r="B789" t="s">
        <v>1452</v>
      </c>
      <c r="C789" t="s">
        <v>14</v>
      </c>
      <c r="D789" t="s">
        <v>15</v>
      </c>
      <c r="E789">
        <v>38</v>
      </c>
      <c r="F789">
        <v>70.099999999999994</v>
      </c>
      <c r="G789">
        <v>2264.23</v>
      </c>
      <c r="H789">
        <v>15</v>
      </c>
      <c r="I789" t="s">
        <v>53</v>
      </c>
      <c r="J789" t="s">
        <v>67</v>
      </c>
      <c r="K789" t="s">
        <v>1953</v>
      </c>
      <c r="L789" t="s">
        <v>27</v>
      </c>
    </row>
    <row r="790" spans="1:12" x14ac:dyDescent="0.3">
      <c r="A790" t="s">
        <v>1954</v>
      </c>
      <c r="B790" t="s">
        <v>1955</v>
      </c>
      <c r="C790" t="s">
        <v>22</v>
      </c>
      <c r="D790" t="s">
        <v>23</v>
      </c>
      <c r="E790">
        <v>24</v>
      </c>
      <c r="F790">
        <v>16.18</v>
      </c>
      <c r="G790">
        <v>349.49</v>
      </c>
      <c r="H790">
        <v>10</v>
      </c>
      <c r="I790" t="s">
        <v>16</v>
      </c>
      <c r="J790" t="s">
        <v>17</v>
      </c>
      <c r="K790" t="s">
        <v>213</v>
      </c>
      <c r="L790" t="s">
        <v>31</v>
      </c>
    </row>
    <row r="791" spans="1:12" x14ac:dyDescent="0.3">
      <c r="A791" t="s">
        <v>1956</v>
      </c>
      <c r="B791" t="s">
        <v>472</v>
      </c>
      <c r="C791" t="s">
        <v>82</v>
      </c>
      <c r="D791" t="s">
        <v>73</v>
      </c>
      <c r="E791">
        <v>13</v>
      </c>
      <c r="F791">
        <v>378.25</v>
      </c>
      <c r="G791">
        <v>4425.53</v>
      </c>
      <c r="H791">
        <v>10</v>
      </c>
      <c r="I791" t="s">
        <v>46</v>
      </c>
      <c r="J791" t="s">
        <v>47</v>
      </c>
      <c r="K791" t="s">
        <v>596</v>
      </c>
      <c r="L791" t="s">
        <v>27</v>
      </c>
    </row>
    <row r="792" spans="1:12" x14ac:dyDescent="0.3">
      <c r="A792" t="s">
        <v>1957</v>
      </c>
      <c r="B792" t="s">
        <v>1958</v>
      </c>
      <c r="C792" t="s">
        <v>52</v>
      </c>
      <c r="D792" t="s">
        <v>35</v>
      </c>
      <c r="E792">
        <v>4</v>
      </c>
      <c r="F792">
        <v>106.11</v>
      </c>
      <c r="G792">
        <v>424.44</v>
      </c>
      <c r="H792">
        <v>0</v>
      </c>
      <c r="I792" t="s">
        <v>24</v>
      </c>
      <c r="J792" t="s">
        <v>59</v>
      </c>
      <c r="K792" t="s">
        <v>1323</v>
      </c>
      <c r="L792" t="s">
        <v>19</v>
      </c>
    </row>
    <row r="793" spans="1:12" x14ac:dyDescent="0.3">
      <c r="A793" t="s">
        <v>1959</v>
      </c>
      <c r="B793" t="s">
        <v>1183</v>
      </c>
      <c r="C793" t="s">
        <v>82</v>
      </c>
      <c r="D793" t="s">
        <v>73</v>
      </c>
      <c r="E793">
        <v>44</v>
      </c>
      <c r="F793">
        <v>780.56</v>
      </c>
      <c r="G793">
        <v>30910.18</v>
      </c>
      <c r="H793">
        <v>10</v>
      </c>
      <c r="I793" t="s">
        <v>16</v>
      </c>
      <c r="J793" t="s">
        <v>160</v>
      </c>
      <c r="K793" t="s">
        <v>1809</v>
      </c>
      <c r="L793" t="s">
        <v>31</v>
      </c>
    </row>
    <row r="794" spans="1:12" x14ac:dyDescent="0.3">
      <c r="A794" t="s">
        <v>1960</v>
      </c>
      <c r="B794" t="s">
        <v>1961</v>
      </c>
      <c r="C794" t="s">
        <v>99</v>
      </c>
      <c r="D794" t="s">
        <v>23</v>
      </c>
      <c r="E794">
        <v>23</v>
      </c>
      <c r="F794">
        <v>28.48</v>
      </c>
      <c r="G794">
        <v>655.04</v>
      </c>
      <c r="H794">
        <v>0</v>
      </c>
      <c r="I794" t="s">
        <v>53</v>
      </c>
      <c r="J794" t="s">
        <v>67</v>
      </c>
      <c r="K794" t="s">
        <v>978</v>
      </c>
      <c r="L794" t="s">
        <v>69</v>
      </c>
    </row>
    <row r="795" spans="1:12" x14ac:dyDescent="0.3">
      <c r="A795" t="s">
        <v>1962</v>
      </c>
      <c r="B795" t="s">
        <v>1963</v>
      </c>
      <c r="C795" t="s">
        <v>90</v>
      </c>
      <c r="D795" t="s">
        <v>23</v>
      </c>
      <c r="E795">
        <v>22</v>
      </c>
      <c r="F795">
        <v>15.86</v>
      </c>
      <c r="G795">
        <v>348.92</v>
      </c>
      <c r="H795">
        <v>0</v>
      </c>
      <c r="I795" t="s">
        <v>16</v>
      </c>
      <c r="J795" t="s">
        <v>91</v>
      </c>
      <c r="K795" t="s">
        <v>1112</v>
      </c>
      <c r="L795" t="s">
        <v>19</v>
      </c>
    </row>
    <row r="796" spans="1:12" x14ac:dyDescent="0.3">
      <c r="A796" t="s">
        <v>1964</v>
      </c>
      <c r="B796" t="s">
        <v>1695</v>
      </c>
      <c r="C796" t="s">
        <v>103</v>
      </c>
      <c r="D796" t="s">
        <v>35</v>
      </c>
      <c r="E796">
        <v>4</v>
      </c>
      <c r="F796">
        <v>320.8</v>
      </c>
      <c r="G796">
        <v>1219.04</v>
      </c>
      <c r="H796">
        <v>5</v>
      </c>
      <c r="I796" t="s">
        <v>53</v>
      </c>
      <c r="J796" t="s">
        <v>54</v>
      </c>
      <c r="K796" t="s">
        <v>975</v>
      </c>
      <c r="L796" t="s">
        <v>49</v>
      </c>
    </row>
    <row r="797" spans="1:12" x14ac:dyDescent="0.3">
      <c r="A797" t="s">
        <v>1965</v>
      </c>
      <c r="B797" t="s">
        <v>1966</v>
      </c>
      <c r="C797" t="s">
        <v>40</v>
      </c>
      <c r="D797" t="s">
        <v>23</v>
      </c>
      <c r="E797">
        <v>43</v>
      </c>
      <c r="F797">
        <v>49.27</v>
      </c>
      <c r="G797">
        <v>1906.75</v>
      </c>
      <c r="H797">
        <v>10</v>
      </c>
      <c r="I797" t="s">
        <v>16</v>
      </c>
      <c r="J797" t="s">
        <v>17</v>
      </c>
      <c r="K797" t="s">
        <v>1967</v>
      </c>
      <c r="L797" t="s">
        <v>27</v>
      </c>
    </row>
    <row r="798" spans="1:12" x14ac:dyDescent="0.3">
      <c r="A798" t="s">
        <v>1968</v>
      </c>
      <c r="B798" t="s">
        <v>1969</v>
      </c>
      <c r="C798" t="s">
        <v>22</v>
      </c>
      <c r="D798" t="s">
        <v>23</v>
      </c>
      <c r="E798">
        <v>29</v>
      </c>
      <c r="F798">
        <v>20.38</v>
      </c>
      <c r="G798">
        <v>531.91999999999996</v>
      </c>
      <c r="H798">
        <v>10</v>
      </c>
      <c r="I798" t="s">
        <v>53</v>
      </c>
      <c r="J798" t="s">
        <v>54</v>
      </c>
      <c r="K798" t="s">
        <v>857</v>
      </c>
      <c r="L798" t="s">
        <v>27</v>
      </c>
    </row>
    <row r="799" spans="1:12" x14ac:dyDescent="0.3">
      <c r="A799" t="s">
        <v>1970</v>
      </c>
      <c r="B799" t="s">
        <v>1971</v>
      </c>
      <c r="C799" t="s">
        <v>58</v>
      </c>
      <c r="D799" t="s">
        <v>35</v>
      </c>
      <c r="E799">
        <v>32</v>
      </c>
      <c r="F799">
        <v>493.64</v>
      </c>
      <c r="G799">
        <v>15006.66</v>
      </c>
      <c r="H799">
        <v>5</v>
      </c>
      <c r="I799" t="s">
        <v>46</v>
      </c>
      <c r="J799" t="s">
        <v>124</v>
      </c>
      <c r="K799" t="s">
        <v>1972</v>
      </c>
      <c r="L799" t="s">
        <v>49</v>
      </c>
    </row>
    <row r="800" spans="1:12" x14ac:dyDescent="0.3">
      <c r="A800" t="s">
        <v>1973</v>
      </c>
      <c r="B800" t="s">
        <v>98</v>
      </c>
      <c r="C800" t="s">
        <v>72</v>
      </c>
      <c r="D800" t="s">
        <v>73</v>
      </c>
      <c r="E800">
        <v>7</v>
      </c>
      <c r="F800">
        <v>170.62</v>
      </c>
      <c r="G800">
        <v>1134.6199999999999</v>
      </c>
      <c r="H800">
        <v>5</v>
      </c>
      <c r="I800" t="s">
        <v>16</v>
      </c>
      <c r="J800" t="s">
        <v>91</v>
      </c>
      <c r="K800" t="s">
        <v>1974</v>
      </c>
      <c r="L800" t="s">
        <v>19</v>
      </c>
    </row>
    <row r="801" spans="1:12" x14ac:dyDescent="0.3">
      <c r="A801" t="s">
        <v>1975</v>
      </c>
      <c r="B801" t="s">
        <v>1976</v>
      </c>
      <c r="C801" t="s">
        <v>90</v>
      </c>
      <c r="D801" t="s">
        <v>23</v>
      </c>
      <c r="E801">
        <v>4</v>
      </c>
      <c r="F801">
        <v>30.72</v>
      </c>
      <c r="G801">
        <v>122.88</v>
      </c>
      <c r="H801">
        <v>0</v>
      </c>
      <c r="I801" t="s">
        <v>24</v>
      </c>
      <c r="J801" t="s">
        <v>41</v>
      </c>
      <c r="K801" t="s">
        <v>506</v>
      </c>
      <c r="L801" t="s">
        <v>49</v>
      </c>
    </row>
    <row r="802" spans="1:12" x14ac:dyDescent="0.3">
      <c r="A802" t="s">
        <v>1977</v>
      </c>
      <c r="B802" t="s">
        <v>1978</v>
      </c>
      <c r="C802" t="s">
        <v>34</v>
      </c>
      <c r="D802" t="s">
        <v>35</v>
      </c>
      <c r="E802">
        <v>45</v>
      </c>
      <c r="F802">
        <v>536.63</v>
      </c>
      <c r="G802">
        <v>24148.35</v>
      </c>
      <c r="H802">
        <v>0</v>
      </c>
      <c r="I802" t="s">
        <v>24</v>
      </c>
      <c r="J802" t="s">
        <v>59</v>
      </c>
      <c r="K802" t="s">
        <v>1296</v>
      </c>
      <c r="L802" t="s">
        <v>19</v>
      </c>
    </row>
    <row r="803" spans="1:12" x14ac:dyDescent="0.3">
      <c r="A803" t="s">
        <v>1979</v>
      </c>
      <c r="B803" t="s">
        <v>1168</v>
      </c>
      <c r="C803" t="s">
        <v>45</v>
      </c>
      <c r="D803" t="s">
        <v>23</v>
      </c>
      <c r="E803">
        <v>32</v>
      </c>
      <c r="F803">
        <v>118.28</v>
      </c>
      <c r="G803">
        <v>3406.46</v>
      </c>
      <c r="H803">
        <v>10</v>
      </c>
      <c r="I803" t="s">
        <v>16</v>
      </c>
      <c r="J803" t="s">
        <v>160</v>
      </c>
      <c r="K803" t="s">
        <v>764</v>
      </c>
      <c r="L803" t="s">
        <v>49</v>
      </c>
    </row>
    <row r="804" spans="1:12" x14ac:dyDescent="0.3">
      <c r="A804" t="s">
        <v>1980</v>
      </c>
      <c r="B804" t="s">
        <v>1981</v>
      </c>
      <c r="C804" t="s">
        <v>103</v>
      </c>
      <c r="D804" t="s">
        <v>35</v>
      </c>
      <c r="E804">
        <v>30</v>
      </c>
      <c r="F804">
        <v>555.65</v>
      </c>
      <c r="G804">
        <v>16669.5</v>
      </c>
      <c r="H804">
        <v>0</v>
      </c>
      <c r="I804" t="s">
        <v>24</v>
      </c>
      <c r="J804" t="s">
        <v>41</v>
      </c>
      <c r="K804" t="s">
        <v>1982</v>
      </c>
      <c r="L804" t="s">
        <v>27</v>
      </c>
    </row>
    <row r="805" spans="1:12" x14ac:dyDescent="0.3">
      <c r="A805" t="s">
        <v>1983</v>
      </c>
      <c r="B805" t="s">
        <v>1180</v>
      </c>
      <c r="C805" t="s">
        <v>63</v>
      </c>
      <c r="D805" t="s">
        <v>15</v>
      </c>
      <c r="E805">
        <v>10</v>
      </c>
      <c r="F805">
        <v>79.69</v>
      </c>
      <c r="G805">
        <v>796.9</v>
      </c>
      <c r="H805">
        <v>0</v>
      </c>
      <c r="I805" t="s">
        <v>46</v>
      </c>
      <c r="J805" t="s">
        <v>78</v>
      </c>
      <c r="K805" t="s">
        <v>340</v>
      </c>
      <c r="L805" t="s">
        <v>69</v>
      </c>
    </row>
    <row r="806" spans="1:12" x14ac:dyDescent="0.3">
      <c r="A806" t="s">
        <v>1984</v>
      </c>
      <c r="B806" t="s">
        <v>1985</v>
      </c>
      <c r="C806" t="s">
        <v>40</v>
      </c>
      <c r="D806" t="s">
        <v>23</v>
      </c>
      <c r="E806">
        <v>3</v>
      </c>
      <c r="F806">
        <v>49.12</v>
      </c>
      <c r="G806">
        <v>147.36000000000001</v>
      </c>
      <c r="H806">
        <v>0</v>
      </c>
      <c r="I806" t="s">
        <v>53</v>
      </c>
      <c r="J806" t="s">
        <v>54</v>
      </c>
      <c r="K806" t="s">
        <v>1082</v>
      </c>
      <c r="L806" t="s">
        <v>19</v>
      </c>
    </row>
    <row r="807" spans="1:12" x14ac:dyDescent="0.3">
      <c r="A807" t="s">
        <v>1986</v>
      </c>
      <c r="B807" t="s">
        <v>1987</v>
      </c>
      <c r="C807" t="s">
        <v>82</v>
      </c>
      <c r="D807" t="s">
        <v>73</v>
      </c>
      <c r="E807">
        <v>45</v>
      </c>
      <c r="F807">
        <v>580.89</v>
      </c>
      <c r="G807">
        <v>26140.05</v>
      </c>
      <c r="H807">
        <v>0</v>
      </c>
      <c r="I807" t="s">
        <v>16</v>
      </c>
      <c r="J807" t="s">
        <v>111</v>
      </c>
      <c r="K807" t="s">
        <v>100</v>
      </c>
      <c r="L807" t="s">
        <v>27</v>
      </c>
    </row>
    <row r="808" spans="1:12" x14ac:dyDescent="0.3">
      <c r="A808" t="s">
        <v>1988</v>
      </c>
      <c r="B808" t="s">
        <v>692</v>
      </c>
      <c r="C808" t="s">
        <v>14</v>
      </c>
      <c r="D808" t="s">
        <v>15</v>
      </c>
      <c r="E808">
        <v>33</v>
      </c>
      <c r="F808">
        <v>98.23</v>
      </c>
      <c r="G808">
        <v>2593.27</v>
      </c>
      <c r="H808">
        <v>20</v>
      </c>
      <c r="I808" t="s">
        <v>16</v>
      </c>
      <c r="J808" t="s">
        <v>17</v>
      </c>
      <c r="K808" t="s">
        <v>406</v>
      </c>
      <c r="L808" t="s">
        <v>19</v>
      </c>
    </row>
    <row r="809" spans="1:12" x14ac:dyDescent="0.3">
      <c r="A809" t="s">
        <v>1989</v>
      </c>
      <c r="B809" t="s">
        <v>1990</v>
      </c>
      <c r="C809" t="s">
        <v>90</v>
      </c>
      <c r="D809" t="s">
        <v>23</v>
      </c>
      <c r="E809">
        <v>41</v>
      </c>
      <c r="F809">
        <v>44.41</v>
      </c>
      <c r="G809">
        <v>1820.81</v>
      </c>
      <c r="H809">
        <v>0</v>
      </c>
      <c r="I809" t="s">
        <v>24</v>
      </c>
      <c r="J809" t="s">
        <v>41</v>
      </c>
      <c r="K809" t="s">
        <v>812</v>
      </c>
      <c r="L809" t="s">
        <v>27</v>
      </c>
    </row>
    <row r="810" spans="1:12" x14ac:dyDescent="0.3">
      <c r="A810" t="s">
        <v>1991</v>
      </c>
      <c r="B810" t="s">
        <v>1420</v>
      </c>
      <c r="C810" t="s">
        <v>99</v>
      </c>
      <c r="D810" t="s">
        <v>23</v>
      </c>
      <c r="E810">
        <v>43</v>
      </c>
      <c r="F810">
        <v>17.52</v>
      </c>
      <c r="G810">
        <v>753.36</v>
      </c>
      <c r="H810">
        <v>0</v>
      </c>
      <c r="I810" t="s">
        <v>16</v>
      </c>
      <c r="J810" t="s">
        <v>160</v>
      </c>
      <c r="K810" t="s">
        <v>1992</v>
      </c>
      <c r="L810" t="s">
        <v>49</v>
      </c>
    </row>
    <row r="811" spans="1:12" x14ac:dyDescent="0.3">
      <c r="A811" t="s">
        <v>1993</v>
      </c>
      <c r="B811" t="s">
        <v>1994</v>
      </c>
      <c r="C811" t="s">
        <v>123</v>
      </c>
      <c r="D811" t="s">
        <v>15</v>
      </c>
      <c r="E811">
        <v>33</v>
      </c>
      <c r="F811">
        <v>38.200000000000003</v>
      </c>
      <c r="G811">
        <v>1197.57</v>
      </c>
      <c r="H811">
        <v>5</v>
      </c>
      <c r="I811" t="s">
        <v>24</v>
      </c>
      <c r="J811" t="s">
        <v>36</v>
      </c>
      <c r="K811" t="s">
        <v>787</v>
      </c>
      <c r="L811" t="s">
        <v>27</v>
      </c>
    </row>
    <row r="812" spans="1:12" x14ac:dyDescent="0.3">
      <c r="A812" t="s">
        <v>1995</v>
      </c>
      <c r="B812" t="s">
        <v>57</v>
      </c>
      <c r="C812" t="s">
        <v>99</v>
      </c>
      <c r="D812" t="s">
        <v>23</v>
      </c>
      <c r="E812">
        <v>45</v>
      </c>
      <c r="F812">
        <v>17.13</v>
      </c>
      <c r="G812">
        <v>616.67999999999995</v>
      </c>
      <c r="H812">
        <v>20</v>
      </c>
      <c r="I812" t="s">
        <v>16</v>
      </c>
      <c r="J812" t="s">
        <v>17</v>
      </c>
      <c r="K812" t="s">
        <v>1996</v>
      </c>
      <c r="L812" t="s">
        <v>69</v>
      </c>
    </row>
    <row r="813" spans="1:12" x14ac:dyDescent="0.3">
      <c r="A813" t="s">
        <v>1997</v>
      </c>
      <c r="B813" t="s">
        <v>1998</v>
      </c>
      <c r="C813" t="s">
        <v>14</v>
      </c>
      <c r="D813" t="s">
        <v>15</v>
      </c>
      <c r="E813">
        <v>13</v>
      </c>
      <c r="F813">
        <v>78.92</v>
      </c>
      <c r="G813">
        <v>1025.96</v>
      </c>
      <c r="H813">
        <v>0</v>
      </c>
      <c r="I813" t="s">
        <v>24</v>
      </c>
      <c r="J813" t="s">
        <v>41</v>
      </c>
      <c r="K813" t="s">
        <v>1291</v>
      </c>
      <c r="L813" t="s">
        <v>49</v>
      </c>
    </row>
    <row r="814" spans="1:12" x14ac:dyDescent="0.3">
      <c r="A814" t="s">
        <v>1999</v>
      </c>
      <c r="B814" t="s">
        <v>2000</v>
      </c>
      <c r="C814" t="s">
        <v>45</v>
      </c>
      <c r="D814" t="s">
        <v>23</v>
      </c>
      <c r="E814">
        <v>19</v>
      </c>
      <c r="F814">
        <v>116.01</v>
      </c>
      <c r="G814">
        <v>2204.19</v>
      </c>
      <c r="H814">
        <v>0</v>
      </c>
      <c r="I814" t="s">
        <v>46</v>
      </c>
      <c r="J814" t="s">
        <v>83</v>
      </c>
      <c r="K814" t="s">
        <v>534</v>
      </c>
      <c r="L814" t="s">
        <v>49</v>
      </c>
    </row>
    <row r="815" spans="1:12" x14ac:dyDescent="0.3">
      <c r="A815" t="s">
        <v>2001</v>
      </c>
      <c r="B815" t="s">
        <v>1688</v>
      </c>
      <c r="C815" t="s">
        <v>58</v>
      </c>
      <c r="D815" t="s">
        <v>35</v>
      </c>
      <c r="E815">
        <v>20</v>
      </c>
      <c r="F815">
        <v>492.45</v>
      </c>
      <c r="G815">
        <v>8864.1</v>
      </c>
      <c r="H815">
        <v>10</v>
      </c>
      <c r="I815" t="s">
        <v>16</v>
      </c>
      <c r="J815" t="s">
        <v>111</v>
      </c>
      <c r="K815" t="s">
        <v>886</v>
      </c>
      <c r="L815" t="s">
        <v>19</v>
      </c>
    </row>
    <row r="816" spans="1:12" x14ac:dyDescent="0.3">
      <c r="A816" t="s">
        <v>2002</v>
      </c>
      <c r="B816" t="s">
        <v>2003</v>
      </c>
      <c r="C816" t="s">
        <v>95</v>
      </c>
      <c r="D816" t="s">
        <v>35</v>
      </c>
      <c r="E816">
        <v>38</v>
      </c>
      <c r="F816">
        <v>1136.42</v>
      </c>
      <c r="G816">
        <v>43183.96</v>
      </c>
      <c r="H816">
        <v>0</v>
      </c>
      <c r="I816" t="s">
        <v>24</v>
      </c>
      <c r="J816" t="s">
        <v>36</v>
      </c>
      <c r="K816" t="s">
        <v>2004</v>
      </c>
      <c r="L816" t="s">
        <v>69</v>
      </c>
    </row>
    <row r="817" spans="1:12" x14ac:dyDescent="0.3">
      <c r="A817" t="s">
        <v>2005</v>
      </c>
      <c r="B817" t="s">
        <v>2006</v>
      </c>
      <c r="C817" t="s">
        <v>14</v>
      </c>
      <c r="D817" t="s">
        <v>15</v>
      </c>
      <c r="E817">
        <v>50</v>
      </c>
      <c r="F817">
        <v>109.67</v>
      </c>
      <c r="G817">
        <v>5483.5</v>
      </c>
      <c r="H817">
        <v>0</v>
      </c>
      <c r="I817" t="s">
        <v>24</v>
      </c>
      <c r="J817" t="s">
        <v>104</v>
      </c>
      <c r="K817" t="s">
        <v>2007</v>
      </c>
      <c r="L817" t="s">
        <v>31</v>
      </c>
    </row>
    <row r="818" spans="1:12" x14ac:dyDescent="0.3">
      <c r="A818" t="s">
        <v>2008</v>
      </c>
      <c r="B818" t="s">
        <v>2009</v>
      </c>
      <c r="C818" t="s">
        <v>14</v>
      </c>
      <c r="D818" t="s">
        <v>15</v>
      </c>
      <c r="E818">
        <v>48</v>
      </c>
      <c r="F818">
        <v>108.02</v>
      </c>
      <c r="G818">
        <v>4666.46</v>
      </c>
      <c r="H818">
        <v>10</v>
      </c>
      <c r="I818" t="s">
        <v>53</v>
      </c>
      <c r="J818" t="s">
        <v>141</v>
      </c>
      <c r="K818" t="s">
        <v>901</v>
      </c>
      <c r="L818" t="s">
        <v>31</v>
      </c>
    </row>
    <row r="819" spans="1:12" x14ac:dyDescent="0.3">
      <c r="A819" t="s">
        <v>2010</v>
      </c>
      <c r="B819" t="s">
        <v>2011</v>
      </c>
      <c r="C819" t="s">
        <v>103</v>
      </c>
      <c r="D819" t="s">
        <v>35</v>
      </c>
      <c r="E819">
        <v>34</v>
      </c>
      <c r="F819">
        <v>474.63</v>
      </c>
      <c r="G819">
        <v>14523.68</v>
      </c>
      <c r="H819">
        <v>10</v>
      </c>
      <c r="I819" t="s">
        <v>46</v>
      </c>
      <c r="J819" t="s">
        <v>47</v>
      </c>
      <c r="K819" t="s">
        <v>1224</v>
      </c>
      <c r="L819" t="s">
        <v>49</v>
      </c>
    </row>
    <row r="820" spans="1:12" x14ac:dyDescent="0.3">
      <c r="A820" t="s">
        <v>2012</v>
      </c>
      <c r="B820" t="s">
        <v>2013</v>
      </c>
      <c r="C820" t="s">
        <v>58</v>
      </c>
      <c r="D820" t="s">
        <v>35</v>
      </c>
      <c r="E820">
        <v>46</v>
      </c>
      <c r="F820">
        <v>303.42</v>
      </c>
      <c r="G820">
        <v>13957.32</v>
      </c>
      <c r="H820">
        <v>0</v>
      </c>
      <c r="I820" t="s">
        <v>46</v>
      </c>
      <c r="J820" t="s">
        <v>124</v>
      </c>
      <c r="K820" t="s">
        <v>898</v>
      </c>
      <c r="L820" t="s">
        <v>49</v>
      </c>
    </row>
    <row r="821" spans="1:12" x14ac:dyDescent="0.3">
      <c r="A821" t="s">
        <v>2014</v>
      </c>
      <c r="B821" t="s">
        <v>2015</v>
      </c>
      <c r="C821" t="s">
        <v>90</v>
      </c>
      <c r="D821" t="s">
        <v>23</v>
      </c>
      <c r="E821">
        <v>48</v>
      </c>
      <c r="F821">
        <v>41.84</v>
      </c>
      <c r="G821">
        <v>2008.32</v>
      </c>
      <c r="H821">
        <v>0</v>
      </c>
      <c r="I821" t="s">
        <v>46</v>
      </c>
      <c r="J821" t="s">
        <v>124</v>
      </c>
      <c r="K821" t="s">
        <v>717</v>
      </c>
      <c r="L821" t="s">
        <v>49</v>
      </c>
    </row>
    <row r="822" spans="1:12" x14ac:dyDescent="0.3">
      <c r="A822" t="s">
        <v>2016</v>
      </c>
      <c r="B822" t="s">
        <v>1257</v>
      </c>
      <c r="C822" t="s">
        <v>52</v>
      </c>
      <c r="D822" t="s">
        <v>35</v>
      </c>
      <c r="E822">
        <v>32</v>
      </c>
      <c r="F822">
        <v>272.98</v>
      </c>
      <c r="G822">
        <v>7861.82</v>
      </c>
      <c r="H822">
        <v>10</v>
      </c>
      <c r="I822" t="s">
        <v>53</v>
      </c>
      <c r="J822" t="s">
        <v>54</v>
      </c>
      <c r="K822" t="s">
        <v>340</v>
      </c>
      <c r="L822" t="s">
        <v>69</v>
      </c>
    </row>
    <row r="823" spans="1:12" x14ac:dyDescent="0.3">
      <c r="A823" t="s">
        <v>2017</v>
      </c>
      <c r="B823" t="s">
        <v>2018</v>
      </c>
      <c r="C823" t="s">
        <v>95</v>
      </c>
      <c r="D823" t="s">
        <v>35</v>
      </c>
      <c r="E823">
        <v>38</v>
      </c>
      <c r="F823">
        <v>1072.3499999999999</v>
      </c>
      <c r="G823">
        <v>36674.370000000003</v>
      </c>
      <c r="H823">
        <v>10</v>
      </c>
      <c r="I823" t="s">
        <v>24</v>
      </c>
      <c r="J823" t="s">
        <v>36</v>
      </c>
      <c r="K823" t="s">
        <v>1951</v>
      </c>
      <c r="L823" t="s">
        <v>49</v>
      </c>
    </row>
    <row r="824" spans="1:12" x14ac:dyDescent="0.3">
      <c r="A824" t="s">
        <v>2019</v>
      </c>
      <c r="B824" t="s">
        <v>2020</v>
      </c>
      <c r="C824" t="s">
        <v>22</v>
      </c>
      <c r="D824" t="s">
        <v>23</v>
      </c>
      <c r="E824">
        <v>4</v>
      </c>
      <c r="F824">
        <v>30.73</v>
      </c>
      <c r="G824">
        <v>122.92</v>
      </c>
      <c r="H824">
        <v>0</v>
      </c>
      <c r="I824" t="s">
        <v>16</v>
      </c>
      <c r="J824" t="s">
        <v>17</v>
      </c>
      <c r="K824" t="s">
        <v>1381</v>
      </c>
      <c r="L824" t="s">
        <v>69</v>
      </c>
    </row>
    <row r="825" spans="1:12" x14ac:dyDescent="0.3">
      <c r="A825" t="s">
        <v>2021</v>
      </c>
      <c r="B825" t="s">
        <v>2022</v>
      </c>
      <c r="C825" t="s">
        <v>52</v>
      </c>
      <c r="D825" t="s">
        <v>35</v>
      </c>
      <c r="E825">
        <v>14</v>
      </c>
      <c r="F825">
        <v>267.83</v>
      </c>
      <c r="G825">
        <v>3749.62</v>
      </c>
      <c r="H825">
        <v>0</v>
      </c>
      <c r="I825" t="s">
        <v>53</v>
      </c>
      <c r="J825" t="s">
        <v>134</v>
      </c>
      <c r="K825" t="s">
        <v>509</v>
      </c>
      <c r="L825" t="s">
        <v>27</v>
      </c>
    </row>
    <row r="826" spans="1:12" x14ac:dyDescent="0.3">
      <c r="A826" t="s">
        <v>2023</v>
      </c>
      <c r="B826" t="s">
        <v>1797</v>
      </c>
      <c r="C826" t="s">
        <v>14</v>
      </c>
      <c r="D826" t="s">
        <v>15</v>
      </c>
      <c r="E826">
        <v>23</v>
      </c>
      <c r="F826">
        <v>73.03</v>
      </c>
      <c r="G826">
        <v>1595.71</v>
      </c>
      <c r="H826">
        <v>5</v>
      </c>
      <c r="I826" t="s">
        <v>24</v>
      </c>
      <c r="J826" t="s">
        <v>36</v>
      </c>
      <c r="K826" t="s">
        <v>319</v>
      </c>
      <c r="L826" t="s">
        <v>19</v>
      </c>
    </row>
    <row r="827" spans="1:12" x14ac:dyDescent="0.3">
      <c r="A827" t="s">
        <v>2024</v>
      </c>
      <c r="B827" t="s">
        <v>2025</v>
      </c>
      <c r="C827" t="s">
        <v>99</v>
      </c>
      <c r="D827" t="s">
        <v>23</v>
      </c>
      <c r="E827">
        <v>7</v>
      </c>
      <c r="F827">
        <v>10.52</v>
      </c>
      <c r="G827">
        <v>73.64</v>
      </c>
      <c r="H827">
        <v>0</v>
      </c>
      <c r="I827" t="s">
        <v>16</v>
      </c>
      <c r="J827" t="s">
        <v>111</v>
      </c>
      <c r="K827" t="s">
        <v>389</v>
      </c>
      <c r="L827" t="s">
        <v>31</v>
      </c>
    </row>
    <row r="828" spans="1:12" x14ac:dyDescent="0.3">
      <c r="A828" t="s">
        <v>2026</v>
      </c>
      <c r="B828" t="s">
        <v>2027</v>
      </c>
      <c r="C828" t="s">
        <v>123</v>
      </c>
      <c r="D828" t="s">
        <v>15</v>
      </c>
      <c r="E828">
        <v>38</v>
      </c>
      <c r="F828">
        <v>21.77</v>
      </c>
      <c r="G828">
        <v>703.17</v>
      </c>
      <c r="H828">
        <v>15</v>
      </c>
      <c r="I828" t="s">
        <v>16</v>
      </c>
      <c r="J828" t="s">
        <v>74</v>
      </c>
      <c r="K828" t="s">
        <v>750</v>
      </c>
      <c r="L828" t="s">
        <v>19</v>
      </c>
    </row>
    <row r="829" spans="1:12" x14ac:dyDescent="0.3">
      <c r="A829" t="s">
        <v>2028</v>
      </c>
      <c r="B829" t="s">
        <v>1213</v>
      </c>
      <c r="C829" t="s">
        <v>40</v>
      </c>
      <c r="D829" t="s">
        <v>23</v>
      </c>
      <c r="E829">
        <v>11</v>
      </c>
      <c r="F829">
        <v>48.9</v>
      </c>
      <c r="G829">
        <v>511</v>
      </c>
      <c r="H829">
        <v>5</v>
      </c>
      <c r="I829" t="s">
        <v>46</v>
      </c>
      <c r="J829" t="s">
        <v>244</v>
      </c>
      <c r="K829" t="s">
        <v>2029</v>
      </c>
      <c r="L829" t="s">
        <v>31</v>
      </c>
    </row>
    <row r="830" spans="1:12" x14ac:dyDescent="0.3">
      <c r="A830" t="s">
        <v>2030</v>
      </c>
      <c r="B830" t="s">
        <v>703</v>
      </c>
      <c r="C830" t="s">
        <v>45</v>
      </c>
      <c r="D830" t="s">
        <v>23</v>
      </c>
      <c r="E830">
        <v>3</v>
      </c>
      <c r="F830">
        <v>59.44</v>
      </c>
      <c r="G830">
        <v>142.66</v>
      </c>
      <c r="H830">
        <v>20</v>
      </c>
      <c r="I830" t="s">
        <v>24</v>
      </c>
      <c r="J830" t="s">
        <v>36</v>
      </c>
      <c r="K830" t="s">
        <v>331</v>
      </c>
      <c r="L830" t="s">
        <v>31</v>
      </c>
    </row>
    <row r="831" spans="1:12" x14ac:dyDescent="0.3">
      <c r="A831" t="s">
        <v>2031</v>
      </c>
      <c r="B831" t="s">
        <v>2032</v>
      </c>
      <c r="C831" t="s">
        <v>45</v>
      </c>
      <c r="D831" t="s">
        <v>23</v>
      </c>
      <c r="E831">
        <v>14</v>
      </c>
      <c r="F831">
        <v>197.75</v>
      </c>
      <c r="G831">
        <v>2630.08</v>
      </c>
      <c r="H831">
        <v>5</v>
      </c>
      <c r="I831" t="s">
        <v>46</v>
      </c>
      <c r="J831" t="s">
        <v>244</v>
      </c>
      <c r="K831" t="s">
        <v>717</v>
      </c>
      <c r="L831" t="s">
        <v>69</v>
      </c>
    </row>
    <row r="832" spans="1:12" x14ac:dyDescent="0.3">
      <c r="A832" t="s">
        <v>2033</v>
      </c>
      <c r="B832" t="s">
        <v>2034</v>
      </c>
      <c r="C832" t="s">
        <v>123</v>
      </c>
      <c r="D832" t="s">
        <v>15</v>
      </c>
      <c r="E832">
        <v>5</v>
      </c>
      <c r="F832">
        <v>34.11</v>
      </c>
      <c r="G832">
        <v>162.02000000000001</v>
      </c>
      <c r="H832">
        <v>5</v>
      </c>
      <c r="I832" t="s">
        <v>53</v>
      </c>
      <c r="J832" t="s">
        <v>54</v>
      </c>
      <c r="K832" t="s">
        <v>100</v>
      </c>
      <c r="L832" t="s">
        <v>19</v>
      </c>
    </row>
    <row r="833" spans="1:12" x14ac:dyDescent="0.3">
      <c r="A833" t="s">
        <v>2035</v>
      </c>
      <c r="B833" t="s">
        <v>2036</v>
      </c>
      <c r="C833" t="s">
        <v>72</v>
      </c>
      <c r="D833" t="s">
        <v>73</v>
      </c>
      <c r="E833">
        <v>38</v>
      </c>
      <c r="F833">
        <v>167.52</v>
      </c>
      <c r="G833">
        <v>5092.6099999999997</v>
      </c>
      <c r="H833">
        <v>20</v>
      </c>
      <c r="I833" t="s">
        <v>16</v>
      </c>
      <c r="J833" t="s">
        <v>111</v>
      </c>
      <c r="K833" t="s">
        <v>1313</v>
      </c>
      <c r="L833" t="s">
        <v>31</v>
      </c>
    </row>
    <row r="834" spans="1:12" x14ac:dyDescent="0.3">
      <c r="A834" t="s">
        <v>2037</v>
      </c>
      <c r="B834" t="s">
        <v>217</v>
      </c>
      <c r="C834" t="s">
        <v>14</v>
      </c>
      <c r="D834" t="s">
        <v>15</v>
      </c>
      <c r="E834">
        <v>21</v>
      </c>
      <c r="F834">
        <v>43.09</v>
      </c>
      <c r="G834">
        <v>814.4</v>
      </c>
      <c r="H834">
        <v>10</v>
      </c>
      <c r="I834" t="s">
        <v>53</v>
      </c>
      <c r="J834" t="s">
        <v>54</v>
      </c>
      <c r="K834" t="s">
        <v>1539</v>
      </c>
      <c r="L834" t="s">
        <v>27</v>
      </c>
    </row>
    <row r="835" spans="1:12" x14ac:dyDescent="0.3">
      <c r="A835" t="s">
        <v>2038</v>
      </c>
      <c r="B835" t="s">
        <v>2039</v>
      </c>
      <c r="C835" t="s">
        <v>14</v>
      </c>
      <c r="D835" t="s">
        <v>15</v>
      </c>
      <c r="E835">
        <v>14</v>
      </c>
      <c r="F835">
        <v>50.92</v>
      </c>
      <c r="G835">
        <v>712.88</v>
      </c>
      <c r="H835">
        <v>0</v>
      </c>
      <c r="I835" t="s">
        <v>46</v>
      </c>
      <c r="J835" t="s">
        <v>47</v>
      </c>
      <c r="K835" t="s">
        <v>648</v>
      </c>
      <c r="L835" t="s">
        <v>27</v>
      </c>
    </row>
    <row r="836" spans="1:12" x14ac:dyDescent="0.3">
      <c r="A836" t="s">
        <v>2040</v>
      </c>
      <c r="B836" t="s">
        <v>299</v>
      </c>
      <c r="C836" t="s">
        <v>90</v>
      </c>
      <c r="D836" t="s">
        <v>23</v>
      </c>
      <c r="E836">
        <v>26</v>
      </c>
      <c r="F836">
        <v>18.350000000000001</v>
      </c>
      <c r="G836">
        <v>429.39</v>
      </c>
      <c r="H836">
        <v>10</v>
      </c>
      <c r="I836" t="s">
        <v>53</v>
      </c>
      <c r="J836" t="s">
        <v>141</v>
      </c>
      <c r="K836" t="s">
        <v>1246</v>
      </c>
      <c r="L836" t="s">
        <v>69</v>
      </c>
    </row>
    <row r="837" spans="1:12" x14ac:dyDescent="0.3">
      <c r="A837" t="s">
        <v>2041</v>
      </c>
      <c r="B837" t="s">
        <v>2042</v>
      </c>
      <c r="C837" t="s">
        <v>99</v>
      </c>
      <c r="D837" t="s">
        <v>23</v>
      </c>
      <c r="E837">
        <v>35</v>
      </c>
      <c r="F837">
        <v>29.83</v>
      </c>
      <c r="G837">
        <v>1044.05</v>
      </c>
      <c r="H837">
        <v>0</v>
      </c>
      <c r="I837" t="s">
        <v>53</v>
      </c>
      <c r="J837" t="s">
        <v>170</v>
      </c>
      <c r="K837" t="s">
        <v>2043</v>
      </c>
      <c r="L837" t="s">
        <v>69</v>
      </c>
    </row>
    <row r="838" spans="1:12" x14ac:dyDescent="0.3">
      <c r="A838" t="s">
        <v>2044</v>
      </c>
      <c r="B838" t="s">
        <v>1877</v>
      </c>
      <c r="C838" t="s">
        <v>40</v>
      </c>
      <c r="D838" t="s">
        <v>23</v>
      </c>
      <c r="E838">
        <v>47</v>
      </c>
      <c r="F838">
        <v>66.36</v>
      </c>
      <c r="G838">
        <v>2495.14</v>
      </c>
      <c r="H838">
        <v>20</v>
      </c>
      <c r="I838" t="s">
        <v>24</v>
      </c>
      <c r="J838" t="s">
        <v>36</v>
      </c>
      <c r="K838" t="s">
        <v>1934</v>
      </c>
      <c r="L838" t="s">
        <v>49</v>
      </c>
    </row>
    <row r="839" spans="1:12" x14ac:dyDescent="0.3">
      <c r="A839" t="s">
        <v>2045</v>
      </c>
      <c r="B839" t="s">
        <v>2046</v>
      </c>
      <c r="C839" t="s">
        <v>82</v>
      </c>
      <c r="D839" t="s">
        <v>73</v>
      </c>
      <c r="E839">
        <v>3</v>
      </c>
      <c r="F839">
        <v>617.29</v>
      </c>
      <c r="G839">
        <v>1759.28</v>
      </c>
      <c r="H839">
        <v>5</v>
      </c>
      <c r="I839" t="s">
        <v>24</v>
      </c>
      <c r="J839" t="s">
        <v>25</v>
      </c>
      <c r="K839" t="s">
        <v>1804</v>
      </c>
      <c r="L839" t="s">
        <v>19</v>
      </c>
    </row>
    <row r="840" spans="1:12" x14ac:dyDescent="0.3">
      <c r="A840" t="s">
        <v>2047</v>
      </c>
      <c r="B840" t="s">
        <v>2048</v>
      </c>
      <c r="C840" t="s">
        <v>40</v>
      </c>
      <c r="D840" t="s">
        <v>23</v>
      </c>
      <c r="E840">
        <v>43</v>
      </c>
      <c r="F840">
        <v>39.049999999999997</v>
      </c>
      <c r="G840">
        <v>1427.28</v>
      </c>
      <c r="H840">
        <v>15</v>
      </c>
      <c r="I840" t="s">
        <v>24</v>
      </c>
      <c r="J840" t="s">
        <v>25</v>
      </c>
      <c r="K840" t="s">
        <v>2049</v>
      </c>
      <c r="L840" t="s">
        <v>19</v>
      </c>
    </row>
    <row r="841" spans="1:12" x14ac:dyDescent="0.3">
      <c r="A841" t="s">
        <v>2050</v>
      </c>
      <c r="B841" t="s">
        <v>2051</v>
      </c>
      <c r="C841" t="s">
        <v>82</v>
      </c>
      <c r="D841" t="s">
        <v>73</v>
      </c>
      <c r="E841">
        <v>45</v>
      </c>
      <c r="F841">
        <v>706.49</v>
      </c>
      <c r="G841">
        <v>31792.05</v>
      </c>
      <c r="H841">
        <v>0</v>
      </c>
      <c r="I841" t="s">
        <v>46</v>
      </c>
      <c r="J841" t="s">
        <v>83</v>
      </c>
      <c r="K841" t="s">
        <v>2052</v>
      </c>
      <c r="L841" t="s">
        <v>31</v>
      </c>
    </row>
    <row r="842" spans="1:12" x14ac:dyDescent="0.3">
      <c r="A842" t="s">
        <v>2053</v>
      </c>
      <c r="B842" t="s">
        <v>2054</v>
      </c>
      <c r="C842" t="s">
        <v>45</v>
      </c>
      <c r="D842" t="s">
        <v>23</v>
      </c>
      <c r="E842">
        <v>37</v>
      </c>
      <c r="F842">
        <v>61.52</v>
      </c>
      <c r="G842">
        <v>2162.4299999999998</v>
      </c>
      <c r="H842">
        <v>5</v>
      </c>
      <c r="I842" t="s">
        <v>46</v>
      </c>
      <c r="J842" t="s">
        <v>47</v>
      </c>
      <c r="K842" t="s">
        <v>2055</v>
      </c>
      <c r="L842" t="s">
        <v>31</v>
      </c>
    </row>
    <row r="843" spans="1:12" x14ac:dyDescent="0.3">
      <c r="A843" t="s">
        <v>2056</v>
      </c>
      <c r="B843" t="s">
        <v>279</v>
      </c>
      <c r="C843" t="s">
        <v>58</v>
      </c>
      <c r="D843" t="s">
        <v>35</v>
      </c>
      <c r="E843">
        <v>31</v>
      </c>
      <c r="F843">
        <v>200.29</v>
      </c>
      <c r="G843">
        <v>6208.99</v>
      </c>
      <c r="H843">
        <v>0</v>
      </c>
      <c r="I843" t="s">
        <v>53</v>
      </c>
      <c r="J843" t="s">
        <v>134</v>
      </c>
      <c r="K843" t="s">
        <v>167</v>
      </c>
      <c r="L843" t="s">
        <v>69</v>
      </c>
    </row>
    <row r="844" spans="1:12" x14ac:dyDescent="0.3">
      <c r="A844" t="s">
        <v>2057</v>
      </c>
      <c r="B844" t="s">
        <v>2058</v>
      </c>
      <c r="C844" t="s">
        <v>22</v>
      </c>
      <c r="D844" t="s">
        <v>23</v>
      </c>
      <c r="E844">
        <v>39</v>
      </c>
      <c r="F844">
        <v>33.869999999999997</v>
      </c>
      <c r="G844">
        <v>1320.93</v>
      </c>
      <c r="H844">
        <v>0</v>
      </c>
      <c r="I844" t="s">
        <v>24</v>
      </c>
      <c r="J844" t="s">
        <v>25</v>
      </c>
      <c r="K844" t="s">
        <v>1326</v>
      </c>
      <c r="L844" t="s">
        <v>69</v>
      </c>
    </row>
    <row r="845" spans="1:12" x14ac:dyDescent="0.3">
      <c r="A845" t="s">
        <v>2059</v>
      </c>
      <c r="B845" t="s">
        <v>2060</v>
      </c>
      <c r="C845" t="s">
        <v>95</v>
      </c>
      <c r="D845" t="s">
        <v>35</v>
      </c>
      <c r="E845">
        <v>30</v>
      </c>
      <c r="F845">
        <v>1190.69</v>
      </c>
      <c r="G845">
        <v>32148.63</v>
      </c>
      <c r="H845">
        <v>10</v>
      </c>
      <c r="I845" t="s">
        <v>16</v>
      </c>
      <c r="J845" t="s">
        <v>17</v>
      </c>
      <c r="K845" t="s">
        <v>2061</v>
      </c>
      <c r="L845" t="s">
        <v>69</v>
      </c>
    </row>
    <row r="846" spans="1:12" x14ac:dyDescent="0.3">
      <c r="A846" t="s">
        <v>2062</v>
      </c>
      <c r="B846" t="s">
        <v>738</v>
      </c>
      <c r="C846" t="s">
        <v>99</v>
      </c>
      <c r="D846" t="s">
        <v>23</v>
      </c>
      <c r="E846">
        <v>47</v>
      </c>
      <c r="F846">
        <v>26.02</v>
      </c>
      <c r="G846">
        <v>1222.94</v>
      </c>
      <c r="H846">
        <v>0</v>
      </c>
      <c r="I846" t="s">
        <v>16</v>
      </c>
      <c r="J846" t="s">
        <v>74</v>
      </c>
      <c r="K846" t="s">
        <v>1658</v>
      </c>
      <c r="L846" t="s">
        <v>31</v>
      </c>
    </row>
    <row r="847" spans="1:12" x14ac:dyDescent="0.3">
      <c r="A847" t="s">
        <v>2063</v>
      </c>
      <c r="B847" t="s">
        <v>2064</v>
      </c>
      <c r="C847" t="s">
        <v>52</v>
      </c>
      <c r="D847" t="s">
        <v>35</v>
      </c>
      <c r="E847">
        <v>22</v>
      </c>
      <c r="F847">
        <v>264.98</v>
      </c>
      <c r="G847">
        <v>5246.6</v>
      </c>
      <c r="H847">
        <v>10</v>
      </c>
      <c r="I847" t="s">
        <v>46</v>
      </c>
      <c r="J847" t="s">
        <v>47</v>
      </c>
      <c r="K847" t="s">
        <v>1273</v>
      </c>
      <c r="L847" t="s">
        <v>31</v>
      </c>
    </row>
    <row r="848" spans="1:12" x14ac:dyDescent="0.3">
      <c r="A848" t="s">
        <v>2065</v>
      </c>
      <c r="B848" t="s">
        <v>2066</v>
      </c>
      <c r="C848" t="s">
        <v>58</v>
      </c>
      <c r="D848" t="s">
        <v>35</v>
      </c>
      <c r="E848">
        <v>41</v>
      </c>
      <c r="F848">
        <v>297.73</v>
      </c>
      <c r="G848">
        <v>11596.58</v>
      </c>
      <c r="H848">
        <v>5</v>
      </c>
      <c r="I848" t="s">
        <v>53</v>
      </c>
      <c r="J848" t="s">
        <v>170</v>
      </c>
      <c r="K848" t="s">
        <v>2067</v>
      </c>
      <c r="L848" t="s">
        <v>49</v>
      </c>
    </row>
    <row r="849" spans="1:12" x14ac:dyDescent="0.3">
      <c r="A849" t="s">
        <v>2068</v>
      </c>
      <c r="B849" t="s">
        <v>2069</v>
      </c>
      <c r="C849" t="s">
        <v>99</v>
      </c>
      <c r="D849" t="s">
        <v>23</v>
      </c>
      <c r="E849">
        <v>45</v>
      </c>
      <c r="F849">
        <v>12.62</v>
      </c>
      <c r="G849">
        <v>511.11</v>
      </c>
      <c r="H849">
        <v>10</v>
      </c>
      <c r="I849" t="s">
        <v>16</v>
      </c>
      <c r="J849" t="s">
        <v>74</v>
      </c>
      <c r="K849" t="s">
        <v>771</v>
      </c>
      <c r="L849" t="s">
        <v>31</v>
      </c>
    </row>
    <row r="850" spans="1:12" x14ac:dyDescent="0.3">
      <c r="A850" t="s">
        <v>2070</v>
      </c>
      <c r="B850" t="s">
        <v>2071</v>
      </c>
      <c r="C850" t="s">
        <v>34</v>
      </c>
      <c r="D850" t="s">
        <v>35</v>
      </c>
      <c r="E850">
        <v>33</v>
      </c>
      <c r="F850">
        <v>822.48</v>
      </c>
      <c r="G850">
        <v>23070.560000000001</v>
      </c>
      <c r="H850">
        <v>15</v>
      </c>
      <c r="I850" t="s">
        <v>16</v>
      </c>
      <c r="J850" t="s">
        <v>91</v>
      </c>
      <c r="K850" t="s">
        <v>955</v>
      </c>
      <c r="L850" t="s">
        <v>69</v>
      </c>
    </row>
    <row r="851" spans="1:12" x14ac:dyDescent="0.3">
      <c r="A851" t="s">
        <v>2072</v>
      </c>
      <c r="B851" t="s">
        <v>1056</v>
      </c>
      <c r="C851" t="s">
        <v>103</v>
      </c>
      <c r="D851" t="s">
        <v>35</v>
      </c>
      <c r="E851">
        <v>22</v>
      </c>
      <c r="F851">
        <v>496.55</v>
      </c>
      <c r="G851">
        <v>10924.1</v>
      </c>
      <c r="H851">
        <v>0</v>
      </c>
      <c r="I851" t="s">
        <v>24</v>
      </c>
      <c r="J851" t="s">
        <v>59</v>
      </c>
      <c r="K851" t="s">
        <v>1350</v>
      </c>
      <c r="L851" t="s">
        <v>69</v>
      </c>
    </row>
    <row r="852" spans="1:12" x14ac:dyDescent="0.3">
      <c r="A852" t="s">
        <v>2073</v>
      </c>
      <c r="B852" t="s">
        <v>2074</v>
      </c>
      <c r="C852" t="s">
        <v>82</v>
      </c>
      <c r="D852" t="s">
        <v>73</v>
      </c>
      <c r="E852">
        <v>9</v>
      </c>
      <c r="F852">
        <v>594.96</v>
      </c>
      <c r="G852">
        <v>5354.64</v>
      </c>
      <c r="H852">
        <v>0</v>
      </c>
      <c r="I852" t="s">
        <v>16</v>
      </c>
      <c r="J852" t="s">
        <v>91</v>
      </c>
      <c r="K852" t="s">
        <v>497</v>
      </c>
      <c r="L852" t="s">
        <v>27</v>
      </c>
    </row>
    <row r="853" spans="1:12" x14ac:dyDescent="0.3">
      <c r="A853" t="s">
        <v>2075</v>
      </c>
      <c r="B853" t="s">
        <v>1093</v>
      </c>
      <c r="C853" t="s">
        <v>40</v>
      </c>
      <c r="D853" t="s">
        <v>23</v>
      </c>
      <c r="E853">
        <v>2</v>
      </c>
      <c r="F853">
        <v>54.34</v>
      </c>
      <c r="G853">
        <v>108.68</v>
      </c>
      <c r="H853">
        <v>0</v>
      </c>
      <c r="I853" t="s">
        <v>46</v>
      </c>
      <c r="J853" t="s">
        <v>78</v>
      </c>
      <c r="K853" t="s">
        <v>2076</v>
      </c>
      <c r="L853" t="s">
        <v>19</v>
      </c>
    </row>
    <row r="854" spans="1:12" x14ac:dyDescent="0.3">
      <c r="A854" t="s">
        <v>2077</v>
      </c>
      <c r="B854" t="s">
        <v>1865</v>
      </c>
      <c r="C854" t="s">
        <v>99</v>
      </c>
      <c r="D854" t="s">
        <v>23</v>
      </c>
      <c r="E854">
        <v>24</v>
      </c>
      <c r="F854">
        <v>26.86</v>
      </c>
      <c r="G854">
        <v>580.17999999999995</v>
      </c>
      <c r="H854">
        <v>10</v>
      </c>
      <c r="I854" t="s">
        <v>16</v>
      </c>
      <c r="J854" t="s">
        <v>17</v>
      </c>
      <c r="K854" t="s">
        <v>485</v>
      </c>
      <c r="L854" t="s">
        <v>49</v>
      </c>
    </row>
    <row r="855" spans="1:12" x14ac:dyDescent="0.3">
      <c r="A855" t="s">
        <v>2078</v>
      </c>
      <c r="B855" t="s">
        <v>665</v>
      </c>
      <c r="C855" t="s">
        <v>40</v>
      </c>
      <c r="D855" t="s">
        <v>23</v>
      </c>
      <c r="E855">
        <v>46</v>
      </c>
      <c r="F855">
        <v>47.95</v>
      </c>
      <c r="G855">
        <v>2205.6999999999998</v>
      </c>
      <c r="H855">
        <v>0</v>
      </c>
      <c r="I855" t="s">
        <v>53</v>
      </c>
      <c r="J855" t="s">
        <v>54</v>
      </c>
      <c r="K855" t="s">
        <v>1331</v>
      </c>
      <c r="L855" t="s">
        <v>49</v>
      </c>
    </row>
    <row r="856" spans="1:12" x14ac:dyDescent="0.3">
      <c r="A856" t="s">
        <v>2079</v>
      </c>
      <c r="B856" t="s">
        <v>1457</v>
      </c>
      <c r="C856" t="s">
        <v>34</v>
      </c>
      <c r="D856" t="s">
        <v>35</v>
      </c>
      <c r="E856">
        <v>28</v>
      </c>
      <c r="F856">
        <v>866.08</v>
      </c>
      <c r="G856">
        <v>23037.73</v>
      </c>
      <c r="H856">
        <v>5</v>
      </c>
      <c r="I856" t="s">
        <v>46</v>
      </c>
      <c r="J856" t="s">
        <v>83</v>
      </c>
      <c r="K856" t="s">
        <v>2080</v>
      </c>
      <c r="L856" t="s">
        <v>31</v>
      </c>
    </row>
    <row r="857" spans="1:12" x14ac:dyDescent="0.3">
      <c r="A857" t="s">
        <v>2081</v>
      </c>
      <c r="B857" t="s">
        <v>1051</v>
      </c>
      <c r="C857" t="s">
        <v>82</v>
      </c>
      <c r="D857" t="s">
        <v>73</v>
      </c>
      <c r="E857">
        <v>11</v>
      </c>
      <c r="F857">
        <v>379.66</v>
      </c>
      <c r="G857">
        <v>3341.01</v>
      </c>
      <c r="H857">
        <v>20</v>
      </c>
      <c r="I857" t="s">
        <v>53</v>
      </c>
      <c r="J857" t="s">
        <v>67</v>
      </c>
      <c r="K857" t="s">
        <v>189</v>
      </c>
      <c r="L857" t="s">
        <v>31</v>
      </c>
    </row>
    <row r="858" spans="1:12" x14ac:dyDescent="0.3">
      <c r="A858" t="s">
        <v>2082</v>
      </c>
      <c r="B858" t="s">
        <v>1051</v>
      </c>
      <c r="C858" t="s">
        <v>90</v>
      </c>
      <c r="D858" t="s">
        <v>23</v>
      </c>
      <c r="E858">
        <v>21</v>
      </c>
      <c r="F858">
        <v>43.86</v>
      </c>
      <c r="G858">
        <v>921.06</v>
      </c>
      <c r="H858">
        <v>0</v>
      </c>
      <c r="I858" t="s">
        <v>24</v>
      </c>
      <c r="J858" t="s">
        <v>25</v>
      </c>
      <c r="K858" t="s">
        <v>1494</v>
      </c>
      <c r="L858" t="s">
        <v>31</v>
      </c>
    </row>
    <row r="859" spans="1:12" x14ac:dyDescent="0.3">
      <c r="A859" t="s">
        <v>2083</v>
      </c>
      <c r="B859" t="s">
        <v>2084</v>
      </c>
      <c r="C859" t="s">
        <v>58</v>
      </c>
      <c r="D859" t="s">
        <v>35</v>
      </c>
      <c r="E859">
        <v>29</v>
      </c>
      <c r="F859">
        <v>212.47</v>
      </c>
      <c r="G859">
        <v>5853.55</v>
      </c>
      <c r="H859">
        <v>5</v>
      </c>
      <c r="I859" t="s">
        <v>53</v>
      </c>
      <c r="J859" t="s">
        <v>67</v>
      </c>
      <c r="K859" t="s">
        <v>2085</v>
      </c>
      <c r="L859" t="s">
        <v>19</v>
      </c>
    </row>
    <row r="860" spans="1:12" x14ac:dyDescent="0.3">
      <c r="A860" t="s">
        <v>2086</v>
      </c>
      <c r="B860" t="s">
        <v>2087</v>
      </c>
      <c r="C860" t="s">
        <v>52</v>
      </c>
      <c r="D860" t="s">
        <v>35</v>
      </c>
      <c r="E860">
        <v>18</v>
      </c>
      <c r="F860">
        <v>313.83999999999997</v>
      </c>
      <c r="G860">
        <v>5366.66</v>
      </c>
      <c r="H860">
        <v>5</v>
      </c>
      <c r="I860" t="s">
        <v>46</v>
      </c>
      <c r="J860" t="s">
        <v>244</v>
      </c>
      <c r="K860" t="s">
        <v>821</v>
      </c>
      <c r="L860" t="s">
        <v>69</v>
      </c>
    </row>
    <row r="861" spans="1:12" x14ac:dyDescent="0.3">
      <c r="A861" t="s">
        <v>2088</v>
      </c>
      <c r="B861" t="s">
        <v>2089</v>
      </c>
      <c r="C861" t="s">
        <v>52</v>
      </c>
      <c r="D861" t="s">
        <v>35</v>
      </c>
      <c r="E861">
        <v>45</v>
      </c>
      <c r="F861">
        <v>115.06</v>
      </c>
      <c r="G861">
        <v>5177.7</v>
      </c>
      <c r="H861">
        <v>0</v>
      </c>
      <c r="I861" t="s">
        <v>16</v>
      </c>
      <c r="J861" t="s">
        <v>160</v>
      </c>
      <c r="K861" t="s">
        <v>2090</v>
      </c>
      <c r="L861" t="s">
        <v>69</v>
      </c>
    </row>
    <row r="862" spans="1:12" x14ac:dyDescent="0.3">
      <c r="A862" t="s">
        <v>2091</v>
      </c>
      <c r="B862" t="s">
        <v>2092</v>
      </c>
      <c r="C862" t="s">
        <v>14</v>
      </c>
      <c r="D862" t="s">
        <v>15</v>
      </c>
      <c r="E862">
        <v>25</v>
      </c>
      <c r="F862">
        <v>61.35</v>
      </c>
      <c r="G862">
        <v>1533.75</v>
      </c>
      <c r="H862">
        <v>0</v>
      </c>
      <c r="I862" t="s">
        <v>16</v>
      </c>
      <c r="J862" t="s">
        <v>160</v>
      </c>
      <c r="K862" t="s">
        <v>2093</v>
      </c>
      <c r="L862" t="s">
        <v>69</v>
      </c>
    </row>
    <row r="863" spans="1:12" x14ac:dyDescent="0.3">
      <c r="A863" t="s">
        <v>2094</v>
      </c>
      <c r="B863" t="s">
        <v>797</v>
      </c>
      <c r="C863" t="s">
        <v>22</v>
      </c>
      <c r="D863" t="s">
        <v>23</v>
      </c>
      <c r="E863">
        <v>10</v>
      </c>
      <c r="F863">
        <v>31.52</v>
      </c>
      <c r="G863">
        <v>283.68</v>
      </c>
      <c r="H863">
        <v>10</v>
      </c>
      <c r="I863" t="s">
        <v>24</v>
      </c>
      <c r="J863" t="s">
        <v>104</v>
      </c>
      <c r="K863" t="s">
        <v>937</v>
      </c>
      <c r="L863" t="s">
        <v>19</v>
      </c>
    </row>
    <row r="864" spans="1:12" x14ac:dyDescent="0.3">
      <c r="A864" t="s">
        <v>2095</v>
      </c>
      <c r="B864" t="s">
        <v>659</v>
      </c>
      <c r="C864" t="s">
        <v>95</v>
      </c>
      <c r="D864" t="s">
        <v>35</v>
      </c>
      <c r="E864">
        <v>32</v>
      </c>
      <c r="F864">
        <v>1071.22</v>
      </c>
      <c r="G864">
        <v>27423.23</v>
      </c>
      <c r="H864">
        <v>20</v>
      </c>
      <c r="I864" t="s">
        <v>46</v>
      </c>
      <c r="J864" t="s">
        <v>47</v>
      </c>
      <c r="K864" t="s">
        <v>805</v>
      </c>
      <c r="L864" t="s">
        <v>49</v>
      </c>
    </row>
    <row r="865" spans="1:12" x14ac:dyDescent="0.3">
      <c r="A865" t="s">
        <v>2096</v>
      </c>
      <c r="B865" t="s">
        <v>885</v>
      </c>
      <c r="C865" t="s">
        <v>63</v>
      </c>
      <c r="D865" t="s">
        <v>15</v>
      </c>
      <c r="E865">
        <v>24</v>
      </c>
      <c r="F865">
        <v>79.900000000000006</v>
      </c>
      <c r="G865">
        <v>1725.84</v>
      </c>
      <c r="H865">
        <v>10</v>
      </c>
      <c r="I865" t="s">
        <v>46</v>
      </c>
      <c r="J865" t="s">
        <v>47</v>
      </c>
      <c r="K865" t="s">
        <v>2097</v>
      </c>
      <c r="L865" t="s">
        <v>31</v>
      </c>
    </row>
    <row r="866" spans="1:12" x14ac:dyDescent="0.3">
      <c r="A866" t="s">
        <v>2098</v>
      </c>
      <c r="B866" t="s">
        <v>2099</v>
      </c>
      <c r="C866" t="s">
        <v>123</v>
      </c>
      <c r="D866" t="s">
        <v>15</v>
      </c>
      <c r="E866">
        <v>17</v>
      </c>
      <c r="F866">
        <v>37.71</v>
      </c>
      <c r="G866">
        <v>512.86</v>
      </c>
      <c r="H866">
        <v>20</v>
      </c>
      <c r="I866" t="s">
        <v>24</v>
      </c>
      <c r="J866" t="s">
        <v>104</v>
      </c>
      <c r="K866" t="s">
        <v>186</v>
      </c>
      <c r="L866" t="s">
        <v>31</v>
      </c>
    </row>
    <row r="867" spans="1:12" x14ac:dyDescent="0.3">
      <c r="A867" t="s">
        <v>2100</v>
      </c>
      <c r="B867" t="s">
        <v>2009</v>
      </c>
      <c r="C867" t="s">
        <v>58</v>
      </c>
      <c r="D867" t="s">
        <v>35</v>
      </c>
      <c r="E867">
        <v>39</v>
      </c>
      <c r="F867">
        <v>368.17</v>
      </c>
      <c r="G867">
        <v>14358.63</v>
      </c>
      <c r="H867">
        <v>0</v>
      </c>
      <c r="I867" t="s">
        <v>16</v>
      </c>
      <c r="J867" t="s">
        <v>91</v>
      </c>
      <c r="K867" t="s">
        <v>2101</v>
      </c>
      <c r="L867" t="s">
        <v>31</v>
      </c>
    </row>
    <row r="868" spans="1:12" x14ac:dyDescent="0.3">
      <c r="A868" t="s">
        <v>2102</v>
      </c>
      <c r="B868" t="s">
        <v>2103</v>
      </c>
      <c r="C868" t="s">
        <v>90</v>
      </c>
      <c r="D868" t="s">
        <v>23</v>
      </c>
      <c r="E868">
        <v>27</v>
      </c>
      <c r="F868">
        <v>17.010000000000002</v>
      </c>
      <c r="G868">
        <v>367.42</v>
      </c>
      <c r="H868">
        <v>20</v>
      </c>
      <c r="I868" t="s">
        <v>16</v>
      </c>
      <c r="J868" t="s">
        <v>74</v>
      </c>
      <c r="K868" t="s">
        <v>2104</v>
      </c>
      <c r="L868" t="s">
        <v>27</v>
      </c>
    </row>
    <row r="869" spans="1:12" x14ac:dyDescent="0.3">
      <c r="A869" t="s">
        <v>2105</v>
      </c>
      <c r="B869" t="s">
        <v>2106</v>
      </c>
      <c r="C869" t="s">
        <v>14</v>
      </c>
      <c r="D869" t="s">
        <v>15</v>
      </c>
      <c r="E869">
        <v>30</v>
      </c>
      <c r="F869">
        <v>66.64</v>
      </c>
      <c r="G869">
        <v>1999.2</v>
      </c>
      <c r="H869">
        <v>0</v>
      </c>
      <c r="I869" t="s">
        <v>16</v>
      </c>
      <c r="J869" t="s">
        <v>74</v>
      </c>
      <c r="K869" t="s">
        <v>2107</v>
      </c>
      <c r="L869" t="s">
        <v>69</v>
      </c>
    </row>
    <row r="870" spans="1:12" x14ac:dyDescent="0.3">
      <c r="A870" t="s">
        <v>2108</v>
      </c>
      <c r="B870" t="s">
        <v>2109</v>
      </c>
      <c r="C870" t="s">
        <v>123</v>
      </c>
      <c r="D870" t="s">
        <v>15</v>
      </c>
      <c r="E870">
        <v>23</v>
      </c>
      <c r="F870">
        <v>18.940000000000001</v>
      </c>
      <c r="G870">
        <v>413.84</v>
      </c>
      <c r="H870">
        <v>5</v>
      </c>
      <c r="I870" t="s">
        <v>16</v>
      </c>
      <c r="J870" t="s">
        <v>111</v>
      </c>
      <c r="K870" t="s">
        <v>2085</v>
      </c>
      <c r="L870" t="s">
        <v>49</v>
      </c>
    </row>
    <row r="871" spans="1:12" x14ac:dyDescent="0.3">
      <c r="A871" t="s">
        <v>2110</v>
      </c>
      <c r="B871" t="s">
        <v>2111</v>
      </c>
      <c r="C871" t="s">
        <v>123</v>
      </c>
      <c r="D871" t="s">
        <v>15</v>
      </c>
      <c r="E871">
        <v>34</v>
      </c>
      <c r="F871">
        <v>48.24</v>
      </c>
      <c r="G871">
        <v>1640.16</v>
      </c>
      <c r="H871">
        <v>0</v>
      </c>
      <c r="I871" t="s">
        <v>53</v>
      </c>
      <c r="J871" t="s">
        <v>141</v>
      </c>
      <c r="K871" t="s">
        <v>2112</v>
      </c>
      <c r="L871" t="s">
        <v>31</v>
      </c>
    </row>
    <row r="872" spans="1:12" x14ac:dyDescent="0.3">
      <c r="A872" t="s">
        <v>2113</v>
      </c>
      <c r="B872" t="s">
        <v>2114</v>
      </c>
      <c r="C872" t="s">
        <v>95</v>
      </c>
      <c r="D872" t="s">
        <v>35</v>
      </c>
      <c r="E872">
        <v>37</v>
      </c>
      <c r="F872">
        <v>946.14</v>
      </c>
      <c r="G872">
        <v>28005.74</v>
      </c>
      <c r="H872">
        <v>20</v>
      </c>
      <c r="I872" t="s">
        <v>46</v>
      </c>
      <c r="J872" t="s">
        <v>124</v>
      </c>
      <c r="K872" t="s">
        <v>75</v>
      </c>
      <c r="L872" t="s">
        <v>69</v>
      </c>
    </row>
    <row r="873" spans="1:12" x14ac:dyDescent="0.3">
      <c r="A873" t="s">
        <v>2115</v>
      </c>
      <c r="B873" t="s">
        <v>2116</v>
      </c>
      <c r="C873" t="s">
        <v>14</v>
      </c>
      <c r="D873" t="s">
        <v>15</v>
      </c>
      <c r="E873">
        <v>5</v>
      </c>
      <c r="F873">
        <v>50.89</v>
      </c>
      <c r="G873">
        <v>241.73</v>
      </c>
      <c r="H873">
        <v>5</v>
      </c>
      <c r="I873" t="s">
        <v>24</v>
      </c>
      <c r="J873" t="s">
        <v>25</v>
      </c>
      <c r="K873" t="s">
        <v>2117</v>
      </c>
      <c r="L873" t="s">
        <v>69</v>
      </c>
    </row>
    <row r="874" spans="1:12" x14ac:dyDescent="0.3">
      <c r="A874" t="s">
        <v>2118</v>
      </c>
      <c r="B874" t="s">
        <v>1790</v>
      </c>
      <c r="C874" t="s">
        <v>90</v>
      </c>
      <c r="D874" t="s">
        <v>23</v>
      </c>
      <c r="E874">
        <v>32</v>
      </c>
      <c r="F874">
        <v>31.82</v>
      </c>
      <c r="G874">
        <v>1018.24</v>
      </c>
      <c r="H874">
        <v>0</v>
      </c>
      <c r="I874" t="s">
        <v>16</v>
      </c>
      <c r="J874" t="s">
        <v>91</v>
      </c>
      <c r="K874" t="s">
        <v>2119</v>
      </c>
      <c r="L874" t="s">
        <v>27</v>
      </c>
    </row>
    <row r="875" spans="1:12" x14ac:dyDescent="0.3">
      <c r="A875" t="s">
        <v>2120</v>
      </c>
      <c r="B875" t="s">
        <v>1070</v>
      </c>
      <c r="C875" t="s">
        <v>52</v>
      </c>
      <c r="D875" t="s">
        <v>35</v>
      </c>
      <c r="E875">
        <v>16</v>
      </c>
      <c r="F875">
        <v>318.41000000000003</v>
      </c>
      <c r="G875">
        <v>4330.38</v>
      </c>
      <c r="H875">
        <v>15</v>
      </c>
      <c r="I875" t="s">
        <v>16</v>
      </c>
      <c r="J875" t="s">
        <v>74</v>
      </c>
      <c r="K875" t="s">
        <v>48</v>
      </c>
      <c r="L875" t="s">
        <v>31</v>
      </c>
    </row>
    <row r="876" spans="1:12" x14ac:dyDescent="0.3">
      <c r="A876" t="s">
        <v>2121</v>
      </c>
      <c r="B876" t="s">
        <v>1410</v>
      </c>
      <c r="C876" t="s">
        <v>90</v>
      </c>
      <c r="D876" t="s">
        <v>23</v>
      </c>
      <c r="E876">
        <v>41</v>
      </c>
      <c r="F876">
        <v>44.98</v>
      </c>
      <c r="G876">
        <v>1844.18</v>
      </c>
      <c r="H876">
        <v>0</v>
      </c>
      <c r="I876" t="s">
        <v>53</v>
      </c>
      <c r="J876" t="s">
        <v>134</v>
      </c>
      <c r="K876" t="s">
        <v>1253</v>
      </c>
      <c r="L876" t="s">
        <v>19</v>
      </c>
    </row>
    <row r="877" spans="1:12" x14ac:dyDescent="0.3">
      <c r="A877" t="s">
        <v>2122</v>
      </c>
      <c r="B877" t="s">
        <v>475</v>
      </c>
      <c r="C877" t="s">
        <v>82</v>
      </c>
      <c r="D877" t="s">
        <v>73</v>
      </c>
      <c r="E877">
        <v>33</v>
      </c>
      <c r="F877">
        <v>357.83</v>
      </c>
      <c r="G877">
        <v>10627.55</v>
      </c>
      <c r="H877">
        <v>10</v>
      </c>
      <c r="I877" t="s">
        <v>46</v>
      </c>
      <c r="J877" t="s">
        <v>124</v>
      </c>
      <c r="K877" t="s">
        <v>750</v>
      </c>
      <c r="L877" t="s">
        <v>31</v>
      </c>
    </row>
    <row r="878" spans="1:12" x14ac:dyDescent="0.3">
      <c r="A878" t="s">
        <v>2123</v>
      </c>
      <c r="B878" t="s">
        <v>1058</v>
      </c>
      <c r="C878" t="s">
        <v>99</v>
      </c>
      <c r="D878" t="s">
        <v>23</v>
      </c>
      <c r="E878">
        <v>19</v>
      </c>
      <c r="F878">
        <v>25.74</v>
      </c>
      <c r="G878">
        <v>440.15</v>
      </c>
      <c r="H878">
        <v>10</v>
      </c>
      <c r="I878" t="s">
        <v>53</v>
      </c>
      <c r="J878" t="s">
        <v>54</v>
      </c>
      <c r="K878" t="s">
        <v>2124</v>
      </c>
      <c r="L878" t="s">
        <v>31</v>
      </c>
    </row>
    <row r="879" spans="1:12" x14ac:dyDescent="0.3">
      <c r="A879" t="s">
        <v>2125</v>
      </c>
      <c r="B879" t="s">
        <v>499</v>
      </c>
      <c r="C879" t="s">
        <v>45</v>
      </c>
      <c r="D879" t="s">
        <v>23</v>
      </c>
      <c r="E879">
        <v>1</v>
      </c>
      <c r="F879">
        <v>104.55</v>
      </c>
      <c r="G879">
        <v>88.87</v>
      </c>
      <c r="H879">
        <v>15</v>
      </c>
      <c r="I879" t="s">
        <v>46</v>
      </c>
      <c r="J879" t="s">
        <v>124</v>
      </c>
      <c r="K879" t="s">
        <v>602</v>
      </c>
      <c r="L879" t="s">
        <v>31</v>
      </c>
    </row>
    <row r="880" spans="1:12" x14ac:dyDescent="0.3">
      <c r="A880" t="s">
        <v>2126</v>
      </c>
      <c r="B880" t="s">
        <v>2127</v>
      </c>
      <c r="C880" t="s">
        <v>90</v>
      </c>
      <c r="D880" t="s">
        <v>23</v>
      </c>
      <c r="E880">
        <v>30</v>
      </c>
      <c r="F880">
        <v>42.09</v>
      </c>
      <c r="G880">
        <v>1262.7</v>
      </c>
      <c r="H880">
        <v>0</v>
      </c>
      <c r="I880" t="s">
        <v>46</v>
      </c>
      <c r="J880" t="s">
        <v>244</v>
      </c>
      <c r="K880" t="s">
        <v>2128</v>
      </c>
      <c r="L880" t="s">
        <v>49</v>
      </c>
    </row>
    <row r="881" spans="1:12" x14ac:dyDescent="0.3">
      <c r="A881" t="s">
        <v>2129</v>
      </c>
      <c r="B881" t="s">
        <v>2130</v>
      </c>
      <c r="C881" t="s">
        <v>40</v>
      </c>
      <c r="D881" t="s">
        <v>23</v>
      </c>
      <c r="E881">
        <v>44</v>
      </c>
      <c r="F881">
        <v>78.42</v>
      </c>
      <c r="G881">
        <v>3277.96</v>
      </c>
      <c r="H881">
        <v>5</v>
      </c>
      <c r="I881" t="s">
        <v>24</v>
      </c>
      <c r="J881" t="s">
        <v>104</v>
      </c>
      <c r="K881" t="s">
        <v>1112</v>
      </c>
      <c r="L881" t="s">
        <v>49</v>
      </c>
    </row>
    <row r="882" spans="1:12" x14ac:dyDescent="0.3">
      <c r="A882" t="s">
        <v>2131</v>
      </c>
      <c r="B882" t="s">
        <v>2132</v>
      </c>
      <c r="C882" t="s">
        <v>103</v>
      </c>
      <c r="D882" t="s">
        <v>35</v>
      </c>
      <c r="E882">
        <v>25</v>
      </c>
      <c r="F882">
        <v>300.70999999999998</v>
      </c>
      <c r="G882">
        <v>6765.98</v>
      </c>
      <c r="H882">
        <v>10</v>
      </c>
      <c r="I882" t="s">
        <v>16</v>
      </c>
      <c r="J882" t="s">
        <v>91</v>
      </c>
      <c r="K882" t="s">
        <v>2133</v>
      </c>
      <c r="L882" t="s">
        <v>69</v>
      </c>
    </row>
    <row r="883" spans="1:12" x14ac:dyDescent="0.3">
      <c r="A883" t="s">
        <v>2134</v>
      </c>
      <c r="B883" t="s">
        <v>339</v>
      </c>
      <c r="C883" t="s">
        <v>95</v>
      </c>
      <c r="D883" t="s">
        <v>35</v>
      </c>
      <c r="E883">
        <v>6</v>
      </c>
      <c r="F883">
        <v>1186.19</v>
      </c>
      <c r="G883">
        <v>5693.71</v>
      </c>
      <c r="H883">
        <v>20</v>
      </c>
      <c r="I883" t="s">
        <v>53</v>
      </c>
      <c r="J883" t="s">
        <v>54</v>
      </c>
      <c r="K883" t="s">
        <v>1174</v>
      </c>
      <c r="L883" t="s">
        <v>49</v>
      </c>
    </row>
    <row r="884" spans="1:12" x14ac:dyDescent="0.3">
      <c r="A884" t="s">
        <v>2135</v>
      </c>
      <c r="B884" t="s">
        <v>2022</v>
      </c>
      <c r="C884" t="s">
        <v>45</v>
      </c>
      <c r="D884" t="s">
        <v>23</v>
      </c>
      <c r="E884">
        <v>5</v>
      </c>
      <c r="F884">
        <v>48.8</v>
      </c>
      <c r="G884">
        <v>195.2</v>
      </c>
      <c r="H884">
        <v>20</v>
      </c>
      <c r="I884" t="s">
        <v>46</v>
      </c>
      <c r="J884" t="s">
        <v>124</v>
      </c>
      <c r="K884" t="s">
        <v>2136</v>
      </c>
      <c r="L884" t="s">
        <v>19</v>
      </c>
    </row>
    <row r="885" spans="1:12" x14ac:dyDescent="0.3">
      <c r="A885" t="s">
        <v>2137</v>
      </c>
      <c r="B885" t="s">
        <v>2138</v>
      </c>
      <c r="C885" t="s">
        <v>22</v>
      </c>
      <c r="D885" t="s">
        <v>23</v>
      </c>
      <c r="E885">
        <v>14</v>
      </c>
      <c r="F885">
        <v>37.65</v>
      </c>
      <c r="G885">
        <v>474.39</v>
      </c>
      <c r="H885">
        <v>10</v>
      </c>
      <c r="I885" t="s">
        <v>53</v>
      </c>
      <c r="J885" t="s">
        <v>141</v>
      </c>
      <c r="K885" t="s">
        <v>1413</v>
      </c>
      <c r="L885" t="s">
        <v>49</v>
      </c>
    </row>
    <row r="886" spans="1:12" x14ac:dyDescent="0.3">
      <c r="A886" t="s">
        <v>2139</v>
      </c>
      <c r="B886" t="s">
        <v>2140</v>
      </c>
      <c r="C886" t="s">
        <v>72</v>
      </c>
      <c r="D886" t="s">
        <v>73</v>
      </c>
      <c r="E886">
        <v>2</v>
      </c>
      <c r="F886">
        <v>171.06</v>
      </c>
      <c r="G886">
        <v>307.91000000000003</v>
      </c>
      <c r="H886">
        <v>10</v>
      </c>
      <c r="I886" t="s">
        <v>16</v>
      </c>
      <c r="J886" t="s">
        <v>111</v>
      </c>
      <c r="K886" t="s">
        <v>2141</v>
      </c>
      <c r="L886" t="s">
        <v>49</v>
      </c>
    </row>
    <row r="887" spans="1:12" x14ac:dyDescent="0.3">
      <c r="A887" t="s">
        <v>2142</v>
      </c>
      <c r="B887" t="s">
        <v>2143</v>
      </c>
      <c r="C887" t="s">
        <v>90</v>
      </c>
      <c r="D887" t="s">
        <v>23</v>
      </c>
      <c r="E887">
        <v>2</v>
      </c>
      <c r="F887">
        <v>24.7</v>
      </c>
      <c r="G887">
        <v>39.520000000000003</v>
      </c>
      <c r="H887">
        <v>20</v>
      </c>
      <c r="I887" t="s">
        <v>53</v>
      </c>
      <c r="J887" t="s">
        <v>141</v>
      </c>
      <c r="K887" t="s">
        <v>815</v>
      </c>
      <c r="L887" t="s">
        <v>27</v>
      </c>
    </row>
    <row r="888" spans="1:12" x14ac:dyDescent="0.3">
      <c r="A888" t="s">
        <v>2144</v>
      </c>
      <c r="B888" t="s">
        <v>2130</v>
      </c>
      <c r="C888" t="s">
        <v>34</v>
      </c>
      <c r="D888" t="s">
        <v>35</v>
      </c>
      <c r="E888">
        <v>24</v>
      </c>
      <c r="F888">
        <v>615.19000000000005</v>
      </c>
      <c r="G888">
        <v>14764.56</v>
      </c>
      <c r="H888">
        <v>0</v>
      </c>
      <c r="I888" t="s">
        <v>16</v>
      </c>
      <c r="J888" t="s">
        <v>111</v>
      </c>
      <c r="K888" t="s">
        <v>1323</v>
      </c>
      <c r="L888" t="s">
        <v>69</v>
      </c>
    </row>
    <row r="889" spans="1:12" x14ac:dyDescent="0.3">
      <c r="A889" t="s">
        <v>2145</v>
      </c>
      <c r="B889" t="s">
        <v>2146</v>
      </c>
      <c r="C889" t="s">
        <v>103</v>
      </c>
      <c r="D889" t="s">
        <v>35</v>
      </c>
      <c r="E889">
        <v>35</v>
      </c>
      <c r="F889">
        <v>471.67</v>
      </c>
      <c r="G889">
        <v>16508.45</v>
      </c>
      <c r="H889">
        <v>0</v>
      </c>
      <c r="I889" t="s">
        <v>24</v>
      </c>
      <c r="J889" t="s">
        <v>25</v>
      </c>
      <c r="K889" t="s">
        <v>593</v>
      </c>
      <c r="L889" t="s">
        <v>49</v>
      </c>
    </row>
    <row r="890" spans="1:12" x14ac:dyDescent="0.3">
      <c r="A890" t="s">
        <v>2147</v>
      </c>
      <c r="B890" t="s">
        <v>2148</v>
      </c>
      <c r="C890" t="s">
        <v>95</v>
      </c>
      <c r="D890" t="s">
        <v>35</v>
      </c>
      <c r="E890">
        <v>19</v>
      </c>
      <c r="F890">
        <v>917.25</v>
      </c>
      <c r="G890">
        <v>17427.75</v>
      </c>
      <c r="H890">
        <v>0</v>
      </c>
      <c r="I890" t="s">
        <v>16</v>
      </c>
      <c r="J890" t="s">
        <v>17</v>
      </c>
      <c r="K890" t="s">
        <v>1384</v>
      </c>
      <c r="L890" t="s">
        <v>19</v>
      </c>
    </row>
    <row r="891" spans="1:12" x14ac:dyDescent="0.3">
      <c r="A891" t="s">
        <v>2149</v>
      </c>
      <c r="B891" t="s">
        <v>2150</v>
      </c>
      <c r="C891" t="s">
        <v>22</v>
      </c>
      <c r="D891" t="s">
        <v>23</v>
      </c>
      <c r="E891">
        <v>43</v>
      </c>
      <c r="F891">
        <v>32.75</v>
      </c>
      <c r="G891">
        <v>1267.43</v>
      </c>
      <c r="H891">
        <v>10</v>
      </c>
      <c r="I891" t="s">
        <v>24</v>
      </c>
      <c r="J891" t="s">
        <v>59</v>
      </c>
      <c r="K891" t="s">
        <v>2151</v>
      </c>
      <c r="L891" t="s">
        <v>69</v>
      </c>
    </row>
    <row r="892" spans="1:12" x14ac:dyDescent="0.3">
      <c r="A892" t="s">
        <v>2152</v>
      </c>
      <c r="B892" t="s">
        <v>2153</v>
      </c>
      <c r="C892" t="s">
        <v>45</v>
      </c>
      <c r="D892" t="s">
        <v>23</v>
      </c>
      <c r="E892">
        <v>39</v>
      </c>
      <c r="F892">
        <v>107.46</v>
      </c>
      <c r="G892">
        <v>4190.9399999999996</v>
      </c>
      <c r="H892">
        <v>0</v>
      </c>
      <c r="I892" t="s">
        <v>53</v>
      </c>
      <c r="J892" t="s">
        <v>141</v>
      </c>
      <c r="K892" t="s">
        <v>2154</v>
      </c>
      <c r="L892" t="s">
        <v>27</v>
      </c>
    </row>
    <row r="893" spans="1:12" x14ac:dyDescent="0.3">
      <c r="A893" t="s">
        <v>2155</v>
      </c>
      <c r="B893" t="s">
        <v>705</v>
      </c>
      <c r="C893" t="s">
        <v>58</v>
      </c>
      <c r="D893" t="s">
        <v>35</v>
      </c>
      <c r="E893">
        <v>22</v>
      </c>
      <c r="F893">
        <v>210.7</v>
      </c>
      <c r="G893">
        <v>4635.3999999999996</v>
      </c>
      <c r="H893">
        <v>0</v>
      </c>
      <c r="I893" t="s">
        <v>16</v>
      </c>
      <c r="J893" t="s">
        <v>74</v>
      </c>
      <c r="K893" t="s">
        <v>300</v>
      </c>
      <c r="L893" t="s">
        <v>27</v>
      </c>
    </row>
    <row r="894" spans="1:12" x14ac:dyDescent="0.3">
      <c r="A894" t="s">
        <v>2156</v>
      </c>
      <c r="B894" t="s">
        <v>1091</v>
      </c>
      <c r="C894" t="s">
        <v>14</v>
      </c>
      <c r="D894" t="s">
        <v>15</v>
      </c>
      <c r="E894">
        <v>47</v>
      </c>
      <c r="F894">
        <v>79.760000000000005</v>
      </c>
      <c r="G894">
        <v>3748.72</v>
      </c>
      <c r="H894">
        <v>0</v>
      </c>
      <c r="I894" t="s">
        <v>16</v>
      </c>
      <c r="J894" t="s">
        <v>111</v>
      </c>
      <c r="K894" t="s">
        <v>1443</v>
      </c>
      <c r="L894" t="s">
        <v>69</v>
      </c>
    </row>
    <row r="895" spans="1:12" x14ac:dyDescent="0.3">
      <c r="A895" t="s">
        <v>2157</v>
      </c>
      <c r="B895" t="s">
        <v>2158</v>
      </c>
      <c r="C895" t="s">
        <v>99</v>
      </c>
      <c r="D895" t="s">
        <v>23</v>
      </c>
      <c r="E895">
        <v>48</v>
      </c>
      <c r="F895">
        <v>20.63</v>
      </c>
      <c r="G895">
        <v>990.24</v>
      </c>
      <c r="H895">
        <v>0</v>
      </c>
      <c r="I895" t="s">
        <v>53</v>
      </c>
      <c r="J895" t="s">
        <v>141</v>
      </c>
      <c r="K895" t="s">
        <v>2159</v>
      </c>
      <c r="L895" t="s">
        <v>19</v>
      </c>
    </row>
    <row r="896" spans="1:12" x14ac:dyDescent="0.3">
      <c r="A896" t="s">
        <v>2160</v>
      </c>
      <c r="B896" t="s">
        <v>2161</v>
      </c>
      <c r="C896" t="s">
        <v>14</v>
      </c>
      <c r="D896" t="s">
        <v>15</v>
      </c>
      <c r="E896">
        <v>47</v>
      </c>
      <c r="F896">
        <v>95.56</v>
      </c>
      <c r="G896">
        <v>4491.32</v>
      </c>
      <c r="H896">
        <v>0</v>
      </c>
      <c r="I896" t="s">
        <v>24</v>
      </c>
      <c r="J896" t="s">
        <v>41</v>
      </c>
      <c r="K896" t="s">
        <v>2162</v>
      </c>
      <c r="L896" t="s">
        <v>49</v>
      </c>
    </row>
    <row r="897" spans="1:12" x14ac:dyDescent="0.3">
      <c r="A897" t="s">
        <v>2163</v>
      </c>
      <c r="B897" t="s">
        <v>1208</v>
      </c>
      <c r="C897" t="s">
        <v>14</v>
      </c>
      <c r="D897" t="s">
        <v>15</v>
      </c>
      <c r="E897">
        <v>16</v>
      </c>
      <c r="F897">
        <v>44.92</v>
      </c>
      <c r="G897">
        <v>574.98</v>
      </c>
      <c r="H897">
        <v>20</v>
      </c>
      <c r="I897" t="s">
        <v>24</v>
      </c>
      <c r="J897" t="s">
        <v>36</v>
      </c>
      <c r="K897" t="s">
        <v>1296</v>
      </c>
      <c r="L897" t="s">
        <v>31</v>
      </c>
    </row>
    <row r="898" spans="1:12" x14ac:dyDescent="0.3">
      <c r="A898" t="s">
        <v>2164</v>
      </c>
      <c r="B898" t="s">
        <v>2165</v>
      </c>
      <c r="C898" t="s">
        <v>52</v>
      </c>
      <c r="D898" t="s">
        <v>35</v>
      </c>
      <c r="E898">
        <v>47</v>
      </c>
      <c r="F898">
        <v>123.31</v>
      </c>
      <c r="G898">
        <v>5216.01</v>
      </c>
      <c r="H898">
        <v>10</v>
      </c>
      <c r="I898" t="s">
        <v>53</v>
      </c>
      <c r="J898" t="s">
        <v>170</v>
      </c>
      <c r="K898" t="s">
        <v>926</v>
      </c>
      <c r="L898" t="s">
        <v>31</v>
      </c>
    </row>
    <row r="899" spans="1:12" x14ac:dyDescent="0.3">
      <c r="A899" t="s">
        <v>2166</v>
      </c>
      <c r="B899" t="s">
        <v>256</v>
      </c>
      <c r="C899" t="s">
        <v>14</v>
      </c>
      <c r="D899" t="s">
        <v>15</v>
      </c>
      <c r="E899">
        <v>23</v>
      </c>
      <c r="F899">
        <v>78.56</v>
      </c>
      <c r="G899">
        <v>1806.88</v>
      </c>
      <c r="H899">
        <v>0</v>
      </c>
      <c r="I899" t="s">
        <v>16</v>
      </c>
      <c r="J899" t="s">
        <v>74</v>
      </c>
      <c r="K899" t="s">
        <v>186</v>
      </c>
      <c r="L899" t="s">
        <v>31</v>
      </c>
    </row>
    <row r="900" spans="1:12" x14ac:dyDescent="0.3">
      <c r="A900" t="s">
        <v>2167</v>
      </c>
      <c r="B900" t="s">
        <v>1114</v>
      </c>
      <c r="C900" t="s">
        <v>34</v>
      </c>
      <c r="D900" t="s">
        <v>35</v>
      </c>
      <c r="E900">
        <v>45</v>
      </c>
      <c r="F900">
        <v>491.49</v>
      </c>
      <c r="G900">
        <v>21011.200000000001</v>
      </c>
      <c r="H900">
        <v>5</v>
      </c>
      <c r="I900" t="s">
        <v>16</v>
      </c>
      <c r="J900" t="s">
        <v>91</v>
      </c>
      <c r="K900" t="s">
        <v>714</v>
      </c>
      <c r="L900" t="s">
        <v>31</v>
      </c>
    </row>
    <row r="901" spans="1:12" x14ac:dyDescent="0.3">
      <c r="A901" t="s">
        <v>2168</v>
      </c>
      <c r="B901" t="s">
        <v>1498</v>
      </c>
      <c r="C901" t="s">
        <v>63</v>
      </c>
      <c r="D901" t="s">
        <v>15</v>
      </c>
      <c r="E901">
        <v>34</v>
      </c>
      <c r="F901">
        <v>56.53</v>
      </c>
      <c r="G901">
        <v>1825.92</v>
      </c>
      <c r="H901">
        <v>5</v>
      </c>
      <c r="I901" t="s">
        <v>16</v>
      </c>
      <c r="J901" t="s">
        <v>91</v>
      </c>
      <c r="K901" t="s">
        <v>1375</v>
      </c>
      <c r="L901" t="s">
        <v>69</v>
      </c>
    </row>
    <row r="902" spans="1:12" x14ac:dyDescent="0.3">
      <c r="A902" t="s">
        <v>2169</v>
      </c>
      <c r="B902" t="s">
        <v>444</v>
      </c>
      <c r="C902" t="s">
        <v>45</v>
      </c>
      <c r="D902" t="s">
        <v>23</v>
      </c>
      <c r="E902">
        <v>17</v>
      </c>
      <c r="F902">
        <v>61.77</v>
      </c>
      <c r="G902">
        <v>1050.0899999999999</v>
      </c>
      <c r="H902">
        <v>0</v>
      </c>
      <c r="I902" t="s">
        <v>16</v>
      </c>
      <c r="J902" t="s">
        <v>111</v>
      </c>
      <c r="K902" t="s">
        <v>2170</v>
      </c>
      <c r="L902" t="s">
        <v>69</v>
      </c>
    </row>
    <row r="903" spans="1:12" x14ac:dyDescent="0.3">
      <c r="A903" t="s">
        <v>2171</v>
      </c>
      <c r="B903" t="s">
        <v>2172</v>
      </c>
      <c r="C903" t="s">
        <v>95</v>
      </c>
      <c r="D903" t="s">
        <v>35</v>
      </c>
      <c r="E903">
        <v>45</v>
      </c>
      <c r="F903">
        <v>825.24</v>
      </c>
      <c r="G903">
        <v>31565.43</v>
      </c>
      <c r="H903">
        <v>15</v>
      </c>
      <c r="I903" t="s">
        <v>24</v>
      </c>
      <c r="J903" t="s">
        <v>104</v>
      </c>
      <c r="K903" t="s">
        <v>2173</v>
      </c>
      <c r="L903" t="s">
        <v>49</v>
      </c>
    </row>
    <row r="904" spans="1:12" x14ac:dyDescent="0.3">
      <c r="A904" t="s">
        <v>2174</v>
      </c>
      <c r="B904" t="s">
        <v>2175</v>
      </c>
      <c r="C904" t="s">
        <v>90</v>
      </c>
      <c r="D904" t="s">
        <v>23</v>
      </c>
      <c r="E904">
        <v>19</v>
      </c>
      <c r="F904">
        <v>28.02</v>
      </c>
      <c r="G904">
        <v>479.14</v>
      </c>
      <c r="H904">
        <v>10</v>
      </c>
      <c r="I904" t="s">
        <v>53</v>
      </c>
      <c r="J904" t="s">
        <v>54</v>
      </c>
      <c r="K904" t="s">
        <v>1204</v>
      </c>
      <c r="L904" t="s">
        <v>19</v>
      </c>
    </row>
    <row r="905" spans="1:12" x14ac:dyDescent="0.3">
      <c r="A905" t="s">
        <v>2176</v>
      </c>
      <c r="B905" t="s">
        <v>1366</v>
      </c>
      <c r="C905" t="s">
        <v>90</v>
      </c>
      <c r="D905" t="s">
        <v>23</v>
      </c>
      <c r="E905">
        <v>15</v>
      </c>
      <c r="F905">
        <v>19.809999999999999</v>
      </c>
      <c r="G905">
        <v>297.14999999999998</v>
      </c>
      <c r="H905">
        <v>0</v>
      </c>
      <c r="I905" t="s">
        <v>16</v>
      </c>
      <c r="J905" t="s">
        <v>111</v>
      </c>
      <c r="K905" t="s">
        <v>1181</v>
      </c>
      <c r="L905" t="s">
        <v>27</v>
      </c>
    </row>
    <row r="906" spans="1:12" x14ac:dyDescent="0.3">
      <c r="A906" t="s">
        <v>2177</v>
      </c>
      <c r="B906" t="s">
        <v>356</v>
      </c>
      <c r="C906" t="s">
        <v>45</v>
      </c>
      <c r="D906" t="s">
        <v>23</v>
      </c>
      <c r="E906">
        <v>2</v>
      </c>
      <c r="F906">
        <v>176.46</v>
      </c>
      <c r="G906">
        <v>299.98</v>
      </c>
      <c r="H906">
        <v>15</v>
      </c>
      <c r="I906" t="s">
        <v>46</v>
      </c>
      <c r="J906" t="s">
        <v>78</v>
      </c>
      <c r="K906" t="s">
        <v>1350</v>
      </c>
      <c r="L906" t="s">
        <v>49</v>
      </c>
    </row>
    <row r="907" spans="1:12" x14ac:dyDescent="0.3">
      <c r="A907" t="s">
        <v>2178</v>
      </c>
      <c r="B907" t="s">
        <v>1366</v>
      </c>
      <c r="C907" t="s">
        <v>103</v>
      </c>
      <c r="D907" t="s">
        <v>35</v>
      </c>
      <c r="E907">
        <v>31</v>
      </c>
      <c r="F907">
        <v>554.71</v>
      </c>
      <c r="G907">
        <v>17196.009999999998</v>
      </c>
      <c r="H907">
        <v>0</v>
      </c>
      <c r="I907" t="s">
        <v>53</v>
      </c>
      <c r="J907" t="s">
        <v>141</v>
      </c>
      <c r="K907" t="s">
        <v>2179</v>
      </c>
      <c r="L907" t="s">
        <v>19</v>
      </c>
    </row>
    <row r="908" spans="1:12" x14ac:dyDescent="0.3">
      <c r="A908" t="s">
        <v>2180</v>
      </c>
      <c r="B908" t="s">
        <v>373</v>
      </c>
      <c r="C908" t="s">
        <v>34</v>
      </c>
      <c r="D908" t="s">
        <v>35</v>
      </c>
      <c r="E908">
        <v>7</v>
      </c>
      <c r="F908">
        <v>622.66</v>
      </c>
      <c r="G908">
        <v>4358.62</v>
      </c>
      <c r="H908">
        <v>0</v>
      </c>
      <c r="I908" t="s">
        <v>16</v>
      </c>
      <c r="J908" t="s">
        <v>74</v>
      </c>
      <c r="K908" t="s">
        <v>1640</v>
      </c>
      <c r="L908" t="s">
        <v>49</v>
      </c>
    </row>
    <row r="909" spans="1:12" x14ac:dyDescent="0.3">
      <c r="A909" t="s">
        <v>2181</v>
      </c>
      <c r="B909" t="s">
        <v>339</v>
      </c>
      <c r="C909" t="s">
        <v>52</v>
      </c>
      <c r="D909" t="s">
        <v>35</v>
      </c>
      <c r="E909">
        <v>22</v>
      </c>
      <c r="F909">
        <v>383.53</v>
      </c>
      <c r="G909">
        <v>8437.66</v>
      </c>
      <c r="H909">
        <v>0</v>
      </c>
      <c r="I909" t="s">
        <v>16</v>
      </c>
      <c r="J909" t="s">
        <v>74</v>
      </c>
      <c r="K909" t="s">
        <v>1373</v>
      </c>
      <c r="L909" t="s">
        <v>31</v>
      </c>
    </row>
    <row r="910" spans="1:12" x14ac:dyDescent="0.3">
      <c r="A910" t="s">
        <v>2182</v>
      </c>
      <c r="B910" t="s">
        <v>1452</v>
      </c>
      <c r="C910" t="s">
        <v>40</v>
      </c>
      <c r="D910" t="s">
        <v>23</v>
      </c>
      <c r="E910">
        <v>48</v>
      </c>
      <c r="F910">
        <v>36.590000000000003</v>
      </c>
      <c r="G910">
        <v>1756.32</v>
      </c>
      <c r="H910">
        <v>0</v>
      </c>
      <c r="I910" t="s">
        <v>24</v>
      </c>
      <c r="J910" t="s">
        <v>36</v>
      </c>
      <c r="K910" t="s">
        <v>611</v>
      </c>
      <c r="L910" t="s">
        <v>27</v>
      </c>
    </row>
    <row r="911" spans="1:12" x14ac:dyDescent="0.3">
      <c r="A911" t="s">
        <v>2183</v>
      </c>
      <c r="B911" t="s">
        <v>2184</v>
      </c>
      <c r="C911" t="s">
        <v>95</v>
      </c>
      <c r="D911" t="s">
        <v>35</v>
      </c>
      <c r="E911">
        <v>50</v>
      </c>
      <c r="F911">
        <v>903.41</v>
      </c>
      <c r="G911">
        <v>45170.5</v>
      </c>
      <c r="H911">
        <v>0</v>
      </c>
      <c r="I911" t="s">
        <v>46</v>
      </c>
      <c r="J911" t="s">
        <v>83</v>
      </c>
      <c r="K911" t="s">
        <v>171</v>
      </c>
      <c r="L911" t="s">
        <v>49</v>
      </c>
    </row>
    <row r="912" spans="1:12" x14ac:dyDescent="0.3">
      <c r="A912" t="s">
        <v>2185</v>
      </c>
      <c r="B912" t="s">
        <v>1767</v>
      </c>
      <c r="C912" t="s">
        <v>103</v>
      </c>
      <c r="D912" t="s">
        <v>35</v>
      </c>
      <c r="E912">
        <v>28</v>
      </c>
      <c r="F912">
        <v>336.2</v>
      </c>
      <c r="G912">
        <v>8942.92</v>
      </c>
      <c r="H912">
        <v>5</v>
      </c>
      <c r="I912" t="s">
        <v>53</v>
      </c>
      <c r="J912" t="s">
        <v>67</v>
      </c>
      <c r="K912" t="s">
        <v>802</v>
      </c>
      <c r="L912" t="s">
        <v>49</v>
      </c>
    </row>
    <row r="913" spans="1:12" x14ac:dyDescent="0.3">
      <c r="A913" t="s">
        <v>2186</v>
      </c>
      <c r="B913" t="s">
        <v>130</v>
      </c>
      <c r="C913" t="s">
        <v>72</v>
      </c>
      <c r="D913" t="s">
        <v>73</v>
      </c>
      <c r="E913">
        <v>2</v>
      </c>
      <c r="F913">
        <v>163.56</v>
      </c>
      <c r="G913">
        <v>310.76</v>
      </c>
      <c r="H913">
        <v>5</v>
      </c>
      <c r="I913" t="s">
        <v>24</v>
      </c>
      <c r="J913" t="s">
        <v>25</v>
      </c>
      <c r="K913" t="s">
        <v>950</v>
      </c>
      <c r="L913" t="s">
        <v>49</v>
      </c>
    </row>
    <row r="914" spans="1:12" x14ac:dyDescent="0.3">
      <c r="A914" t="s">
        <v>2187</v>
      </c>
      <c r="B914" t="s">
        <v>2000</v>
      </c>
      <c r="C914" t="s">
        <v>58</v>
      </c>
      <c r="D914" t="s">
        <v>35</v>
      </c>
      <c r="E914">
        <v>1</v>
      </c>
      <c r="F914">
        <v>234.69</v>
      </c>
      <c r="G914">
        <v>222.96</v>
      </c>
      <c r="H914">
        <v>5</v>
      </c>
      <c r="I914" t="s">
        <v>16</v>
      </c>
      <c r="J914" t="s">
        <v>160</v>
      </c>
      <c r="K914" t="s">
        <v>1378</v>
      </c>
      <c r="L914" t="s">
        <v>27</v>
      </c>
    </row>
    <row r="915" spans="1:12" x14ac:dyDescent="0.3">
      <c r="A915" t="s">
        <v>2188</v>
      </c>
      <c r="B915" t="s">
        <v>2189</v>
      </c>
      <c r="C915" t="s">
        <v>22</v>
      </c>
      <c r="D915" t="s">
        <v>23</v>
      </c>
      <c r="E915">
        <v>13</v>
      </c>
      <c r="F915">
        <v>36.67</v>
      </c>
      <c r="G915">
        <v>476.71</v>
      </c>
      <c r="H915">
        <v>0</v>
      </c>
      <c r="I915" t="s">
        <v>16</v>
      </c>
      <c r="J915" t="s">
        <v>111</v>
      </c>
      <c r="K915" t="s">
        <v>2190</v>
      </c>
      <c r="L915" t="s">
        <v>27</v>
      </c>
    </row>
    <row r="916" spans="1:12" x14ac:dyDescent="0.3">
      <c r="A916" t="s">
        <v>2191</v>
      </c>
      <c r="B916" t="s">
        <v>2192</v>
      </c>
      <c r="C916" t="s">
        <v>22</v>
      </c>
      <c r="D916" t="s">
        <v>23</v>
      </c>
      <c r="E916">
        <v>45</v>
      </c>
      <c r="F916">
        <v>23.1</v>
      </c>
      <c r="G916">
        <v>935.55</v>
      </c>
      <c r="H916">
        <v>10</v>
      </c>
      <c r="I916" t="s">
        <v>53</v>
      </c>
      <c r="J916" t="s">
        <v>170</v>
      </c>
      <c r="K916" t="s">
        <v>1512</v>
      </c>
      <c r="L916" t="s">
        <v>19</v>
      </c>
    </row>
    <row r="917" spans="1:12" x14ac:dyDescent="0.3">
      <c r="A917" t="s">
        <v>2193</v>
      </c>
      <c r="B917" t="s">
        <v>2194</v>
      </c>
      <c r="C917" t="s">
        <v>14</v>
      </c>
      <c r="D917" t="s">
        <v>15</v>
      </c>
      <c r="E917">
        <v>14</v>
      </c>
      <c r="F917">
        <v>119.23</v>
      </c>
      <c r="G917">
        <v>1502.3</v>
      </c>
      <c r="H917">
        <v>10</v>
      </c>
      <c r="I917" t="s">
        <v>24</v>
      </c>
      <c r="J917" t="s">
        <v>36</v>
      </c>
      <c r="K917" t="s">
        <v>2195</v>
      </c>
      <c r="L917" t="s">
        <v>31</v>
      </c>
    </row>
    <row r="918" spans="1:12" x14ac:dyDescent="0.3">
      <c r="A918" t="s">
        <v>2196</v>
      </c>
      <c r="B918" t="s">
        <v>2197</v>
      </c>
      <c r="C918" t="s">
        <v>40</v>
      </c>
      <c r="D918" t="s">
        <v>23</v>
      </c>
      <c r="E918">
        <v>32</v>
      </c>
      <c r="F918">
        <v>65.02</v>
      </c>
      <c r="G918">
        <v>1976.61</v>
      </c>
      <c r="H918">
        <v>5</v>
      </c>
      <c r="I918" t="s">
        <v>24</v>
      </c>
      <c r="J918" t="s">
        <v>25</v>
      </c>
      <c r="K918" t="s">
        <v>312</v>
      </c>
      <c r="L918" t="s">
        <v>69</v>
      </c>
    </row>
    <row r="919" spans="1:12" x14ac:dyDescent="0.3">
      <c r="A919" t="s">
        <v>2198</v>
      </c>
      <c r="B919" t="s">
        <v>618</v>
      </c>
      <c r="C919" t="s">
        <v>82</v>
      </c>
      <c r="D919" t="s">
        <v>73</v>
      </c>
      <c r="E919">
        <v>36</v>
      </c>
      <c r="F919">
        <v>396.91</v>
      </c>
      <c r="G919">
        <v>14288.76</v>
      </c>
      <c r="H919">
        <v>0</v>
      </c>
      <c r="I919" t="s">
        <v>53</v>
      </c>
      <c r="J919" t="s">
        <v>54</v>
      </c>
      <c r="K919" t="s">
        <v>274</v>
      </c>
      <c r="L919" t="s">
        <v>27</v>
      </c>
    </row>
    <row r="920" spans="1:12" x14ac:dyDescent="0.3">
      <c r="A920" t="s">
        <v>2199</v>
      </c>
      <c r="B920" t="s">
        <v>2200</v>
      </c>
      <c r="C920" t="s">
        <v>34</v>
      </c>
      <c r="D920" t="s">
        <v>35</v>
      </c>
      <c r="E920">
        <v>16</v>
      </c>
      <c r="F920">
        <v>436.69</v>
      </c>
      <c r="G920">
        <v>6987.04</v>
      </c>
      <c r="H920">
        <v>0</v>
      </c>
      <c r="I920" t="s">
        <v>46</v>
      </c>
      <c r="J920" t="s">
        <v>83</v>
      </c>
      <c r="K920" t="s">
        <v>992</v>
      </c>
      <c r="L920" t="s">
        <v>27</v>
      </c>
    </row>
    <row r="921" spans="1:12" x14ac:dyDescent="0.3">
      <c r="A921" t="s">
        <v>2201</v>
      </c>
      <c r="B921" t="s">
        <v>2202</v>
      </c>
      <c r="C921" t="s">
        <v>90</v>
      </c>
      <c r="D921" t="s">
        <v>23</v>
      </c>
      <c r="E921">
        <v>28</v>
      </c>
      <c r="F921">
        <v>44.47</v>
      </c>
      <c r="G921">
        <v>1058.3900000000001</v>
      </c>
      <c r="H921">
        <v>15</v>
      </c>
      <c r="I921" t="s">
        <v>24</v>
      </c>
      <c r="J921" t="s">
        <v>59</v>
      </c>
      <c r="K921" t="s">
        <v>1715</v>
      </c>
      <c r="L921" t="s">
        <v>49</v>
      </c>
    </row>
    <row r="922" spans="1:12" x14ac:dyDescent="0.3">
      <c r="A922" t="s">
        <v>2203</v>
      </c>
      <c r="B922" t="s">
        <v>2204</v>
      </c>
      <c r="C922" t="s">
        <v>99</v>
      </c>
      <c r="D922" t="s">
        <v>23</v>
      </c>
      <c r="E922">
        <v>38</v>
      </c>
      <c r="F922">
        <v>18.98</v>
      </c>
      <c r="G922">
        <v>613.04999999999995</v>
      </c>
      <c r="H922">
        <v>15</v>
      </c>
      <c r="I922" t="s">
        <v>24</v>
      </c>
      <c r="J922" t="s">
        <v>25</v>
      </c>
      <c r="K922" t="s">
        <v>723</v>
      </c>
      <c r="L922" t="s">
        <v>31</v>
      </c>
    </row>
    <row r="923" spans="1:12" x14ac:dyDescent="0.3">
      <c r="A923" t="s">
        <v>2205</v>
      </c>
      <c r="B923" t="s">
        <v>1288</v>
      </c>
      <c r="C923" t="s">
        <v>123</v>
      </c>
      <c r="D923" t="s">
        <v>15</v>
      </c>
      <c r="E923">
        <v>27</v>
      </c>
      <c r="F923">
        <v>27.68</v>
      </c>
      <c r="G923">
        <v>709.99</v>
      </c>
      <c r="H923">
        <v>5</v>
      </c>
      <c r="I923" t="s">
        <v>46</v>
      </c>
      <c r="J923" t="s">
        <v>83</v>
      </c>
      <c r="K923" t="s">
        <v>2206</v>
      </c>
      <c r="L923" t="s">
        <v>27</v>
      </c>
    </row>
    <row r="924" spans="1:12" x14ac:dyDescent="0.3">
      <c r="A924" t="s">
        <v>2207</v>
      </c>
      <c r="B924" t="s">
        <v>2208</v>
      </c>
      <c r="C924" t="s">
        <v>99</v>
      </c>
      <c r="D924" t="s">
        <v>23</v>
      </c>
      <c r="E924">
        <v>30</v>
      </c>
      <c r="F924">
        <v>18.13</v>
      </c>
      <c r="G924">
        <v>543.9</v>
      </c>
      <c r="H924">
        <v>0</v>
      </c>
      <c r="I924" t="s">
        <v>16</v>
      </c>
      <c r="J924" t="s">
        <v>160</v>
      </c>
      <c r="K924" t="s">
        <v>148</v>
      </c>
      <c r="L924" t="s">
        <v>69</v>
      </c>
    </row>
    <row r="925" spans="1:12" x14ac:dyDescent="0.3">
      <c r="A925" t="s">
        <v>2209</v>
      </c>
      <c r="B925" t="s">
        <v>795</v>
      </c>
      <c r="C925" t="s">
        <v>52</v>
      </c>
      <c r="D925" t="s">
        <v>35</v>
      </c>
      <c r="E925">
        <v>38</v>
      </c>
      <c r="F925">
        <v>187.2</v>
      </c>
      <c r="G925">
        <v>7113.6</v>
      </c>
      <c r="H925">
        <v>0</v>
      </c>
      <c r="I925" t="s">
        <v>53</v>
      </c>
      <c r="J925" t="s">
        <v>134</v>
      </c>
      <c r="K925" t="s">
        <v>1202</v>
      </c>
      <c r="L925" t="s">
        <v>69</v>
      </c>
    </row>
    <row r="926" spans="1:12" x14ac:dyDescent="0.3">
      <c r="A926" t="s">
        <v>2210</v>
      </c>
      <c r="B926" t="s">
        <v>1928</v>
      </c>
      <c r="C926" t="s">
        <v>82</v>
      </c>
      <c r="D926" t="s">
        <v>73</v>
      </c>
      <c r="E926">
        <v>26</v>
      </c>
      <c r="F926">
        <v>495.88</v>
      </c>
      <c r="G926">
        <v>12248.24</v>
      </c>
      <c r="H926">
        <v>5</v>
      </c>
      <c r="I926" t="s">
        <v>46</v>
      </c>
      <c r="J926" t="s">
        <v>78</v>
      </c>
      <c r="K926" t="s">
        <v>1224</v>
      </c>
      <c r="L926" t="s">
        <v>27</v>
      </c>
    </row>
    <row r="927" spans="1:12" x14ac:dyDescent="0.3">
      <c r="A927" t="s">
        <v>2211</v>
      </c>
      <c r="B927" t="s">
        <v>2143</v>
      </c>
      <c r="C927" t="s">
        <v>95</v>
      </c>
      <c r="D927" t="s">
        <v>35</v>
      </c>
      <c r="E927">
        <v>7</v>
      </c>
      <c r="F927">
        <v>1155.47</v>
      </c>
      <c r="G927">
        <v>6470.63</v>
      </c>
      <c r="H927">
        <v>20</v>
      </c>
      <c r="I927" t="s">
        <v>16</v>
      </c>
      <c r="J927" t="s">
        <v>111</v>
      </c>
      <c r="K927" t="s">
        <v>254</v>
      </c>
      <c r="L927" t="s">
        <v>19</v>
      </c>
    </row>
    <row r="928" spans="1:12" x14ac:dyDescent="0.3">
      <c r="A928" t="s">
        <v>2212</v>
      </c>
      <c r="B928" t="s">
        <v>2213</v>
      </c>
      <c r="C928" t="s">
        <v>45</v>
      </c>
      <c r="D928" t="s">
        <v>23</v>
      </c>
      <c r="E928">
        <v>45</v>
      </c>
      <c r="F928">
        <v>98.8</v>
      </c>
      <c r="G928">
        <v>3779.1</v>
      </c>
      <c r="H928">
        <v>15</v>
      </c>
      <c r="I928" t="s">
        <v>46</v>
      </c>
      <c r="J928" t="s">
        <v>124</v>
      </c>
      <c r="K928" t="s">
        <v>254</v>
      </c>
      <c r="L928" t="s">
        <v>19</v>
      </c>
    </row>
    <row r="929" spans="1:12" x14ac:dyDescent="0.3">
      <c r="A929" t="s">
        <v>2214</v>
      </c>
      <c r="B929" t="s">
        <v>1516</v>
      </c>
      <c r="C929" t="s">
        <v>90</v>
      </c>
      <c r="D929" t="s">
        <v>23</v>
      </c>
      <c r="E929">
        <v>33</v>
      </c>
      <c r="F929">
        <v>42.6</v>
      </c>
      <c r="G929">
        <v>1405.8</v>
      </c>
      <c r="H929">
        <v>0</v>
      </c>
      <c r="I929" t="s">
        <v>24</v>
      </c>
      <c r="J929" t="s">
        <v>25</v>
      </c>
      <c r="K929" t="s">
        <v>377</v>
      </c>
      <c r="L929" t="s">
        <v>27</v>
      </c>
    </row>
    <row r="930" spans="1:12" x14ac:dyDescent="0.3">
      <c r="A930" t="s">
        <v>2215</v>
      </c>
      <c r="B930" t="s">
        <v>2216</v>
      </c>
      <c r="C930" t="s">
        <v>123</v>
      </c>
      <c r="D930" t="s">
        <v>15</v>
      </c>
      <c r="E930">
        <v>48</v>
      </c>
      <c r="F930">
        <v>29.37</v>
      </c>
      <c r="G930">
        <v>1127.81</v>
      </c>
      <c r="H930">
        <v>20</v>
      </c>
      <c r="I930" t="s">
        <v>16</v>
      </c>
      <c r="J930" t="s">
        <v>91</v>
      </c>
      <c r="K930" t="s">
        <v>319</v>
      </c>
      <c r="L930" t="s">
        <v>49</v>
      </c>
    </row>
    <row r="931" spans="1:12" x14ac:dyDescent="0.3">
      <c r="A931" t="s">
        <v>2217</v>
      </c>
      <c r="B931" t="s">
        <v>2218</v>
      </c>
      <c r="C931" t="s">
        <v>58</v>
      </c>
      <c r="D931" t="s">
        <v>35</v>
      </c>
      <c r="E931">
        <v>40</v>
      </c>
      <c r="F931">
        <v>207.72</v>
      </c>
      <c r="G931">
        <v>7062.48</v>
      </c>
      <c r="H931">
        <v>15</v>
      </c>
      <c r="I931" t="s">
        <v>53</v>
      </c>
      <c r="J931" t="s">
        <v>134</v>
      </c>
      <c r="K931" t="s">
        <v>2219</v>
      </c>
      <c r="L931" t="s">
        <v>31</v>
      </c>
    </row>
    <row r="932" spans="1:12" x14ac:dyDescent="0.3">
      <c r="A932" t="s">
        <v>2220</v>
      </c>
      <c r="B932" t="s">
        <v>1693</v>
      </c>
      <c r="C932" t="s">
        <v>58</v>
      </c>
      <c r="D932" t="s">
        <v>35</v>
      </c>
      <c r="E932">
        <v>48</v>
      </c>
      <c r="F932">
        <v>376.64</v>
      </c>
      <c r="G932">
        <v>17174.78</v>
      </c>
      <c r="H932">
        <v>5</v>
      </c>
      <c r="I932" t="s">
        <v>16</v>
      </c>
      <c r="J932" t="s">
        <v>74</v>
      </c>
      <c r="K932" t="s">
        <v>2221</v>
      </c>
      <c r="L932" t="s">
        <v>49</v>
      </c>
    </row>
    <row r="933" spans="1:12" x14ac:dyDescent="0.3">
      <c r="A933" t="s">
        <v>2222</v>
      </c>
      <c r="B933" t="s">
        <v>89</v>
      </c>
      <c r="C933" t="s">
        <v>82</v>
      </c>
      <c r="D933" t="s">
        <v>73</v>
      </c>
      <c r="E933">
        <v>8</v>
      </c>
      <c r="F933">
        <v>310.63</v>
      </c>
      <c r="G933">
        <v>2360.79</v>
      </c>
      <c r="H933">
        <v>5</v>
      </c>
      <c r="I933" t="s">
        <v>16</v>
      </c>
      <c r="J933" t="s">
        <v>111</v>
      </c>
      <c r="K933" t="s">
        <v>790</v>
      </c>
      <c r="L933" t="s">
        <v>49</v>
      </c>
    </row>
    <row r="934" spans="1:12" x14ac:dyDescent="0.3">
      <c r="A934" t="s">
        <v>2223</v>
      </c>
      <c r="B934" t="s">
        <v>1652</v>
      </c>
      <c r="C934" t="s">
        <v>95</v>
      </c>
      <c r="D934" t="s">
        <v>35</v>
      </c>
      <c r="E934">
        <v>10</v>
      </c>
      <c r="F934">
        <v>1025.49</v>
      </c>
      <c r="G934">
        <v>10254.9</v>
      </c>
      <c r="H934">
        <v>0</v>
      </c>
      <c r="I934" t="s">
        <v>16</v>
      </c>
      <c r="J934" t="s">
        <v>17</v>
      </c>
      <c r="K934" t="s">
        <v>2221</v>
      </c>
      <c r="L934" t="s">
        <v>31</v>
      </c>
    </row>
    <row r="935" spans="1:12" x14ac:dyDescent="0.3">
      <c r="A935" t="s">
        <v>2224</v>
      </c>
      <c r="B935" t="s">
        <v>2225</v>
      </c>
      <c r="C935" t="s">
        <v>82</v>
      </c>
      <c r="D935" t="s">
        <v>73</v>
      </c>
      <c r="E935">
        <v>18</v>
      </c>
      <c r="F935">
        <v>729.65</v>
      </c>
      <c r="G935">
        <v>13133.7</v>
      </c>
      <c r="H935">
        <v>0</v>
      </c>
      <c r="I935" t="s">
        <v>53</v>
      </c>
      <c r="J935" t="s">
        <v>170</v>
      </c>
      <c r="K935" t="s">
        <v>1937</v>
      </c>
      <c r="L935" t="s">
        <v>27</v>
      </c>
    </row>
    <row r="936" spans="1:12" x14ac:dyDescent="0.3">
      <c r="A936" t="s">
        <v>2226</v>
      </c>
      <c r="B936" t="s">
        <v>2227</v>
      </c>
      <c r="C936" t="s">
        <v>82</v>
      </c>
      <c r="D936" t="s">
        <v>73</v>
      </c>
      <c r="E936">
        <v>23</v>
      </c>
      <c r="F936">
        <v>527.59</v>
      </c>
      <c r="G936">
        <v>10921.11</v>
      </c>
      <c r="H936">
        <v>10</v>
      </c>
      <c r="I936" t="s">
        <v>16</v>
      </c>
      <c r="J936" t="s">
        <v>17</v>
      </c>
      <c r="K936" t="s">
        <v>2228</v>
      </c>
      <c r="L936" t="s">
        <v>49</v>
      </c>
    </row>
    <row r="937" spans="1:12" x14ac:dyDescent="0.3">
      <c r="A937" t="s">
        <v>2229</v>
      </c>
      <c r="B937" t="s">
        <v>2230</v>
      </c>
      <c r="C937" t="s">
        <v>123</v>
      </c>
      <c r="D937" t="s">
        <v>15</v>
      </c>
      <c r="E937">
        <v>6</v>
      </c>
      <c r="F937">
        <v>45.59</v>
      </c>
      <c r="G937">
        <v>273.54000000000002</v>
      </c>
      <c r="H937">
        <v>0</v>
      </c>
      <c r="I937" t="s">
        <v>16</v>
      </c>
      <c r="J937" t="s">
        <v>160</v>
      </c>
      <c r="K937" t="s">
        <v>1401</v>
      </c>
      <c r="L937" t="s">
        <v>49</v>
      </c>
    </row>
    <row r="938" spans="1:12" x14ac:dyDescent="0.3">
      <c r="A938" t="s">
        <v>2231</v>
      </c>
      <c r="B938" t="s">
        <v>2232</v>
      </c>
      <c r="C938" t="s">
        <v>72</v>
      </c>
      <c r="D938" t="s">
        <v>73</v>
      </c>
      <c r="E938">
        <v>18</v>
      </c>
      <c r="F938">
        <v>166.02</v>
      </c>
      <c r="G938">
        <v>2838.94</v>
      </c>
      <c r="H938">
        <v>5</v>
      </c>
      <c r="I938" t="s">
        <v>53</v>
      </c>
      <c r="J938" t="s">
        <v>141</v>
      </c>
      <c r="K938" t="s">
        <v>1094</v>
      </c>
      <c r="L938" t="s">
        <v>19</v>
      </c>
    </row>
    <row r="939" spans="1:12" x14ac:dyDescent="0.3">
      <c r="A939" t="s">
        <v>2233</v>
      </c>
      <c r="B939" t="s">
        <v>1852</v>
      </c>
      <c r="C939" t="s">
        <v>40</v>
      </c>
      <c r="D939" t="s">
        <v>23</v>
      </c>
      <c r="E939">
        <v>22</v>
      </c>
      <c r="F939">
        <v>40.700000000000003</v>
      </c>
      <c r="G939">
        <v>805.86</v>
      </c>
      <c r="H939">
        <v>10</v>
      </c>
      <c r="I939" t="s">
        <v>24</v>
      </c>
      <c r="J939" t="s">
        <v>25</v>
      </c>
      <c r="K939" t="s">
        <v>201</v>
      </c>
      <c r="L939" t="s">
        <v>31</v>
      </c>
    </row>
    <row r="940" spans="1:12" x14ac:dyDescent="0.3">
      <c r="A940" t="s">
        <v>2234</v>
      </c>
      <c r="B940" t="s">
        <v>2235</v>
      </c>
      <c r="C940" t="s">
        <v>22</v>
      </c>
      <c r="D940" t="s">
        <v>23</v>
      </c>
      <c r="E940">
        <v>31</v>
      </c>
      <c r="F940">
        <v>22.48</v>
      </c>
      <c r="G940">
        <v>696.88</v>
      </c>
      <c r="H940">
        <v>0</v>
      </c>
      <c r="I940" t="s">
        <v>24</v>
      </c>
      <c r="J940" t="s">
        <v>104</v>
      </c>
      <c r="K940" t="s">
        <v>999</v>
      </c>
      <c r="L940" t="s">
        <v>69</v>
      </c>
    </row>
    <row r="941" spans="1:12" x14ac:dyDescent="0.3">
      <c r="A941" t="s">
        <v>2236</v>
      </c>
      <c r="B941" t="s">
        <v>2237</v>
      </c>
      <c r="C941" t="s">
        <v>40</v>
      </c>
      <c r="D941" t="s">
        <v>23</v>
      </c>
      <c r="E941">
        <v>17</v>
      </c>
      <c r="F941">
        <v>50.45</v>
      </c>
      <c r="G941">
        <v>857.65</v>
      </c>
      <c r="H941">
        <v>0</v>
      </c>
      <c r="I941" t="s">
        <v>16</v>
      </c>
      <c r="J941" t="s">
        <v>111</v>
      </c>
      <c r="K941" t="s">
        <v>1029</v>
      </c>
      <c r="L941" t="s">
        <v>69</v>
      </c>
    </row>
    <row r="942" spans="1:12" x14ac:dyDescent="0.3">
      <c r="A942" t="s">
        <v>2238</v>
      </c>
      <c r="B942" t="s">
        <v>1452</v>
      </c>
      <c r="C942" t="s">
        <v>14</v>
      </c>
      <c r="D942" t="s">
        <v>15</v>
      </c>
      <c r="E942">
        <v>7</v>
      </c>
      <c r="F942">
        <v>50.64</v>
      </c>
      <c r="G942">
        <v>354.48</v>
      </c>
      <c r="H942">
        <v>0</v>
      </c>
      <c r="I942" t="s">
        <v>53</v>
      </c>
      <c r="J942" t="s">
        <v>54</v>
      </c>
      <c r="K942" t="s">
        <v>950</v>
      </c>
      <c r="L942" t="s">
        <v>49</v>
      </c>
    </row>
    <row r="943" spans="1:12" x14ac:dyDescent="0.3">
      <c r="A943" t="s">
        <v>2239</v>
      </c>
      <c r="B943" t="s">
        <v>2240</v>
      </c>
      <c r="C943" t="s">
        <v>72</v>
      </c>
      <c r="D943" t="s">
        <v>73</v>
      </c>
      <c r="E943">
        <v>21</v>
      </c>
      <c r="F943">
        <v>477.08</v>
      </c>
      <c r="G943">
        <v>10018.68</v>
      </c>
      <c r="H943">
        <v>0</v>
      </c>
      <c r="I943" t="s">
        <v>53</v>
      </c>
      <c r="J943" t="s">
        <v>170</v>
      </c>
      <c r="K943" t="s">
        <v>2241</v>
      </c>
      <c r="L943" t="s">
        <v>31</v>
      </c>
    </row>
    <row r="944" spans="1:12" x14ac:dyDescent="0.3">
      <c r="A944" t="s">
        <v>2242</v>
      </c>
      <c r="B944" t="s">
        <v>2243</v>
      </c>
      <c r="C944" t="s">
        <v>123</v>
      </c>
      <c r="D944" t="s">
        <v>15</v>
      </c>
      <c r="E944">
        <v>40</v>
      </c>
      <c r="F944">
        <v>18.350000000000001</v>
      </c>
      <c r="G944">
        <v>734</v>
      </c>
      <c r="H944">
        <v>0</v>
      </c>
      <c r="I944" t="s">
        <v>16</v>
      </c>
      <c r="J944" t="s">
        <v>74</v>
      </c>
      <c r="K944" t="s">
        <v>2241</v>
      </c>
      <c r="L944" t="s">
        <v>31</v>
      </c>
    </row>
    <row r="945" spans="1:12" x14ac:dyDescent="0.3">
      <c r="A945" t="s">
        <v>2244</v>
      </c>
      <c r="B945" t="s">
        <v>2245</v>
      </c>
      <c r="C945" t="s">
        <v>63</v>
      </c>
      <c r="D945" t="s">
        <v>15</v>
      </c>
      <c r="E945">
        <v>44</v>
      </c>
      <c r="F945">
        <v>68.2</v>
      </c>
      <c r="G945">
        <v>2700.72</v>
      </c>
      <c r="H945">
        <v>10</v>
      </c>
      <c r="I945" t="s">
        <v>24</v>
      </c>
      <c r="J945" t="s">
        <v>59</v>
      </c>
      <c r="K945" t="s">
        <v>1341</v>
      </c>
      <c r="L945" t="s">
        <v>27</v>
      </c>
    </row>
    <row r="946" spans="1:12" x14ac:dyDescent="0.3">
      <c r="A946" t="s">
        <v>2246</v>
      </c>
      <c r="B946" t="s">
        <v>2247</v>
      </c>
      <c r="C946" t="s">
        <v>90</v>
      </c>
      <c r="D946" t="s">
        <v>23</v>
      </c>
      <c r="E946">
        <v>39</v>
      </c>
      <c r="F946">
        <v>28.09</v>
      </c>
      <c r="G946">
        <v>876.41</v>
      </c>
      <c r="H946">
        <v>20</v>
      </c>
      <c r="I946" t="s">
        <v>53</v>
      </c>
      <c r="J946" t="s">
        <v>67</v>
      </c>
      <c r="K946" t="s">
        <v>1906</v>
      </c>
      <c r="L946" t="s">
        <v>19</v>
      </c>
    </row>
    <row r="947" spans="1:12" x14ac:dyDescent="0.3">
      <c r="A947" t="s">
        <v>2248</v>
      </c>
      <c r="B947" t="s">
        <v>549</v>
      </c>
      <c r="C947" t="s">
        <v>52</v>
      </c>
      <c r="D947" t="s">
        <v>35</v>
      </c>
      <c r="E947">
        <v>34</v>
      </c>
      <c r="F947">
        <v>111.61</v>
      </c>
      <c r="G947">
        <v>3794.74</v>
      </c>
      <c r="H947">
        <v>0</v>
      </c>
      <c r="I947" t="s">
        <v>24</v>
      </c>
      <c r="J947" t="s">
        <v>25</v>
      </c>
      <c r="K947" t="s">
        <v>901</v>
      </c>
      <c r="L947" t="s">
        <v>49</v>
      </c>
    </row>
    <row r="948" spans="1:12" x14ac:dyDescent="0.3">
      <c r="A948" t="s">
        <v>2249</v>
      </c>
      <c r="B948" t="s">
        <v>2250</v>
      </c>
      <c r="C948" t="s">
        <v>103</v>
      </c>
      <c r="D948" t="s">
        <v>35</v>
      </c>
      <c r="E948">
        <v>50</v>
      </c>
      <c r="F948">
        <v>456.14</v>
      </c>
      <c r="G948">
        <v>22807</v>
      </c>
      <c r="H948">
        <v>0</v>
      </c>
      <c r="I948" t="s">
        <v>53</v>
      </c>
      <c r="J948" t="s">
        <v>170</v>
      </c>
      <c r="K948" t="s">
        <v>926</v>
      </c>
      <c r="L948" t="s">
        <v>19</v>
      </c>
    </row>
    <row r="949" spans="1:12" x14ac:dyDescent="0.3">
      <c r="A949" t="s">
        <v>2251</v>
      </c>
      <c r="B949" t="s">
        <v>2252</v>
      </c>
      <c r="C949" t="s">
        <v>95</v>
      </c>
      <c r="D949" t="s">
        <v>35</v>
      </c>
      <c r="E949">
        <v>30</v>
      </c>
      <c r="F949">
        <v>866.74</v>
      </c>
      <c r="G949">
        <v>22101.87</v>
      </c>
      <c r="H949">
        <v>15</v>
      </c>
      <c r="I949" t="s">
        <v>53</v>
      </c>
      <c r="J949" t="s">
        <v>54</v>
      </c>
      <c r="K949" t="s">
        <v>2253</v>
      </c>
      <c r="L949" t="s">
        <v>19</v>
      </c>
    </row>
    <row r="950" spans="1:12" x14ac:dyDescent="0.3">
      <c r="A950" t="s">
        <v>2254</v>
      </c>
      <c r="B950" t="s">
        <v>2255</v>
      </c>
      <c r="C950" t="s">
        <v>63</v>
      </c>
      <c r="D950" t="s">
        <v>15</v>
      </c>
      <c r="E950">
        <v>37</v>
      </c>
      <c r="F950">
        <v>63.98</v>
      </c>
      <c r="G950">
        <v>2130.5300000000002</v>
      </c>
      <c r="H950">
        <v>10</v>
      </c>
      <c r="I950" t="s">
        <v>16</v>
      </c>
      <c r="J950" t="s">
        <v>160</v>
      </c>
      <c r="K950" t="s">
        <v>1045</v>
      </c>
      <c r="L950" t="s">
        <v>49</v>
      </c>
    </row>
    <row r="951" spans="1:12" x14ac:dyDescent="0.3">
      <c r="A951" t="s">
        <v>2256</v>
      </c>
      <c r="B951" t="s">
        <v>1347</v>
      </c>
      <c r="C951" t="s">
        <v>95</v>
      </c>
      <c r="D951" t="s">
        <v>35</v>
      </c>
      <c r="E951">
        <v>15</v>
      </c>
      <c r="F951">
        <v>857.48</v>
      </c>
      <c r="G951">
        <v>12219.09</v>
      </c>
      <c r="H951">
        <v>5</v>
      </c>
      <c r="I951" t="s">
        <v>46</v>
      </c>
      <c r="J951" t="s">
        <v>83</v>
      </c>
      <c r="K951" t="s">
        <v>2257</v>
      </c>
      <c r="L951" t="s">
        <v>69</v>
      </c>
    </row>
    <row r="952" spans="1:12" x14ac:dyDescent="0.3">
      <c r="A952" t="s">
        <v>2258</v>
      </c>
      <c r="B952" t="s">
        <v>1303</v>
      </c>
      <c r="C952" t="s">
        <v>34</v>
      </c>
      <c r="D952" t="s">
        <v>35</v>
      </c>
      <c r="E952">
        <v>15</v>
      </c>
      <c r="F952">
        <v>793.92</v>
      </c>
      <c r="G952">
        <v>10122.48</v>
      </c>
      <c r="H952">
        <v>15</v>
      </c>
      <c r="I952" t="s">
        <v>53</v>
      </c>
      <c r="J952" t="s">
        <v>141</v>
      </c>
      <c r="K952" t="s">
        <v>84</v>
      </c>
      <c r="L952" t="s">
        <v>31</v>
      </c>
    </row>
    <row r="953" spans="1:12" x14ac:dyDescent="0.3">
      <c r="A953" t="s">
        <v>2259</v>
      </c>
      <c r="B953" t="s">
        <v>2260</v>
      </c>
      <c r="C953" t="s">
        <v>45</v>
      </c>
      <c r="D953" t="s">
        <v>23</v>
      </c>
      <c r="E953">
        <v>7</v>
      </c>
      <c r="F953">
        <v>181.14</v>
      </c>
      <c r="G953">
        <v>1267.98</v>
      </c>
      <c r="H953">
        <v>0</v>
      </c>
      <c r="I953" t="s">
        <v>24</v>
      </c>
      <c r="J953" t="s">
        <v>36</v>
      </c>
      <c r="K953" t="s">
        <v>2101</v>
      </c>
      <c r="L953" t="s">
        <v>69</v>
      </c>
    </row>
    <row r="954" spans="1:12" x14ac:dyDescent="0.3">
      <c r="A954" t="s">
        <v>2261</v>
      </c>
      <c r="B954" t="s">
        <v>2262</v>
      </c>
      <c r="C954" t="s">
        <v>14</v>
      </c>
      <c r="D954" t="s">
        <v>15</v>
      </c>
      <c r="E954">
        <v>35</v>
      </c>
      <c r="F954">
        <v>96.63</v>
      </c>
      <c r="G954">
        <v>3382.05</v>
      </c>
      <c r="H954">
        <v>0</v>
      </c>
      <c r="I954" t="s">
        <v>24</v>
      </c>
      <c r="J954" t="s">
        <v>59</v>
      </c>
      <c r="K954" t="s">
        <v>2221</v>
      </c>
      <c r="L954" t="s">
        <v>19</v>
      </c>
    </row>
    <row r="955" spans="1:12" x14ac:dyDescent="0.3">
      <c r="A955" t="s">
        <v>2263</v>
      </c>
      <c r="B955" t="s">
        <v>2264</v>
      </c>
      <c r="C955" t="s">
        <v>103</v>
      </c>
      <c r="D955" t="s">
        <v>35</v>
      </c>
      <c r="E955">
        <v>16</v>
      </c>
      <c r="F955">
        <v>438.4</v>
      </c>
      <c r="G955">
        <v>7014.4</v>
      </c>
      <c r="H955">
        <v>0</v>
      </c>
      <c r="I955" t="s">
        <v>24</v>
      </c>
      <c r="J955" t="s">
        <v>104</v>
      </c>
      <c r="K955" t="s">
        <v>1708</v>
      </c>
      <c r="L955" t="s">
        <v>49</v>
      </c>
    </row>
    <row r="956" spans="1:12" x14ac:dyDescent="0.3">
      <c r="A956" t="s">
        <v>2265</v>
      </c>
      <c r="B956" t="s">
        <v>2266</v>
      </c>
      <c r="C956" t="s">
        <v>58</v>
      </c>
      <c r="D956" t="s">
        <v>35</v>
      </c>
      <c r="E956">
        <v>30</v>
      </c>
      <c r="F956">
        <v>376.34</v>
      </c>
      <c r="G956">
        <v>11290.2</v>
      </c>
      <c r="H956">
        <v>0</v>
      </c>
      <c r="I956" t="s">
        <v>24</v>
      </c>
      <c r="J956" t="s">
        <v>36</v>
      </c>
      <c r="K956" t="s">
        <v>151</v>
      </c>
      <c r="L956" t="s">
        <v>27</v>
      </c>
    </row>
    <row r="957" spans="1:12" x14ac:dyDescent="0.3">
      <c r="A957" t="s">
        <v>2267</v>
      </c>
      <c r="B957" t="s">
        <v>1315</v>
      </c>
      <c r="C957" t="s">
        <v>82</v>
      </c>
      <c r="D957" t="s">
        <v>73</v>
      </c>
      <c r="E957">
        <v>28</v>
      </c>
      <c r="F957">
        <v>593.09</v>
      </c>
      <c r="G957">
        <v>13285.22</v>
      </c>
      <c r="H957">
        <v>20</v>
      </c>
      <c r="I957" t="s">
        <v>24</v>
      </c>
      <c r="J957" t="s">
        <v>25</v>
      </c>
      <c r="K957" t="s">
        <v>2268</v>
      </c>
      <c r="L957" t="s">
        <v>49</v>
      </c>
    </row>
    <row r="958" spans="1:12" x14ac:dyDescent="0.3">
      <c r="A958" t="s">
        <v>2269</v>
      </c>
      <c r="B958" t="s">
        <v>2270</v>
      </c>
      <c r="C958" t="s">
        <v>103</v>
      </c>
      <c r="D958" t="s">
        <v>35</v>
      </c>
      <c r="E958">
        <v>38</v>
      </c>
      <c r="F958">
        <v>388.27</v>
      </c>
      <c r="G958">
        <v>14754.26</v>
      </c>
      <c r="H958">
        <v>0</v>
      </c>
      <c r="I958" t="s">
        <v>53</v>
      </c>
      <c r="J958" t="s">
        <v>141</v>
      </c>
      <c r="K958" t="s">
        <v>531</v>
      </c>
      <c r="L958" t="s">
        <v>31</v>
      </c>
    </row>
    <row r="959" spans="1:12" x14ac:dyDescent="0.3">
      <c r="A959" t="s">
        <v>2271</v>
      </c>
      <c r="B959" t="s">
        <v>2272</v>
      </c>
      <c r="C959" t="s">
        <v>103</v>
      </c>
      <c r="D959" t="s">
        <v>35</v>
      </c>
      <c r="E959">
        <v>19</v>
      </c>
      <c r="F959">
        <v>307.56</v>
      </c>
      <c r="G959">
        <v>5843.64</v>
      </c>
      <c r="H959">
        <v>0</v>
      </c>
      <c r="I959" t="s">
        <v>46</v>
      </c>
      <c r="J959" t="s">
        <v>244</v>
      </c>
      <c r="K959" t="s">
        <v>445</v>
      </c>
      <c r="L959" t="s">
        <v>31</v>
      </c>
    </row>
    <row r="960" spans="1:12" x14ac:dyDescent="0.3">
      <c r="A960" t="s">
        <v>2273</v>
      </c>
      <c r="B960" t="s">
        <v>368</v>
      </c>
      <c r="C960" t="s">
        <v>123</v>
      </c>
      <c r="D960" t="s">
        <v>15</v>
      </c>
      <c r="E960">
        <v>17</v>
      </c>
      <c r="F960">
        <v>49.43</v>
      </c>
      <c r="G960">
        <v>840.31</v>
      </c>
      <c r="H960">
        <v>0</v>
      </c>
      <c r="I960" t="s">
        <v>16</v>
      </c>
      <c r="J960" t="s">
        <v>111</v>
      </c>
      <c r="K960" t="s">
        <v>2274</v>
      </c>
      <c r="L960" t="s">
        <v>27</v>
      </c>
    </row>
    <row r="961" spans="1:12" x14ac:dyDescent="0.3">
      <c r="A961" t="s">
        <v>2275</v>
      </c>
      <c r="B961" t="s">
        <v>1159</v>
      </c>
      <c r="C961" t="s">
        <v>58</v>
      </c>
      <c r="D961" t="s">
        <v>35</v>
      </c>
      <c r="E961">
        <v>22</v>
      </c>
      <c r="F961">
        <v>336.63</v>
      </c>
      <c r="G961">
        <v>5924.69</v>
      </c>
      <c r="H961">
        <v>20</v>
      </c>
      <c r="I961" t="s">
        <v>46</v>
      </c>
      <c r="J961" t="s">
        <v>47</v>
      </c>
      <c r="K961" t="s">
        <v>923</v>
      </c>
      <c r="L961" t="s">
        <v>27</v>
      </c>
    </row>
    <row r="962" spans="1:12" x14ac:dyDescent="0.3">
      <c r="A962" t="s">
        <v>2276</v>
      </c>
      <c r="B962" t="s">
        <v>2277</v>
      </c>
      <c r="C962" t="s">
        <v>40</v>
      </c>
      <c r="D962" t="s">
        <v>23</v>
      </c>
      <c r="E962">
        <v>22</v>
      </c>
      <c r="F962">
        <v>49.42</v>
      </c>
      <c r="G962">
        <v>1087.24</v>
      </c>
      <c r="H962">
        <v>0</v>
      </c>
      <c r="I962" t="s">
        <v>24</v>
      </c>
      <c r="J962" t="s">
        <v>25</v>
      </c>
      <c r="K962" t="s">
        <v>1608</v>
      </c>
      <c r="L962" t="s">
        <v>49</v>
      </c>
    </row>
    <row r="963" spans="1:12" x14ac:dyDescent="0.3">
      <c r="A963" t="s">
        <v>2278</v>
      </c>
      <c r="B963" t="s">
        <v>2279</v>
      </c>
      <c r="C963" t="s">
        <v>45</v>
      </c>
      <c r="D963" t="s">
        <v>23</v>
      </c>
      <c r="E963">
        <v>12</v>
      </c>
      <c r="F963">
        <v>199.96</v>
      </c>
      <c r="G963">
        <v>2279.54</v>
      </c>
      <c r="H963">
        <v>5</v>
      </c>
      <c r="I963" t="s">
        <v>53</v>
      </c>
      <c r="J963" t="s">
        <v>134</v>
      </c>
      <c r="K963" t="s">
        <v>537</v>
      </c>
      <c r="L963" t="s">
        <v>49</v>
      </c>
    </row>
    <row r="964" spans="1:12" x14ac:dyDescent="0.3">
      <c r="A964" t="s">
        <v>2280</v>
      </c>
      <c r="B964" t="s">
        <v>2281</v>
      </c>
      <c r="C964" t="s">
        <v>82</v>
      </c>
      <c r="D964" t="s">
        <v>73</v>
      </c>
      <c r="E964">
        <v>40</v>
      </c>
      <c r="F964">
        <v>367.76</v>
      </c>
      <c r="G964">
        <v>14710.4</v>
      </c>
      <c r="H964">
        <v>0</v>
      </c>
      <c r="I964" t="s">
        <v>16</v>
      </c>
      <c r="J964" t="s">
        <v>17</v>
      </c>
      <c r="K964" t="s">
        <v>322</v>
      </c>
      <c r="L964" t="s">
        <v>69</v>
      </c>
    </row>
    <row r="965" spans="1:12" x14ac:dyDescent="0.3">
      <c r="A965" t="s">
        <v>2282</v>
      </c>
      <c r="B965" t="s">
        <v>400</v>
      </c>
      <c r="C965" t="s">
        <v>22</v>
      </c>
      <c r="D965" t="s">
        <v>23</v>
      </c>
      <c r="E965">
        <v>11</v>
      </c>
      <c r="F965">
        <v>27.31</v>
      </c>
      <c r="G965">
        <v>300.41000000000003</v>
      </c>
      <c r="H965">
        <v>0</v>
      </c>
      <c r="I965" t="s">
        <v>24</v>
      </c>
      <c r="J965" t="s">
        <v>36</v>
      </c>
      <c r="K965" t="s">
        <v>154</v>
      </c>
      <c r="L965" t="s">
        <v>27</v>
      </c>
    </row>
    <row r="966" spans="1:12" x14ac:dyDescent="0.3">
      <c r="A966" t="s">
        <v>2283</v>
      </c>
      <c r="B966" t="s">
        <v>1735</v>
      </c>
      <c r="C966" t="s">
        <v>45</v>
      </c>
      <c r="D966" t="s">
        <v>23</v>
      </c>
      <c r="E966">
        <v>33</v>
      </c>
      <c r="F966">
        <v>191.36</v>
      </c>
      <c r="G966">
        <v>5999.14</v>
      </c>
      <c r="H966">
        <v>5</v>
      </c>
      <c r="I966" t="s">
        <v>53</v>
      </c>
      <c r="J966" t="s">
        <v>170</v>
      </c>
      <c r="K966" t="s">
        <v>2284</v>
      </c>
      <c r="L966" t="s">
        <v>49</v>
      </c>
    </row>
    <row r="967" spans="1:12" x14ac:dyDescent="0.3">
      <c r="A967" t="s">
        <v>2285</v>
      </c>
      <c r="B967" t="s">
        <v>2127</v>
      </c>
      <c r="C967" t="s">
        <v>14</v>
      </c>
      <c r="D967" t="s">
        <v>15</v>
      </c>
      <c r="E967">
        <v>3</v>
      </c>
      <c r="F967">
        <v>54.83</v>
      </c>
      <c r="G967">
        <v>131.59</v>
      </c>
      <c r="H967">
        <v>20</v>
      </c>
      <c r="I967" t="s">
        <v>53</v>
      </c>
      <c r="J967" t="s">
        <v>170</v>
      </c>
      <c r="K967" t="s">
        <v>714</v>
      </c>
      <c r="L967" t="s">
        <v>49</v>
      </c>
    </row>
    <row r="968" spans="1:12" x14ac:dyDescent="0.3">
      <c r="A968" t="s">
        <v>2286</v>
      </c>
      <c r="B968" t="s">
        <v>2287</v>
      </c>
      <c r="C968" t="s">
        <v>34</v>
      </c>
      <c r="D968" t="s">
        <v>35</v>
      </c>
      <c r="E968">
        <v>42</v>
      </c>
      <c r="F968">
        <v>482.61</v>
      </c>
      <c r="G968">
        <v>18242.66</v>
      </c>
      <c r="H968">
        <v>10</v>
      </c>
      <c r="I968" t="s">
        <v>24</v>
      </c>
      <c r="J968" t="s">
        <v>59</v>
      </c>
      <c r="K968" t="s">
        <v>2288</v>
      </c>
      <c r="L968" t="s">
        <v>49</v>
      </c>
    </row>
    <row r="969" spans="1:12" x14ac:dyDescent="0.3">
      <c r="A969" t="s">
        <v>2289</v>
      </c>
      <c r="B969" t="s">
        <v>2290</v>
      </c>
      <c r="C969" t="s">
        <v>63</v>
      </c>
      <c r="D969" t="s">
        <v>15</v>
      </c>
      <c r="E969">
        <v>29</v>
      </c>
      <c r="F969">
        <v>72.930000000000007</v>
      </c>
      <c r="G969">
        <v>1691.98</v>
      </c>
      <c r="H969">
        <v>20</v>
      </c>
      <c r="I969" t="s">
        <v>53</v>
      </c>
      <c r="J969" t="s">
        <v>67</v>
      </c>
      <c r="K969" t="s">
        <v>2291</v>
      </c>
      <c r="L969" t="s">
        <v>49</v>
      </c>
    </row>
    <row r="970" spans="1:12" x14ac:dyDescent="0.3">
      <c r="A970" t="s">
        <v>2292</v>
      </c>
      <c r="B970" t="s">
        <v>1824</v>
      </c>
      <c r="C970" t="s">
        <v>45</v>
      </c>
      <c r="D970" t="s">
        <v>23</v>
      </c>
      <c r="E970">
        <v>33</v>
      </c>
      <c r="F970">
        <v>171.98</v>
      </c>
      <c r="G970">
        <v>5107.8100000000004</v>
      </c>
      <c r="H970">
        <v>10</v>
      </c>
      <c r="I970" t="s">
        <v>24</v>
      </c>
      <c r="J970" t="s">
        <v>104</v>
      </c>
      <c r="K970" t="s">
        <v>1226</v>
      </c>
      <c r="L970" t="s">
        <v>49</v>
      </c>
    </row>
    <row r="971" spans="1:12" x14ac:dyDescent="0.3">
      <c r="A971" t="s">
        <v>2293</v>
      </c>
      <c r="B971" t="s">
        <v>2294</v>
      </c>
      <c r="C971" t="s">
        <v>82</v>
      </c>
      <c r="D971" t="s">
        <v>73</v>
      </c>
      <c r="E971">
        <v>18</v>
      </c>
      <c r="F971">
        <v>462.39</v>
      </c>
      <c r="G971">
        <v>8323.02</v>
      </c>
      <c r="H971">
        <v>0</v>
      </c>
      <c r="I971" t="s">
        <v>16</v>
      </c>
      <c r="J971" t="s">
        <v>111</v>
      </c>
      <c r="K971" t="s">
        <v>1443</v>
      </c>
      <c r="L971" t="s">
        <v>31</v>
      </c>
    </row>
    <row r="972" spans="1:12" x14ac:dyDescent="0.3">
      <c r="A972" t="s">
        <v>2295</v>
      </c>
      <c r="B972" t="s">
        <v>2296</v>
      </c>
      <c r="C972" t="s">
        <v>34</v>
      </c>
      <c r="D972" t="s">
        <v>35</v>
      </c>
      <c r="E972">
        <v>19</v>
      </c>
      <c r="F972">
        <v>569.79</v>
      </c>
      <c r="G972">
        <v>9202.11</v>
      </c>
      <c r="H972">
        <v>15</v>
      </c>
      <c r="I972" t="s">
        <v>24</v>
      </c>
      <c r="J972" t="s">
        <v>36</v>
      </c>
      <c r="K972" t="s">
        <v>1853</v>
      </c>
      <c r="L972" t="s">
        <v>27</v>
      </c>
    </row>
    <row r="973" spans="1:12" x14ac:dyDescent="0.3">
      <c r="A973" t="s">
        <v>2297</v>
      </c>
      <c r="B973" t="s">
        <v>2298</v>
      </c>
      <c r="C973" t="s">
        <v>52</v>
      </c>
      <c r="D973" t="s">
        <v>35</v>
      </c>
      <c r="E973">
        <v>41</v>
      </c>
      <c r="F973">
        <v>119.25</v>
      </c>
      <c r="G973">
        <v>4889.25</v>
      </c>
      <c r="H973">
        <v>0</v>
      </c>
      <c r="I973" t="s">
        <v>53</v>
      </c>
      <c r="J973" t="s">
        <v>134</v>
      </c>
      <c r="K973" t="s">
        <v>2141</v>
      </c>
      <c r="L973" t="s">
        <v>49</v>
      </c>
    </row>
    <row r="974" spans="1:12" x14ac:dyDescent="0.3">
      <c r="A974" t="s">
        <v>2299</v>
      </c>
      <c r="B974" t="s">
        <v>225</v>
      </c>
      <c r="C974" t="s">
        <v>52</v>
      </c>
      <c r="D974" t="s">
        <v>35</v>
      </c>
      <c r="E974">
        <v>43</v>
      </c>
      <c r="F974">
        <v>384.24</v>
      </c>
      <c r="G974">
        <v>15696.2</v>
      </c>
      <c r="H974">
        <v>5</v>
      </c>
      <c r="I974" t="s">
        <v>53</v>
      </c>
      <c r="J974" t="s">
        <v>170</v>
      </c>
      <c r="K974" t="s">
        <v>860</v>
      </c>
      <c r="L974" t="s">
        <v>31</v>
      </c>
    </row>
    <row r="975" spans="1:12" x14ac:dyDescent="0.3">
      <c r="A975" t="s">
        <v>2300</v>
      </c>
      <c r="B975" t="s">
        <v>2301</v>
      </c>
      <c r="C975" t="s">
        <v>40</v>
      </c>
      <c r="D975" t="s">
        <v>23</v>
      </c>
      <c r="E975">
        <v>22</v>
      </c>
      <c r="F975">
        <v>35.44</v>
      </c>
      <c r="G975">
        <v>779.68</v>
      </c>
      <c r="H975">
        <v>0</v>
      </c>
      <c r="I975" t="s">
        <v>53</v>
      </c>
      <c r="J975" t="s">
        <v>54</v>
      </c>
      <c r="K975" t="s">
        <v>2302</v>
      </c>
      <c r="L975" t="s">
        <v>69</v>
      </c>
    </row>
    <row r="976" spans="1:12" x14ac:dyDescent="0.3">
      <c r="A976" t="s">
        <v>2303</v>
      </c>
      <c r="B976" t="s">
        <v>789</v>
      </c>
      <c r="C976" t="s">
        <v>40</v>
      </c>
      <c r="D976" t="s">
        <v>23</v>
      </c>
      <c r="E976">
        <v>25</v>
      </c>
      <c r="F976">
        <v>34.99</v>
      </c>
      <c r="G976">
        <v>831.01</v>
      </c>
      <c r="H976">
        <v>5</v>
      </c>
      <c r="I976" t="s">
        <v>53</v>
      </c>
      <c r="J976" t="s">
        <v>54</v>
      </c>
      <c r="K976" t="s">
        <v>1517</v>
      </c>
      <c r="L976" t="s">
        <v>69</v>
      </c>
    </row>
    <row r="977" spans="1:12" x14ac:dyDescent="0.3">
      <c r="A977" t="s">
        <v>2304</v>
      </c>
      <c r="B977" t="s">
        <v>991</v>
      </c>
      <c r="C977" t="s">
        <v>99</v>
      </c>
      <c r="D977" t="s">
        <v>23</v>
      </c>
      <c r="E977">
        <v>14</v>
      </c>
      <c r="F977">
        <v>18.760000000000002</v>
      </c>
      <c r="G977">
        <v>223.24</v>
      </c>
      <c r="H977">
        <v>15</v>
      </c>
      <c r="I977" t="s">
        <v>16</v>
      </c>
      <c r="J977" t="s">
        <v>74</v>
      </c>
      <c r="K977" t="s">
        <v>2305</v>
      </c>
      <c r="L977" t="s">
        <v>69</v>
      </c>
    </row>
    <row r="978" spans="1:12" x14ac:dyDescent="0.3">
      <c r="A978" t="s">
        <v>2306</v>
      </c>
      <c r="B978" t="s">
        <v>2307</v>
      </c>
      <c r="C978" t="s">
        <v>123</v>
      </c>
      <c r="D978" t="s">
        <v>15</v>
      </c>
      <c r="E978">
        <v>1</v>
      </c>
      <c r="F978">
        <v>29.21</v>
      </c>
      <c r="G978">
        <v>24.83</v>
      </c>
      <c r="H978">
        <v>15</v>
      </c>
      <c r="I978" t="s">
        <v>46</v>
      </c>
      <c r="J978" t="s">
        <v>83</v>
      </c>
      <c r="K978" t="s">
        <v>926</v>
      </c>
      <c r="L978" t="s">
        <v>69</v>
      </c>
    </row>
    <row r="979" spans="1:12" x14ac:dyDescent="0.3">
      <c r="A979" t="s">
        <v>2308</v>
      </c>
      <c r="B979" t="s">
        <v>2309</v>
      </c>
      <c r="C979" t="s">
        <v>82</v>
      </c>
      <c r="D979" t="s">
        <v>73</v>
      </c>
      <c r="E979">
        <v>31</v>
      </c>
      <c r="F979">
        <v>441.23</v>
      </c>
      <c r="G979">
        <v>12310.32</v>
      </c>
      <c r="H979">
        <v>10</v>
      </c>
      <c r="I979" t="s">
        <v>46</v>
      </c>
      <c r="J979" t="s">
        <v>244</v>
      </c>
      <c r="K979" t="s">
        <v>312</v>
      </c>
      <c r="L979" t="s">
        <v>69</v>
      </c>
    </row>
    <row r="980" spans="1:12" x14ac:dyDescent="0.3">
      <c r="A980" t="s">
        <v>2310</v>
      </c>
      <c r="B980" t="s">
        <v>2311</v>
      </c>
      <c r="C980" t="s">
        <v>63</v>
      </c>
      <c r="D980" t="s">
        <v>15</v>
      </c>
      <c r="E980">
        <v>39</v>
      </c>
      <c r="F980">
        <v>36.21</v>
      </c>
      <c r="G980">
        <v>1270.97</v>
      </c>
      <c r="H980">
        <v>10</v>
      </c>
      <c r="I980" t="s">
        <v>24</v>
      </c>
      <c r="J980" t="s">
        <v>41</v>
      </c>
      <c r="K980" t="s">
        <v>2302</v>
      </c>
      <c r="L980" t="s">
        <v>49</v>
      </c>
    </row>
    <row r="981" spans="1:12" x14ac:dyDescent="0.3">
      <c r="A981" t="s">
        <v>2312</v>
      </c>
      <c r="B981" t="s">
        <v>1915</v>
      </c>
      <c r="C981" t="s">
        <v>52</v>
      </c>
      <c r="D981" t="s">
        <v>35</v>
      </c>
      <c r="E981">
        <v>28</v>
      </c>
      <c r="F981">
        <v>135.91</v>
      </c>
      <c r="G981">
        <v>3615.21</v>
      </c>
      <c r="H981">
        <v>5</v>
      </c>
      <c r="I981" t="s">
        <v>46</v>
      </c>
      <c r="J981" t="s">
        <v>47</v>
      </c>
      <c r="K981" t="s">
        <v>593</v>
      </c>
      <c r="L981" t="s">
        <v>49</v>
      </c>
    </row>
    <row r="982" spans="1:12" x14ac:dyDescent="0.3">
      <c r="A982" t="s">
        <v>2313</v>
      </c>
      <c r="B982" t="s">
        <v>191</v>
      </c>
      <c r="C982" t="s">
        <v>45</v>
      </c>
      <c r="D982" t="s">
        <v>23</v>
      </c>
      <c r="E982">
        <v>45</v>
      </c>
      <c r="F982">
        <v>106.5</v>
      </c>
      <c r="G982">
        <v>4552.88</v>
      </c>
      <c r="H982">
        <v>5</v>
      </c>
      <c r="I982" t="s">
        <v>16</v>
      </c>
      <c r="J982" t="s">
        <v>160</v>
      </c>
      <c r="K982" t="s">
        <v>1123</v>
      </c>
      <c r="L982" t="s">
        <v>49</v>
      </c>
    </row>
    <row r="983" spans="1:12" x14ac:dyDescent="0.3">
      <c r="A983" t="s">
        <v>2314</v>
      </c>
      <c r="B983" t="s">
        <v>1936</v>
      </c>
      <c r="C983" t="s">
        <v>14</v>
      </c>
      <c r="D983" t="s">
        <v>15</v>
      </c>
      <c r="E983">
        <v>34</v>
      </c>
      <c r="F983">
        <v>50.69</v>
      </c>
      <c r="G983">
        <v>1723.46</v>
      </c>
      <c r="H983">
        <v>0</v>
      </c>
      <c r="I983" t="s">
        <v>24</v>
      </c>
      <c r="J983" t="s">
        <v>104</v>
      </c>
      <c r="K983" t="s">
        <v>340</v>
      </c>
      <c r="L983" t="s">
        <v>69</v>
      </c>
    </row>
    <row r="984" spans="1:12" x14ac:dyDescent="0.3">
      <c r="A984" t="s">
        <v>2315</v>
      </c>
      <c r="B984" t="s">
        <v>2316</v>
      </c>
      <c r="C984" t="s">
        <v>34</v>
      </c>
      <c r="D984" t="s">
        <v>35</v>
      </c>
      <c r="E984">
        <v>5</v>
      </c>
      <c r="F984">
        <v>508.66</v>
      </c>
      <c r="G984">
        <v>2161.81</v>
      </c>
      <c r="H984">
        <v>15</v>
      </c>
      <c r="I984" t="s">
        <v>46</v>
      </c>
      <c r="J984" t="s">
        <v>244</v>
      </c>
      <c r="K984" t="s">
        <v>2124</v>
      </c>
      <c r="L984" t="s">
        <v>31</v>
      </c>
    </row>
    <row r="985" spans="1:12" x14ac:dyDescent="0.3">
      <c r="A985" t="s">
        <v>2317</v>
      </c>
      <c r="B985" t="s">
        <v>2318</v>
      </c>
      <c r="C985" t="s">
        <v>22</v>
      </c>
      <c r="D985" t="s">
        <v>23</v>
      </c>
      <c r="E985">
        <v>1</v>
      </c>
      <c r="F985">
        <v>26.83</v>
      </c>
      <c r="G985">
        <v>26.83</v>
      </c>
      <c r="H985">
        <v>0</v>
      </c>
      <c r="I985" t="s">
        <v>53</v>
      </c>
      <c r="J985" t="s">
        <v>141</v>
      </c>
      <c r="K985" t="s">
        <v>2319</v>
      </c>
      <c r="L985" t="s">
        <v>69</v>
      </c>
    </row>
    <row r="986" spans="1:12" x14ac:dyDescent="0.3">
      <c r="A986" t="s">
        <v>2320</v>
      </c>
      <c r="B986" t="s">
        <v>1610</v>
      </c>
      <c r="C986" t="s">
        <v>40</v>
      </c>
      <c r="D986" t="s">
        <v>23</v>
      </c>
      <c r="E986">
        <v>44</v>
      </c>
      <c r="F986">
        <v>65.02</v>
      </c>
      <c r="G986">
        <v>2860.88</v>
      </c>
      <c r="H986">
        <v>0</v>
      </c>
      <c r="I986" t="s">
        <v>24</v>
      </c>
      <c r="J986" t="s">
        <v>41</v>
      </c>
      <c r="K986" t="s">
        <v>2284</v>
      </c>
      <c r="L986" t="s">
        <v>31</v>
      </c>
    </row>
    <row r="987" spans="1:12" x14ac:dyDescent="0.3">
      <c r="A987" t="s">
        <v>2321</v>
      </c>
      <c r="B987" t="s">
        <v>2322</v>
      </c>
      <c r="C987" t="s">
        <v>95</v>
      </c>
      <c r="D987" t="s">
        <v>35</v>
      </c>
      <c r="E987">
        <v>27</v>
      </c>
      <c r="F987">
        <v>820.61</v>
      </c>
      <c r="G987">
        <v>22156.47</v>
      </c>
      <c r="H987">
        <v>0</v>
      </c>
      <c r="I987" t="s">
        <v>46</v>
      </c>
      <c r="J987" t="s">
        <v>47</v>
      </c>
      <c r="K987" t="s">
        <v>2323</v>
      </c>
      <c r="L987" t="s">
        <v>69</v>
      </c>
    </row>
    <row r="988" spans="1:12" x14ac:dyDescent="0.3">
      <c r="A988" t="s">
        <v>2324</v>
      </c>
      <c r="B988" t="s">
        <v>865</v>
      </c>
      <c r="C988" t="s">
        <v>123</v>
      </c>
      <c r="D988" t="s">
        <v>15</v>
      </c>
      <c r="E988">
        <v>29</v>
      </c>
      <c r="F988">
        <v>27.82</v>
      </c>
      <c r="G988">
        <v>766.44</v>
      </c>
      <c r="H988">
        <v>5</v>
      </c>
      <c r="I988" t="s">
        <v>46</v>
      </c>
      <c r="J988" t="s">
        <v>124</v>
      </c>
      <c r="K988" t="s">
        <v>389</v>
      </c>
      <c r="L988" t="s">
        <v>69</v>
      </c>
    </row>
    <row r="989" spans="1:12" x14ac:dyDescent="0.3">
      <c r="A989" t="s">
        <v>2325</v>
      </c>
      <c r="B989" t="s">
        <v>29</v>
      </c>
      <c r="C989" t="s">
        <v>103</v>
      </c>
      <c r="D989" t="s">
        <v>35</v>
      </c>
      <c r="E989">
        <v>38</v>
      </c>
      <c r="F989">
        <v>291.64999999999998</v>
      </c>
      <c r="G989">
        <v>9974.43</v>
      </c>
      <c r="H989">
        <v>10</v>
      </c>
      <c r="I989" t="s">
        <v>53</v>
      </c>
      <c r="J989" t="s">
        <v>170</v>
      </c>
      <c r="K989" t="s">
        <v>1611</v>
      </c>
      <c r="L989" t="s">
        <v>27</v>
      </c>
    </row>
    <row r="990" spans="1:12" x14ac:dyDescent="0.3">
      <c r="A990" t="s">
        <v>2326</v>
      </c>
      <c r="B990" t="s">
        <v>2327</v>
      </c>
      <c r="C990" t="s">
        <v>72</v>
      </c>
      <c r="D990" t="s">
        <v>73</v>
      </c>
      <c r="E990">
        <v>15</v>
      </c>
      <c r="F990">
        <v>254.15</v>
      </c>
      <c r="G990">
        <v>3812.25</v>
      </c>
      <c r="H990">
        <v>0</v>
      </c>
      <c r="I990" t="s">
        <v>16</v>
      </c>
      <c r="J990" t="s">
        <v>160</v>
      </c>
      <c r="K990" t="s">
        <v>1260</v>
      </c>
      <c r="L990" t="s">
        <v>27</v>
      </c>
    </row>
    <row r="991" spans="1:12" x14ac:dyDescent="0.3">
      <c r="A991" t="s">
        <v>2328</v>
      </c>
      <c r="B991" t="s">
        <v>2329</v>
      </c>
      <c r="C991" t="s">
        <v>103</v>
      </c>
      <c r="D991" t="s">
        <v>35</v>
      </c>
      <c r="E991">
        <v>25</v>
      </c>
      <c r="F991">
        <v>504.96</v>
      </c>
      <c r="G991">
        <v>12624</v>
      </c>
      <c r="H991">
        <v>0</v>
      </c>
      <c r="I991" t="s">
        <v>24</v>
      </c>
      <c r="J991" t="s">
        <v>59</v>
      </c>
      <c r="K991" t="s">
        <v>526</v>
      </c>
      <c r="L991" t="s">
        <v>31</v>
      </c>
    </row>
    <row r="992" spans="1:12" x14ac:dyDescent="0.3">
      <c r="A992" t="s">
        <v>2330</v>
      </c>
      <c r="B992" t="s">
        <v>385</v>
      </c>
      <c r="C992" t="s">
        <v>52</v>
      </c>
      <c r="D992" t="s">
        <v>35</v>
      </c>
      <c r="E992">
        <v>29</v>
      </c>
      <c r="F992">
        <v>166.43</v>
      </c>
      <c r="G992">
        <v>4585.1499999999996</v>
      </c>
      <c r="H992">
        <v>5</v>
      </c>
      <c r="I992" t="s">
        <v>53</v>
      </c>
      <c r="J992" t="s">
        <v>67</v>
      </c>
      <c r="K992" t="s">
        <v>2331</v>
      </c>
      <c r="L992" t="s">
        <v>19</v>
      </c>
    </row>
    <row r="993" spans="1:12" x14ac:dyDescent="0.3">
      <c r="A993" t="s">
        <v>2332</v>
      </c>
      <c r="B993" t="s">
        <v>1759</v>
      </c>
      <c r="C993" t="s">
        <v>58</v>
      </c>
      <c r="D993" t="s">
        <v>35</v>
      </c>
      <c r="E993">
        <v>49</v>
      </c>
      <c r="F993">
        <v>492.54</v>
      </c>
      <c r="G993">
        <v>21721.01</v>
      </c>
      <c r="H993">
        <v>10</v>
      </c>
      <c r="I993" t="s">
        <v>46</v>
      </c>
      <c r="J993" t="s">
        <v>47</v>
      </c>
      <c r="K993" t="s">
        <v>1267</v>
      </c>
      <c r="L993" t="s">
        <v>49</v>
      </c>
    </row>
    <row r="994" spans="1:12" x14ac:dyDescent="0.3">
      <c r="A994" t="s">
        <v>2333</v>
      </c>
      <c r="B994" t="s">
        <v>2334</v>
      </c>
      <c r="C994" t="s">
        <v>34</v>
      </c>
      <c r="D994" t="s">
        <v>35</v>
      </c>
      <c r="E994">
        <v>15</v>
      </c>
      <c r="F994">
        <v>664.82</v>
      </c>
      <c r="G994">
        <v>8975.07</v>
      </c>
      <c r="H994">
        <v>10</v>
      </c>
      <c r="I994" t="s">
        <v>53</v>
      </c>
      <c r="J994" t="s">
        <v>170</v>
      </c>
      <c r="K994" t="s">
        <v>154</v>
      </c>
      <c r="L994" t="s">
        <v>19</v>
      </c>
    </row>
    <row r="995" spans="1:12" x14ac:dyDescent="0.3">
      <c r="A995" t="s">
        <v>2335</v>
      </c>
      <c r="B995" t="s">
        <v>625</v>
      </c>
      <c r="C995" t="s">
        <v>63</v>
      </c>
      <c r="D995" t="s">
        <v>15</v>
      </c>
      <c r="E995">
        <v>13</v>
      </c>
      <c r="F995">
        <v>53.27</v>
      </c>
      <c r="G995">
        <v>692.51</v>
      </c>
      <c r="H995">
        <v>0</v>
      </c>
      <c r="I995" t="s">
        <v>24</v>
      </c>
      <c r="J995" t="s">
        <v>104</v>
      </c>
      <c r="K995" t="s">
        <v>221</v>
      </c>
      <c r="L995" t="s">
        <v>49</v>
      </c>
    </row>
    <row r="996" spans="1:12" x14ac:dyDescent="0.3">
      <c r="A996" t="s">
        <v>2336</v>
      </c>
      <c r="B996" t="s">
        <v>212</v>
      </c>
      <c r="C996" t="s">
        <v>90</v>
      </c>
      <c r="D996" t="s">
        <v>23</v>
      </c>
      <c r="E996">
        <v>8</v>
      </c>
      <c r="F996">
        <v>35.86</v>
      </c>
      <c r="G996">
        <v>258.19</v>
      </c>
      <c r="H996">
        <v>10</v>
      </c>
      <c r="I996" t="s">
        <v>16</v>
      </c>
      <c r="J996" t="s">
        <v>111</v>
      </c>
      <c r="K996" t="s">
        <v>398</v>
      </c>
      <c r="L996" t="s">
        <v>31</v>
      </c>
    </row>
    <row r="997" spans="1:12" x14ac:dyDescent="0.3">
      <c r="A997" t="s">
        <v>2337</v>
      </c>
      <c r="B997" t="s">
        <v>1078</v>
      </c>
      <c r="C997" t="s">
        <v>22</v>
      </c>
      <c r="D997" t="s">
        <v>23</v>
      </c>
      <c r="E997">
        <v>10</v>
      </c>
      <c r="F997">
        <v>16.670000000000002</v>
      </c>
      <c r="G997">
        <v>166.7</v>
      </c>
      <c r="H997">
        <v>0</v>
      </c>
      <c r="I997" t="s">
        <v>53</v>
      </c>
      <c r="J997" t="s">
        <v>134</v>
      </c>
      <c r="K997" t="s">
        <v>2338</v>
      </c>
      <c r="L997" t="s">
        <v>49</v>
      </c>
    </row>
    <row r="998" spans="1:12" x14ac:dyDescent="0.3">
      <c r="A998" t="s">
        <v>2339</v>
      </c>
      <c r="B998" t="s">
        <v>2032</v>
      </c>
      <c r="C998" t="s">
        <v>14</v>
      </c>
      <c r="D998" t="s">
        <v>15</v>
      </c>
      <c r="E998">
        <v>10</v>
      </c>
      <c r="F998">
        <v>42.74</v>
      </c>
      <c r="G998">
        <v>341.92</v>
      </c>
      <c r="H998">
        <v>20</v>
      </c>
      <c r="I998" t="s">
        <v>24</v>
      </c>
      <c r="J998" t="s">
        <v>41</v>
      </c>
      <c r="K998" t="s">
        <v>2340</v>
      </c>
      <c r="L998" t="s">
        <v>19</v>
      </c>
    </row>
    <row r="999" spans="1:12" x14ac:dyDescent="0.3">
      <c r="A999" t="s">
        <v>2341</v>
      </c>
      <c r="B999" t="s">
        <v>1410</v>
      </c>
      <c r="C999" t="s">
        <v>45</v>
      </c>
      <c r="D999" t="s">
        <v>23</v>
      </c>
      <c r="E999">
        <v>31</v>
      </c>
      <c r="F999">
        <v>84.99</v>
      </c>
      <c r="G999">
        <v>2502.96</v>
      </c>
      <c r="H999">
        <v>5</v>
      </c>
      <c r="I999" t="s">
        <v>16</v>
      </c>
      <c r="J999" t="s">
        <v>74</v>
      </c>
      <c r="K999" t="s">
        <v>442</v>
      </c>
      <c r="L999" t="s">
        <v>27</v>
      </c>
    </row>
    <row r="1000" spans="1:12" x14ac:dyDescent="0.3">
      <c r="A1000" t="s">
        <v>2342</v>
      </c>
      <c r="B1000" t="s">
        <v>2343</v>
      </c>
      <c r="C1000" t="s">
        <v>90</v>
      </c>
      <c r="D1000" t="s">
        <v>23</v>
      </c>
      <c r="E1000">
        <v>39</v>
      </c>
      <c r="F1000">
        <v>17.22</v>
      </c>
      <c r="G1000">
        <v>638</v>
      </c>
      <c r="H1000">
        <v>5</v>
      </c>
      <c r="I1000" t="s">
        <v>16</v>
      </c>
      <c r="J1000" t="s">
        <v>111</v>
      </c>
      <c r="K1000" t="s">
        <v>2344</v>
      </c>
      <c r="L1000" t="s">
        <v>49</v>
      </c>
    </row>
    <row r="1001" spans="1:12" x14ac:dyDescent="0.3">
      <c r="A1001" t="s">
        <v>2345</v>
      </c>
      <c r="B1001" t="s">
        <v>2346</v>
      </c>
      <c r="C1001" t="s">
        <v>63</v>
      </c>
      <c r="D1001" t="s">
        <v>15</v>
      </c>
      <c r="E1001">
        <v>10</v>
      </c>
      <c r="F1001">
        <v>32.840000000000003</v>
      </c>
      <c r="G1001">
        <v>295.56</v>
      </c>
      <c r="H1001">
        <v>10</v>
      </c>
      <c r="I1001" t="s">
        <v>24</v>
      </c>
      <c r="J1001" t="s">
        <v>36</v>
      </c>
      <c r="K1001" t="s">
        <v>257</v>
      </c>
      <c r="L1001" t="s">
        <v>31</v>
      </c>
    </row>
  </sheetData>
  <pageMargins left="0.7" right="0.7" top="0.75" bottom="0.75" header="0.3" footer="0.3"/>
  <ignoredErrors>
    <ignoredError sqref="A1:L100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60256-7544-425C-B66C-9188A69DBFD3}">
  <dimension ref="A1:Q1001"/>
  <sheetViews>
    <sheetView workbookViewId="0">
      <selection activeCell="P8" sqref="P8"/>
    </sheetView>
  </sheetViews>
  <sheetFormatPr defaultRowHeight="15.6" x14ac:dyDescent="0.3"/>
  <cols>
    <col min="1" max="1" width="10.5" style="6" bestFit="1" customWidth="1"/>
    <col min="2" max="2" width="11.09765625" bestFit="1" customWidth="1"/>
    <col min="3" max="3" width="20.5" bestFit="1" customWidth="1"/>
    <col min="4" max="4" width="13.8984375" bestFit="1" customWidth="1"/>
    <col min="5" max="5" width="10.3984375" bestFit="1" customWidth="1"/>
    <col min="7" max="7" width="9.3984375" bestFit="1" customWidth="1"/>
    <col min="8" max="8" width="12.5" bestFit="1" customWidth="1"/>
    <col min="9" max="9" width="11.296875" bestFit="1" customWidth="1"/>
    <col min="12" max="13" width="15.5" bestFit="1" customWidth="1"/>
    <col min="14" max="14" width="10.3984375" bestFit="1" customWidth="1"/>
    <col min="15" max="15" width="15.5" bestFit="1" customWidth="1"/>
    <col min="16" max="16" width="37.796875" bestFit="1" customWidth="1"/>
    <col min="17" max="17" width="10.3984375" bestFit="1" customWidth="1"/>
  </cols>
  <sheetData>
    <row r="1" spans="1:17" x14ac:dyDescent="0.3">
      <c r="A1" s="4" t="s">
        <v>10</v>
      </c>
      <c r="B1" s="3" t="s">
        <v>0</v>
      </c>
      <c r="C1" s="3" t="s">
        <v>1</v>
      </c>
      <c r="D1" s="3" t="s">
        <v>2</v>
      </c>
      <c r="E1" s="3" t="s">
        <v>3</v>
      </c>
      <c r="F1" s="3" t="s">
        <v>4</v>
      </c>
      <c r="G1" s="3" t="s">
        <v>5</v>
      </c>
      <c r="H1" s="3" t="s">
        <v>6</v>
      </c>
      <c r="I1" s="3" t="s">
        <v>7</v>
      </c>
      <c r="J1" s="3" t="s">
        <v>8</v>
      </c>
      <c r="K1" s="3" t="s">
        <v>9</v>
      </c>
      <c r="L1" s="3" t="s">
        <v>11</v>
      </c>
      <c r="M1" s="10" t="s">
        <v>2353</v>
      </c>
      <c r="N1" s="10" t="s">
        <v>2354</v>
      </c>
      <c r="O1" s="10" t="s">
        <v>2363</v>
      </c>
    </row>
    <row r="2" spans="1:17" x14ac:dyDescent="0.3">
      <c r="A2" s="5">
        <v>45682</v>
      </c>
      <c r="B2" s="2" t="s">
        <v>12</v>
      </c>
      <c r="C2" s="2" t="s">
        <v>13</v>
      </c>
      <c r="D2" s="2" t="s">
        <v>14</v>
      </c>
      <c r="E2" s="2" t="s">
        <v>15</v>
      </c>
      <c r="F2" s="2">
        <v>31</v>
      </c>
      <c r="G2" s="7">
        <v>118.96</v>
      </c>
      <c r="H2" s="7">
        <v>2950.21</v>
      </c>
      <c r="I2" s="2">
        <v>20</v>
      </c>
      <c r="J2" s="2" t="s">
        <v>16</v>
      </c>
      <c r="K2" s="2" t="s">
        <v>17</v>
      </c>
      <c r="L2" s="1" t="s">
        <v>2347</v>
      </c>
      <c r="M2" s="1" t="str">
        <f>TRIM(L2)</f>
        <v>Online Payment</v>
      </c>
      <c r="N2" s="2" t="str">
        <f>PROPER(E2)</f>
        <v>Peripherals</v>
      </c>
      <c r="O2" s="1" t="str">
        <f>IF(F2&gt;15,"High Stock","Low Stock")</f>
        <v>High Stock</v>
      </c>
      <c r="P2" s="9" t="s">
        <v>2348</v>
      </c>
      <c r="Q2" s="8">
        <f>SUM(H2:H1001)</f>
        <v>6164336.320000004</v>
      </c>
    </row>
    <row r="3" spans="1:17" x14ac:dyDescent="0.3">
      <c r="A3" s="5">
        <v>45926</v>
      </c>
      <c r="B3" s="2" t="s">
        <v>20</v>
      </c>
      <c r="C3" s="2" t="s">
        <v>21</v>
      </c>
      <c r="D3" s="2" t="s">
        <v>22</v>
      </c>
      <c r="E3" s="2" t="s">
        <v>23</v>
      </c>
      <c r="F3" s="2">
        <v>42</v>
      </c>
      <c r="G3" s="7">
        <v>31.59</v>
      </c>
      <c r="H3" s="7">
        <v>1194.0999999999999</v>
      </c>
      <c r="I3" s="2">
        <v>10</v>
      </c>
      <c r="J3" s="2" t="s">
        <v>24</v>
      </c>
      <c r="K3" s="2" t="s">
        <v>25</v>
      </c>
      <c r="L3" s="2" t="s">
        <v>27</v>
      </c>
      <c r="M3" s="2" t="str">
        <f t="shared" ref="M3:M66" si="0">TRIM(L3)</f>
        <v>Cash</v>
      </c>
      <c r="N3" s="2" t="str">
        <f t="shared" ref="N3:N66" si="1">PROPER(E3)</f>
        <v>Accessories</v>
      </c>
      <c r="O3" s="2" t="str">
        <f t="shared" ref="O3:O66" si="2">IF(F3&gt;15,"High Stock","Low Stock")</f>
        <v>High Stock</v>
      </c>
      <c r="P3" s="9" t="s">
        <v>2349</v>
      </c>
      <c r="Q3">
        <f>AVERAGE(F2:F1001)</f>
        <v>25.581</v>
      </c>
    </row>
    <row r="4" spans="1:17" x14ac:dyDescent="0.3">
      <c r="A4" s="5">
        <v>46285</v>
      </c>
      <c r="B4" s="2" t="s">
        <v>28</v>
      </c>
      <c r="C4" s="2" t="s">
        <v>29</v>
      </c>
      <c r="D4" s="2" t="s">
        <v>22</v>
      </c>
      <c r="E4" s="2" t="s">
        <v>23</v>
      </c>
      <c r="F4" s="2">
        <v>26</v>
      </c>
      <c r="G4" s="7">
        <v>38.75</v>
      </c>
      <c r="H4" s="7">
        <v>906.75</v>
      </c>
      <c r="I4" s="2">
        <v>10</v>
      </c>
      <c r="J4" s="2" t="s">
        <v>24</v>
      </c>
      <c r="K4" s="2" t="s">
        <v>25</v>
      </c>
      <c r="L4" s="2" t="s">
        <v>31</v>
      </c>
      <c r="M4" s="2" t="str">
        <f t="shared" si="0"/>
        <v>Credit Card</v>
      </c>
      <c r="N4" s="2" t="str">
        <f t="shared" si="1"/>
        <v>Accessories</v>
      </c>
      <c r="O4" s="2" t="str">
        <f t="shared" si="2"/>
        <v>High Stock</v>
      </c>
      <c r="P4" s="9" t="s">
        <v>2350</v>
      </c>
      <c r="Q4">
        <f>AVERAGE(I2:I1001)</f>
        <v>6.6749999999999998</v>
      </c>
    </row>
    <row r="5" spans="1:17" x14ac:dyDescent="0.3">
      <c r="A5" s="5">
        <v>46263</v>
      </c>
      <c r="B5" s="2" t="s">
        <v>32</v>
      </c>
      <c r="C5" s="2" t="s">
        <v>33</v>
      </c>
      <c r="D5" s="2" t="s">
        <v>34</v>
      </c>
      <c r="E5" s="2" t="s">
        <v>35</v>
      </c>
      <c r="F5" s="2">
        <v>44</v>
      </c>
      <c r="G5" s="7">
        <v>430.93</v>
      </c>
      <c r="H5" s="7">
        <v>18012.87</v>
      </c>
      <c r="I5" s="2">
        <v>5</v>
      </c>
      <c r="J5" s="2" t="s">
        <v>24</v>
      </c>
      <c r="K5" s="2" t="s">
        <v>36</v>
      </c>
      <c r="L5" s="2" t="s">
        <v>27</v>
      </c>
      <c r="M5" s="2" t="str">
        <f t="shared" si="0"/>
        <v>Cash</v>
      </c>
      <c r="N5" s="2" t="str">
        <f t="shared" si="1"/>
        <v>Electronics</v>
      </c>
      <c r="O5" s="2" t="str">
        <f t="shared" si="2"/>
        <v>High Stock</v>
      </c>
      <c r="P5" s="9" t="s">
        <v>2351</v>
      </c>
      <c r="Q5">
        <f>COUNTIFS(E2:E1001,"Electronics",D2:D1001,"Smartphone")</f>
        <v>60</v>
      </c>
    </row>
    <row r="6" spans="1:17" x14ac:dyDescent="0.3">
      <c r="A6" s="5">
        <v>46082</v>
      </c>
      <c r="B6" s="2" t="s">
        <v>38</v>
      </c>
      <c r="C6" s="2" t="s">
        <v>39</v>
      </c>
      <c r="D6" s="2" t="s">
        <v>40</v>
      </c>
      <c r="E6" s="2" t="s">
        <v>23</v>
      </c>
      <c r="F6" s="2">
        <v>10</v>
      </c>
      <c r="G6" s="7">
        <v>66</v>
      </c>
      <c r="H6" s="7">
        <v>627</v>
      </c>
      <c r="I6" s="2">
        <v>5</v>
      </c>
      <c r="J6" s="2" t="s">
        <v>24</v>
      </c>
      <c r="K6" s="2" t="s">
        <v>41</v>
      </c>
      <c r="L6" s="2" t="s">
        <v>31</v>
      </c>
      <c r="M6" s="2" t="str">
        <f t="shared" si="0"/>
        <v>Credit Card</v>
      </c>
      <c r="N6" s="2" t="str">
        <f t="shared" si="1"/>
        <v>Accessories</v>
      </c>
      <c r="O6" s="2" t="str">
        <f t="shared" si="2"/>
        <v>Low Stock</v>
      </c>
      <c r="P6" s="20" t="s">
        <v>2352</v>
      </c>
      <c r="Q6">
        <f>MODE(G2:G1001)</f>
        <v>38.75</v>
      </c>
    </row>
    <row r="7" spans="1:17" x14ac:dyDescent="0.3">
      <c r="A7" s="5">
        <v>45588</v>
      </c>
      <c r="B7" s="2" t="s">
        <v>43</v>
      </c>
      <c r="C7" s="2" t="s">
        <v>44</v>
      </c>
      <c r="D7" s="2" t="s">
        <v>45</v>
      </c>
      <c r="E7" s="2" t="s">
        <v>23</v>
      </c>
      <c r="F7" s="2">
        <v>16</v>
      </c>
      <c r="G7" s="7">
        <v>138.99</v>
      </c>
      <c r="H7" s="7">
        <v>2223.84</v>
      </c>
      <c r="I7" s="2">
        <v>0</v>
      </c>
      <c r="J7" s="2" t="s">
        <v>46</v>
      </c>
      <c r="K7" s="2" t="s">
        <v>47</v>
      </c>
      <c r="L7" s="2" t="s">
        <v>49</v>
      </c>
      <c r="M7" s="2" t="str">
        <f t="shared" si="0"/>
        <v>Check</v>
      </c>
      <c r="N7" s="2" t="str">
        <f t="shared" si="1"/>
        <v>Accessories</v>
      </c>
      <c r="O7" s="2" t="str">
        <f t="shared" si="2"/>
        <v>High Stock</v>
      </c>
    </row>
    <row r="8" spans="1:17" x14ac:dyDescent="0.3">
      <c r="A8" s="5">
        <v>45879</v>
      </c>
      <c r="B8" s="2" t="s">
        <v>50</v>
      </c>
      <c r="C8" s="2" t="s">
        <v>51</v>
      </c>
      <c r="D8" s="2" t="s">
        <v>52</v>
      </c>
      <c r="E8" s="2" t="s">
        <v>35</v>
      </c>
      <c r="F8" s="2">
        <v>8</v>
      </c>
      <c r="G8" s="7">
        <v>127.72</v>
      </c>
      <c r="H8" s="7">
        <v>919.58</v>
      </c>
      <c r="I8" s="2">
        <v>10</v>
      </c>
      <c r="J8" s="2" t="s">
        <v>53</v>
      </c>
      <c r="K8" s="2" t="s">
        <v>54</v>
      </c>
      <c r="L8" s="2" t="s">
        <v>49</v>
      </c>
      <c r="M8" s="2" t="str">
        <f t="shared" si="0"/>
        <v>Check</v>
      </c>
      <c r="N8" s="2" t="str">
        <f t="shared" si="1"/>
        <v>Electronics</v>
      </c>
      <c r="O8" s="2" t="str">
        <f t="shared" si="2"/>
        <v>Low Stock</v>
      </c>
    </row>
    <row r="9" spans="1:17" x14ac:dyDescent="0.3">
      <c r="A9" s="5">
        <v>45940</v>
      </c>
      <c r="B9" s="2" t="s">
        <v>56</v>
      </c>
      <c r="C9" s="2" t="s">
        <v>57</v>
      </c>
      <c r="D9" s="1" t="s">
        <v>95</v>
      </c>
      <c r="E9" s="2" t="s">
        <v>35</v>
      </c>
      <c r="F9" s="2">
        <v>40</v>
      </c>
      <c r="G9" s="7">
        <v>433.18</v>
      </c>
      <c r="H9" s="7">
        <v>16460.84</v>
      </c>
      <c r="I9" s="2">
        <v>5</v>
      </c>
      <c r="J9" s="2" t="s">
        <v>24</v>
      </c>
      <c r="K9" s="2" t="s">
        <v>59</v>
      </c>
      <c r="L9" s="1" t="s">
        <v>2347</v>
      </c>
      <c r="M9" s="1" t="str">
        <f t="shared" si="0"/>
        <v>Online Payment</v>
      </c>
      <c r="N9" s="2" t="str">
        <f t="shared" si="1"/>
        <v>Electronics</v>
      </c>
      <c r="O9" s="1" t="str">
        <f t="shared" si="2"/>
        <v>High Stock</v>
      </c>
    </row>
    <row r="10" spans="1:17" x14ac:dyDescent="0.3">
      <c r="A10" s="5">
        <v>45680</v>
      </c>
      <c r="B10" s="2" t="s">
        <v>61</v>
      </c>
      <c r="C10" s="2" t="s">
        <v>62</v>
      </c>
      <c r="D10" s="2" t="s">
        <v>63</v>
      </c>
      <c r="E10" s="2" t="s">
        <v>15</v>
      </c>
      <c r="F10" s="2">
        <v>11</v>
      </c>
      <c r="G10" s="7">
        <v>54.47</v>
      </c>
      <c r="H10" s="7">
        <v>569.21</v>
      </c>
      <c r="I10" s="2">
        <v>5</v>
      </c>
      <c r="J10" s="2" t="s">
        <v>24</v>
      </c>
      <c r="K10" s="2" t="s">
        <v>59</v>
      </c>
      <c r="L10" s="2" t="s">
        <v>27</v>
      </c>
      <c r="M10" s="2" t="str">
        <f t="shared" si="0"/>
        <v>Cash</v>
      </c>
      <c r="N10" s="2" t="str">
        <f t="shared" si="1"/>
        <v>Peripherals</v>
      </c>
      <c r="O10" s="2" t="str">
        <f t="shared" si="2"/>
        <v>Low Stock</v>
      </c>
    </row>
    <row r="11" spans="1:17" x14ac:dyDescent="0.3">
      <c r="A11" s="5">
        <v>45963</v>
      </c>
      <c r="B11" s="2" t="s">
        <v>65</v>
      </c>
      <c r="C11" s="2" t="s">
        <v>66</v>
      </c>
      <c r="D11" s="2" t="s">
        <v>52</v>
      </c>
      <c r="E11" s="2" t="s">
        <v>35</v>
      </c>
      <c r="F11" s="2">
        <v>22</v>
      </c>
      <c r="G11" s="7">
        <v>160.16999999999999</v>
      </c>
      <c r="H11" s="7">
        <v>2995.18</v>
      </c>
      <c r="I11" s="2">
        <v>15</v>
      </c>
      <c r="J11" s="2" t="s">
        <v>53</v>
      </c>
      <c r="K11" s="2" t="s">
        <v>67</v>
      </c>
      <c r="L11" s="2" t="s">
        <v>69</v>
      </c>
      <c r="M11" s="2" t="str">
        <f t="shared" si="0"/>
        <v>Debit Card</v>
      </c>
      <c r="N11" s="2" t="str">
        <f t="shared" si="1"/>
        <v>Electronics</v>
      </c>
      <c r="O11" s="2" t="str">
        <f t="shared" si="2"/>
        <v>High Stock</v>
      </c>
    </row>
    <row r="12" spans="1:17" x14ac:dyDescent="0.3">
      <c r="A12" s="5">
        <v>46194</v>
      </c>
      <c r="B12" s="2" t="s">
        <v>70</v>
      </c>
      <c r="C12" s="2" t="s">
        <v>71</v>
      </c>
      <c r="D12" s="2" t="s">
        <v>72</v>
      </c>
      <c r="E12" s="2" t="s">
        <v>73</v>
      </c>
      <c r="F12" s="2">
        <v>4</v>
      </c>
      <c r="G12" s="7">
        <v>327.74</v>
      </c>
      <c r="H12" s="7">
        <v>1179.8599999999999</v>
      </c>
      <c r="I12" s="2">
        <v>10</v>
      </c>
      <c r="J12" s="2" t="s">
        <v>16</v>
      </c>
      <c r="K12" s="2" t="s">
        <v>74</v>
      </c>
      <c r="L12" s="2" t="s">
        <v>49</v>
      </c>
      <c r="M12" s="2" t="str">
        <f t="shared" si="0"/>
        <v>Check</v>
      </c>
      <c r="N12" s="2" t="str">
        <f t="shared" si="1"/>
        <v>Furniture</v>
      </c>
      <c r="O12" s="2" t="str">
        <f t="shared" si="2"/>
        <v>Low Stock</v>
      </c>
    </row>
    <row r="13" spans="1:17" x14ac:dyDescent="0.3">
      <c r="A13" s="5">
        <v>45782</v>
      </c>
      <c r="B13" s="2" t="s">
        <v>76</v>
      </c>
      <c r="C13" s="2" t="s">
        <v>77</v>
      </c>
      <c r="D13" s="2" t="s">
        <v>63</v>
      </c>
      <c r="E13" s="2" t="s">
        <v>15</v>
      </c>
      <c r="F13" s="2">
        <v>28</v>
      </c>
      <c r="G13" s="7">
        <v>67.16</v>
      </c>
      <c r="H13" s="7">
        <v>1786.46</v>
      </c>
      <c r="I13" s="2">
        <v>5</v>
      </c>
      <c r="J13" s="2" t="s">
        <v>46</v>
      </c>
      <c r="K13" s="2" t="s">
        <v>78</v>
      </c>
      <c r="L13" s="2" t="s">
        <v>27</v>
      </c>
      <c r="M13" s="2" t="str">
        <f t="shared" si="0"/>
        <v>Cash</v>
      </c>
      <c r="N13" s="2" t="str">
        <f t="shared" si="1"/>
        <v>Peripherals</v>
      </c>
      <c r="O13" s="2" t="str">
        <f t="shared" si="2"/>
        <v>High Stock</v>
      </c>
    </row>
    <row r="14" spans="1:17" x14ac:dyDescent="0.3">
      <c r="A14" s="5">
        <v>45819</v>
      </c>
      <c r="B14" s="2" t="s">
        <v>80</v>
      </c>
      <c r="C14" s="2" t="s">
        <v>81</v>
      </c>
      <c r="D14" s="2" t="s">
        <v>82</v>
      </c>
      <c r="E14" s="2" t="s">
        <v>73</v>
      </c>
      <c r="F14" s="2">
        <v>14</v>
      </c>
      <c r="G14" s="7">
        <v>546.63</v>
      </c>
      <c r="H14" s="7">
        <v>7652.82</v>
      </c>
      <c r="I14" s="2">
        <v>0</v>
      </c>
      <c r="J14" s="2" t="s">
        <v>46</v>
      </c>
      <c r="K14" s="2" t="s">
        <v>83</v>
      </c>
      <c r="L14" s="2" t="s">
        <v>69</v>
      </c>
      <c r="M14" s="2" t="str">
        <f t="shared" si="0"/>
        <v>Debit Card</v>
      </c>
      <c r="N14" s="2" t="str">
        <f t="shared" si="1"/>
        <v>Furniture</v>
      </c>
      <c r="O14" s="2" t="str">
        <f t="shared" si="2"/>
        <v>Low Stock</v>
      </c>
    </row>
    <row r="15" spans="1:17" x14ac:dyDescent="0.3">
      <c r="A15" s="5">
        <v>45858</v>
      </c>
      <c r="B15" s="2" t="s">
        <v>85</v>
      </c>
      <c r="C15" s="2" t="s">
        <v>86</v>
      </c>
      <c r="D15" s="2" t="s">
        <v>52</v>
      </c>
      <c r="E15" s="2" t="s">
        <v>35</v>
      </c>
      <c r="F15" s="2">
        <v>21</v>
      </c>
      <c r="G15" s="7">
        <v>110.99</v>
      </c>
      <c r="H15" s="7">
        <v>2330.79</v>
      </c>
      <c r="I15" s="2">
        <v>0</v>
      </c>
      <c r="J15" s="2" t="s">
        <v>24</v>
      </c>
      <c r="K15" s="2" t="s">
        <v>25</v>
      </c>
      <c r="L15" s="2" t="s">
        <v>49</v>
      </c>
      <c r="M15" s="2" t="str">
        <f t="shared" si="0"/>
        <v>Check</v>
      </c>
      <c r="N15" s="2" t="str">
        <f t="shared" si="1"/>
        <v>Electronics</v>
      </c>
      <c r="O15" s="2" t="str">
        <f t="shared" si="2"/>
        <v>High Stock</v>
      </c>
    </row>
    <row r="16" spans="1:17" x14ac:dyDescent="0.3">
      <c r="A16" s="5">
        <v>45826</v>
      </c>
      <c r="B16" s="2" t="s">
        <v>88</v>
      </c>
      <c r="C16" s="2" t="s">
        <v>89</v>
      </c>
      <c r="D16" s="2" t="s">
        <v>90</v>
      </c>
      <c r="E16" s="2" t="s">
        <v>23</v>
      </c>
      <c r="F16" s="2">
        <v>10</v>
      </c>
      <c r="G16" s="7">
        <v>15.82</v>
      </c>
      <c r="H16" s="7">
        <v>134.47</v>
      </c>
      <c r="I16" s="2">
        <v>15</v>
      </c>
      <c r="J16" s="2" t="s">
        <v>16</v>
      </c>
      <c r="K16" s="2" t="s">
        <v>91</v>
      </c>
      <c r="L16" s="2" t="s">
        <v>27</v>
      </c>
      <c r="M16" s="2" t="str">
        <f t="shared" si="0"/>
        <v>Cash</v>
      </c>
      <c r="N16" s="2" t="str">
        <f t="shared" si="1"/>
        <v>Accessories</v>
      </c>
      <c r="O16" s="2" t="str">
        <f t="shared" si="2"/>
        <v>Low Stock</v>
      </c>
    </row>
    <row r="17" spans="1:15" x14ac:dyDescent="0.3">
      <c r="A17" s="5">
        <v>45715</v>
      </c>
      <c r="B17" s="2" t="s">
        <v>93</v>
      </c>
      <c r="C17" s="2" t="s">
        <v>94</v>
      </c>
      <c r="D17" s="1" t="s">
        <v>95</v>
      </c>
      <c r="E17" s="2" t="s">
        <v>35</v>
      </c>
      <c r="F17" s="2">
        <v>27</v>
      </c>
      <c r="G17" s="7">
        <v>981.57</v>
      </c>
      <c r="H17" s="7">
        <v>26502.39</v>
      </c>
      <c r="I17" s="2">
        <v>0</v>
      </c>
      <c r="J17" s="2" t="s">
        <v>46</v>
      </c>
      <c r="K17" s="2" t="s">
        <v>78</v>
      </c>
      <c r="L17" s="2" t="s">
        <v>49</v>
      </c>
      <c r="M17" s="2" t="str">
        <f t="shared" si="0"/>
        <v>Check</v>
      </c>
      <c r="N17" s="2" t="str">
        <f t="shared" si="1"/>
        <v>Electronics</v>
      </c>
      <c r="O17" s="2" t="str">
        <f t="shared" si="2"/>
        <v>High Stock</v>
      </c>
    </row>
    <row r="18" spans="1:15" x14ac:dyDescent="0.3">
      <c r="A18" s="5">
        <v>45607</v>
      </c>
      <c r="B18" s="2" t="s">
        <v>97</v>
      </c>
      <c r="C18" s="2" t="s">
        <v>98</v>
      </c>
      <c r="D18" s="2" t="s">
        <v>99</v>
      </c>
      <c r="E18" s="2" t="s">
        <v>23</v>
      </c>
      <c r="F18" s="2">
        <v>30</v>
      </c>
      <c r="G18" s="7">
        <v>29.95</v>
      </c>
      <c r="H18" s="7">
        <v>853.58</v>
      </c>
      <c r="I18" s="2">
        <v>5</v>
      </c>
      <c r="J18" s="2" t="s">
        <v>46</v>
      </c>
      <c r="K18" s="2" t="s">
        <v>78</v>
      </c>
      <c r="L18" s="2" t="s">
        <v>27</v>
      </c>
      <c r="M18" s="2" t="str">
        <f t="shared" si="0"/>
        <v>Cash</v>
      </c>
      <c r="N18" s="2" t="str">
        <f t="shared" si="1"/>
        <v>Accessories</v>
      </c>
      <c r="O18" s="2" t="str">
        <f t="shared" si="2"/>
        <v>High Stock</v>
      </c>
    </row>
    <row r="19" spans="1:15" x14ac:dyDescent="0.3">
      <c r="A19" s="5">
        <v>45780</v>
      </c>
      <c r="B19" s="2" t="s">
        <v>101</v>
      </c>
      <c r="C19" s="2" t="s">
        <v>102</v>
      </c>
      <c r="D19" s="2" t="s">
        <v>103</v>
      </c>
      <c r="E19" s="2" t="s">
        <v>35</v>
      </c>
      <c r="F19" s="2">
        <v>18</v>
      </c>
      <c r="G19" s="7">
        <v>388.68</v>
      </c>
      <c r="H19" s="7">
        <v>6646.43</v>
      </c>
      <c r="I19" s="2">
        <v>5</v>
      </c>
      <c r="J19" s="2" t="s">
        <v>24</v>
      </c>
      <c r="K19" s="2" t="s">
        <v>104</v>
      </c>
      <c r="L19" s="2" t="s">
        <v>27</v>
      </c>
      <c r="M19" s="2" t="str">
        <f t="shared" si="0"/>
        <v>Cash</v>
      </c>
      <c r="N19" s="2" t="str">
        <f t="shared" si="1"/>
        <v>Electronics</v>
      </c>
      <c r="O19" s="2" t="str">
        <f t="shared" si="2"/>
        <v>High Stock</v>
      </c>
    </row>
    <row r="20" spans="1:15" x14ac:dyDescent="0.3">
      <c r="A20" s="5">
        <v>45962</v>
      </c>
      <c r="B20" s="2" t="s">
        <v>106</v>
      </c>
      <c r="C20" s="2" t="s">
        <v>107</v>
      </c>
      <c r="D20" s="2" t="s">
        <v>103</v>
      </c>
      <c r="E20" s="2" t="s">
        <v>35</v>
      </c>
      <c r="F20" s="2">
        <v>32</v>
      </c>
      <c r="G20" s="7">
        <v>385.06</v>
      </c>
      <c r="H20" s="7">
        <v>11705.82</v>
      </c>
      <c r="I20" s="2">
        <v>5</v>
      </c>
      <c r="J20" s="2" t="s">
        <v>53</v>
      </c>
      <c r="K20" s="2" t="s">
        <v>67</v>
      </c>
      <c r="L20" s="2" t="s">
        <v>31</v>
      </c>
      <c r="M20" s="2" t="str">
        <f t="shared" si="0"/>
        <v>Credit Card</v>
      </c>
      <c r="N20" s="2" t="str">
        <f t="shared" si="1"/>
        <v>Electronics</v>
      </c>
      <c r="O20" s="2" t="str">
        <f t="shared" si="2"/>
        <v>High Stock</v>
      </c>
    </row>
    <row r="21" spans="1:15" x14ac:dyDescent="0.3">
      <c r="A21" s="5">
        <v>45720</v>
      </c>
      <c r="B21" s="2" t="s">
        <v>109</v>
      </c>
      <c r="C21" s="2" t="s">
        <v>110</v>
      </c>
      <c r="D21" s="2" t="s">
        <v>52</v>
      </c>
      <c r="E21" s="2" t="s">
        <v>35</v>
      </c>
      <c r="F21" s="2">
        <v>20</v>
      </c>
      <c r="G21" s="7">
        <v>238.17</v>
      </c>
      <c r="H21" s="7">
        <v>4763.3999999999996</v>
      </c>
      <c r="I21" s="2">
        <v>0</v>
      </c>
      <c r="J21" s="2" t="s">
        <v>16</v>
      </c>
      <c r="K21" s="2" t="s">
        <v>111</v>
      </c>
      <c r="L21" s="2" t="s">
        <v>69</v>
      </c>
      <c r="M21" s="2" t="str">
        <f t="shared" si="0"/>
        <v>Debit Card</v>
      </c>
      <c r="N21" s="2" t="str">
        <f t="shared" si="1"/>
        <v>Electronics</v>
      </c>
      <c r="O21" s="2" t="str">
        <f t="shared" si="2"/>
        <v>High Stock</v>
      </c>
    </row>
    <row r="22" spans="1:15" x14ac:dyDescent="0.3">
      <c r="A22" s="5">
        <v>46012</v>
      </c>
      <c r="B22" s="2" t="s">
        <v>113</v>
      </c>
      <c r="C22" s="2" t="s">
        <v>114</v>
      </c>
      <c r="D22" s="2" t="s">
        <v>40</v>
      </c>
      <c r="E22" s="2" t="s">
        <v>23</v>
      </c>
      <c r="F22" s="2">
        <v>19</v>
      </c>
      <c r="G22" s="7">
        <v>41.57</v>
      </c>
      <c r="H22" s="7">
        <v>789.83</v>
      </c>
      <c r="I22" s="2">
        <v>0</v>
      </c>
      <c r="J22" s="2" t="s">
        <v>24</v>
      </c>
      <c r="K22" s="2" t="s">
        <v>36</v>
      </c>
      <c r="L22" s="1" t="s">
        <v>2347</v>
      </c>
      <c r="M22" s="1" t="str">
        <f t="shared" si="0"/>
        <v>Online Payment</v>
      </c>
      <c r="N22" s="2" t="str">
        <f t="shared" si="1"/>
        <v>Accessories</v>
      </c>
      <c r="O22" s="1" t="str">
        <f t="shared" si="2"/>
        <v>High Stock</v>
      </c>
    </row>
    <row r="23" spans="1:15" x14ac:dyDescent="0.3">
      <c r="A23" s="5">
        <v>46143</v>
      </c>
      <c r="B23" s="2" t="s">
        <v>116</v>
      </c>
      <c r="C23" s="2" t="s">
        <v>117</v>
      </c>
      <c r="D23" s="2" t="s">
        <v>63</v>
      </c>
      <c r="E23" s="2" t="s">
        <v>15</v>
      </c>
      <c r="F23" s="2">
        <v>49</v>
      </c>
      <c r="G23" s="7">
        <v>77.010000000000005</v>
      </c>
      <c r="H23" s="7">
        <v>3773.49</v>
      </c>
      <c r="I23" s="2">
        <v>0</v>
      </c>
      <c r="J23" s="2" t="s">
        <v>53</v>
      </c>
      <c r="K23" s="2" t="s">
        <v>67</v>
      </c>
      <c r="L23" s="2" t="s">
        <v>31</v>
      </c>
      <c r="M23" s="2" t="str">
        <f t="shared" si="0"/>
        <v>Credit Card</v>
      </c>
      <c r="N23" s="2" t="str">
        <f t="shared" si="1"/>
        <v>Peripherals</v>
      </c>
      <c r="O23" s="2" t="str">
        <f t="shared" si="2"/>
        <v>High Stock</v>
      </c>
    </row>
    <row r="24" spans="1:15" x14ac:dyDescent="0.3">
      <c r="A24" s="5">
        <v>45819</v>
      </c>
      <c r="B24" s="2" t="s">
        <v>119</v>
      </c>
      <c r="C24" s="2" t="s">
        <v>120</v>
      </c>
      <c r="D24" s="2" t="s">
        <v>14</v>
      </c>
      <c r="E24" s="2" t="s">
        <v>15</v>
      </c>
      <c r="F24" s="2">
        <v>41</v>
      </c>
      <c r="G24" s="7">
        <v>102.97</v>
      </c>
      <c r="H24" s="7">
        <v>3588.5</v>
      </c>
      <c r="I24" s="2">
        <v>15</v>
      </c>
      <c r="J24" s="2" t="s">
        <v>46</v>
      </c>
      <c r="K24" s="2" t="s">
        <v>83</v>
      </c>
      <c r="L24" s="1" t="s">
        <v>2347</v>
      </c>
      <c r="M24" s="1" t="str">
        <f t="shared" si="0"/>
        <v>Online Payment</v>
      </c>
      <c r="N24" s="2" t="str">
        <f t="shared" si="1"/>
        <v>Peripherals</v>
      </c>
      <c r="O24" s="1" t="str">
        <f t="shared" si="2"/>
        <v>High Stock</v>
      </c>
    </row>
    <row r="25" spans="1:15" x14ac:dyDescent="0.3">
      <c r="A25" s="5">
        <v>45678</v>
      </c>
      <c r="B25" s="2" t="s">
        <v>121</v>
      </c>
      <c r="C25" s="2" t="s">
        <v>122</v>
      </c>
      <c r="D25" s="2" t="s">
        <v>123</v>
      </c>
      <c r="E25" s="2" t="s">
        <v>15</v>
      </c>
      <c r="F25" s="2">
        <v>1</v>
      </c>
      <c r="G25" s="7">
        <v>27.61</v>
      </c>
      <c r="H25" s="7">
        <v>27.61</v>
      </c>
      <c r="I25" s="2">
        <v>0</v>
      </c>
      <c r="J25" s="2" t="s">
        <v>46</v>
      </c>
      <c r="K25" s="2" t="s">
        <v>124</v>
      </c>
      <c r="L25" s="2" t="s">
        <v>49</v>
      </c>
      <c r="M25" s="2" t="str">
        <f t="shared" si="0"/>
        <v>Check</v>
      </c>
      <c r="N25" s="2" t="str">
        <f t="shared" si="1"/>
        <v>Peripherals</v>
      </c>
      <c r="O25" s="2" t="str">
        <f t="shared" si="2"/>
        <v>Low Stock</v>
      </c>
    </row>
    <row r="26" spans="1:15" x14ac:dyDescent="0.3">
      <c r="A26" s="5">
        <v>46030</v>
      </c>
      <c r="B26" s="2" t="s">
        <v>126</v>
      </c>
      <c r="C26" s="2" t="s">
        <v>127</v>
      </c>
      <c r="D26" s="2" t="s">
        <v>45</v>
      </c>
      <c r="E26" s="2" t="s">
        <v>23</v>
      </c>
      <c r="F26" s="2">
        <v>26</v>
      </c>
      <c r="G26" s="7">
        <v>195.27</v>
      </c>
      <c r="H26" s="7">
        <v>4061.62</v>
      </c>
      <c r="I26" s="2">
        <v>20</v>
      </c>
      <c r="J26" s="2" t="s">
        <v>46</v>
      </c>
      <c r="K26" s="2" t="s">
        <v>124</v>
      </c>
      <c r="L26" s="2" t="s">
        <v>27</v>
      </c>
      <c r="M26" s="2" t="str">
        <f t="shared" si="0"/>
        <v>Cash</v>
      </c>
      <c r="N26" s="2" t="str">
        <f t="shared" si="1"/>
        <v>Accessories</v>
      </c>
      <c r="O26" s="2" t="str">
        <f t="shared" si="2"/>
        <v>High Stock</v>
      </c>
    </row>
    <row r="27" spans="1:15" x14ac:dyDescent="0.3">
      <c r="A27" s="5">
        <v>45586</v>
      </c>
      <c r="B27" s="2" t="s">
        <v>129</v>
      </c>
      <c r="C27" s="2" t="s">
        <v>130</v>
      </c>
      <c r="D27" s="2" t="s">
        <v>52</v>
      </c>
      <c r="E27" s="2" t="s">
        <v>35</v>
      </c>
      <c r="F27" s="2">
        <v>7</v>
      </c>
      <c r="G27" s="7">
        <v>285.07</v>
      </c>
      <c r="H27" s="7">
        <v>1795.94</v>
      </c>
      <c r="I27" s="2">
        <v>10</v>
      </c>
      <c r="J27" s="2" t="s">
        <v>16</v>
      </c>
      <c r="K27" s="2" t="s">
        <v>91</v>
      </c>
      <c r="L27" s="1" t="s">
        <v>2347</v>
      </c>
      <c r="M27" s="1" t="str">
        <f t="shared" si="0"/>
        <v>Online Payment</v>
      </c>
      <c r="N27" s="2" t="str">
        <f t="shared" si="1"/>
        <v>Electronics</v>
      </c>
      <c r="O27" s="1" t="str">
        <f t="shared" si="2"/>
        <v>Low Stock</v>
      </c>
    </row>
    <row r="28" spans="1:15" x14ac:dyDescent="0.3">
      <c r="A28" s="5">
        <v>45804</v>
      </c>
      <c r="B28" s="2" t="s">
        <v>132</v>
      </c>
      <c r="C28" s="2" t="s">
        <v>133</v>
      </c>
      <c r="D28" s="1" t="s">
        <v>95</v>
      </c>
      <c r="E28" s="2" t="s">
        <v>35</v>
      </c>
      <c r="F28" s="2">
        <v>50</v>
      </c>
      <c r="G28" s="7">
        <v>1158.33</v>
      </c>
      <c r="H28" s="7">
        <v>46333.2</v>
      </c>
      <c r="I28" s="2">
        <v>20</v>
      </c>
      <c r="J28" s="2" t="s">
        <v>53</v>
      </c>
      <c r="K28" s="2" t="s">
        <v>134</v>
      </c>
      <c r="L28" s="1" t="s">
        <v>2347</v>
      </c>
      <c r="M28" s="1" t="str">
        <f t="shared" si="0"/>
        <v>Online Payment</v>
      </c>
      <c r="N28" s="2" t="str">
        <f t="shared" si="1"/>
        <v>Electronics</v>
      </c>
      <c r="O28" s="1" t="str">
        <f t="shared" si="2"/>
        <v>High Stock</v>
      </c>
    </row>
    <row r="29" spans="1:15" x14ac:dyDescent="0.3">
      <c r="A29" s="5">
        <v>45745</v>
      </c>
      <c r="B29" s="2" t="s">
        <v>136</v>
      </c>
      <c r="C29" s="2" t="s">
        <v>137</v>
      </c>
      <c r="D29" s="2" t="s">
        <v>52</v>
      </c>
      <c r="E29" s="2" t="s">
        <v>35</v>
      </c>
      <c r="F29" s="2">
        <v>39</v>
      </c>
      <c r="G29" s="7">
        <v>290.32</v>
      </c>
      <c r="H29" s="7">
        <v>10190.23</v>
      </c>
      <c r="I29" s="2">
        <v>10</v>
      </c>
      <c r="J29" s="2" t="s">
        <v>46</v>
      </c>
      <c r="K29" s="2" t="s">
        <v>124</v>
      </c>
      <c r="L29" s="1" t="s">
        <v>2347</v>
      </c>
      <c r="M29" s="1" t="str">
        <f t="shared" si="0"/>
        <v>Online Payment</v>
      </c>
      <c r="N29" s="2" t="str">
        <f t="shared" si="1"/>
        <v>Electronics</v>
      </c>
      <c r="O29" s="1" t="str">
        <f t="shared" si="2"/>
        <v>High Stock</v>
      </c>
    </row>
    <row r="30" spans="1:15" x14ac:dyDescent="0.3">
      <c r="A30" s="5">
        <v>46141</v>
      </c>
      <c r="B30" s="2" t="s">
        <v>139</v>
      </c>
      <c r="C30" s="2" t="s">
        <v>140</v>
      </c>
      <c r="D30" s="2" t="s">
        <v>72</v>
      </c>
      <c r="E30" s="2" t="s">
        <v>73</v>
      </c>
      <c r="F30" s="2">
        <v>35</v>
      </c>
      <c r="G30" s="7">
        <v>448.85</v>
      </c>
      <c r="H30" s="7">
        <v>15709.75</v>
      </c>
      <c r="I30" s="2">
        <v>0</v>
      </c>
      <c r="J30" s="2" t="s">
        <v>53</v>
      </c>
      <c r="K30" s="2" t="s">
        <v>141</v>
      </c>
      <c r="L30" s="2" t="s">
        <v>31</v>
      </c>
      <c r="M30" s="2" t="str">
        <f t="shared" si="0"/>
        <v>Credit Card</v>
      </c>
      <c r="N30" s="2" t="str">
        <f t="shared" si="1"/>
        <v>Furniture</v>
      </c>
      <c r="O30" s="2" t="str">
        <f t="shared" si="2"/>
        <v>High Stock</v>
      </c>
    </row>
    <row r="31" spans="1:15" x14ac:dyDescent="0.3">
      <c r="A31" s="5">
        <v>45744</v>
      </c>
      <c r="B31" s="2" t="s">
        <v>143</v>
      </c>
      <c r="C31" s="2" t="s">
        <v>144</v>
      </c>
      <c r="D31" s="2" t="s">
        <v>34</v>
      </c>
      <c r="E31" s="2" t="s">
        <v>35</v>
      </c>
      <c r="F31" s="2">
        <v>19</v>
      </c>
      <c r="G31" s="7">
        <v>648.41</v>
      </c>
      <c r="H31" s="7">
        <v>12319.79</v>
      </c>
      <c r="I31" s="2">
        <v>0</v>
      </c>
      <c r="J31" s="2" t="s">
        <v>16</v>
      </c>
      <c r="K31" s="2" t="s">
        <v>111</v>
      </c>
      <c r="L31" s="1" t="s">
        <v>2347</v>
      </c>
      <c r="M31" s="1" t="str">
        <f t="shared" si="0"/>
        <v>Online Payment</v>
      </c>
      <c r="N31" s="2" t="str">
        <f t="shared" si="1"/>
        <v>Electronics</v>
      </c>
      <c r="O31" s="1" t="str">
        <f t="shared" si="2"/>
        <v>High Stock</v>
      </c>
    </row>
    <row r="32" spans="1:15" x14ac:dyDescent="0.3">
      <c r="A32" s="5">
        <v>45655</v>
      </c>
      <c r="B32" s="2" t="s">
        <v>146</v>
      </c>
      <c r="C32" s="2" t="s">
        <v>147</v>
      </c>
      <c r="D32" s="2" t="s">
        <v>14</v>
      </c>
      <c r="E32" s="2" t="s">
        <v>15</v>
      </c>
      <c r="F32" s="2">
        <v>33</v>
      </c>
      <c r="G32" s="7">
        <v>45.28</v>
      </c>
      <c r="H32" s="7">
        <v>1494.24</v>
      </c>
      <c r="I32" s="2">
        <v>0</v>
      </c>
      <c r="J32" s="2" t="s">
        <v>46</v>
      </c>
      <c r="K32" s="2" t="s">
        <v>47</v>
      </c>
      <c r="L32" s="2" t="s">
        <v>31</v>
      </c>
      <c r="M32" s="2" t="str">
        <f t="shared" si="0"/>
        <v>Credit Card</v>
      </c>
      <c r="N32" s="2" t="str">
        <f t="shared" si="1"/>
        <v>Peripherals</v>
      </c>
      <c r="O32" s="2" t="str">
        <f t="shared" si="2"/>
        <v>High Stock</v>
      </c>
    </row>
    <row r="33" spans="1:15" x14ac:dyDescent="0.3">
      <c r="A33" s="5">
        <v>46159</v>
      </c>
      <c r="B33" s="2" t="s">
        <v>149</v>
      </c>
      <c r="C33" s="2" t="s">
        <v>150</v>
      </c>
      <c r="D33" s="2" t="s">
        <v>14</v>
      </c>
      <c r="E33" s="2" t="s">
        <v>15</v>
      </c>
      <c r="F33" s="2">
        <v>20</v>
      </c>
      <c r="G33" s="7">
        <v>97.14</v>
      </c>
      <c r="H33" s="7">
        <v>1651.38</v>
      </c>
      <c r="I33" s="2">
        <v>15</v>
      </c>
      <c r="J33" s="2" t="s">
        <v>24</v>
      </c>
      <c r="K33" s="2" t="s">
        <v>104</v>
      </c>
      <c r="L33" s="2" t="s">
        <v>31</v>
      </c>
      <c r="M33" s="2" t="str">
        <f t="shared" si="0"/>
        <v>Credit Card</v>
      </c>
      <c r="N33" s="2" t="str">
        <f t="shared" si="1"/>
        <v>Peripherals</v>
      </c>
      <c r="O33" s="2" t="str">
        <f t="shared" si="2"/>
        <v>High Stock</v>
      </c>
    </row>
    <row r="34" spans="1:15" x14ac:dyDescent="0.3">
      <c r="A34" s="5">
        <v>45613</v>
      </c>
      <c r="B34" s="2" t="s">
        <v>152</v>
      </c>
      <c r="C34" s="2" t="s">
        <v>153</v>
      </c>
      <c r="D34" s="2" t="s">
        <v>103</v>
      </c>
      <c r="E34" s="2" t="s">
        <v>35</v>
      </c>
      <c r="F34" s="2">
        <v>30</v>
      </c>
      <c r="G34" s="7">
        <v>263.38</v>
      </c>
      <c r="H34" s="7">
        <v>7901.4</v>
      </c>
      <c r="I34" s="2">
        <v>0</v>
      </c>
      <c r="J34" s="2" t="s">
        <v>24</v>
      </c>
      <c r="K34" s="2" t="s">
        <v>59</v>
      </c>
      <c r="L34" s="1" t="s">
        <v>2347</v>
      </c>
      <c r="M34" s="1" t="str">
        <f t="shared" si="0"/>
        <v>Online Payment</v>
      </c>
      <c r="N34" s="2" t="str">
        <f t="shared" si="1"/>
        <v>Electronics</v>
      </c>
      <c r="O34" s="1" t="str">
        <f t="shared" si="2"/>
        <v>High Stock</v>
      </c>
    </row>
    <row r="35" spans="1:15" x14ac:dyDescent="0.3">
      <c r="A35" s="5">
        <v>45740</v>
      </c>
      <c r="B35" s="2" t="s">
        <v>155</v>
      </c>
      <c r="C35" s="2" t="s">
        <v>156</v>
      </c>
      <c r="D35" s="2" t="s">
        <v>103</v>
      </c>
      <c r="E35" s="2" t="s">
        <v>35</v>
      </c>
      <c r="F35" s="2">
        <v>8</v>
      </c>
      <c r="G35" s="7">
        <v>314.86</v>
      </c>
      <c r="H35" s="7">
        <v>2141.0500000000002</v>
      </c>
      <c r="I35" s="2">
        <v>15</v>
      </c>
      <c r="J35" s="2" t="s">
        <v>53</v>
      </c>
      <c r="K35" s="2" t="s">
        <v>141</v>
      </c>
      <c r="L35" s="2" t="s">
        <v>27</v>
      </c>
      <c r="M35" s="2" t="str">
        <f t="shared" si="0"/>
        <v>Cash</v>
      </c>
      <c r="N35" s="2" t="str">
        <f t="shared" si="1"/>
        <v>Electronics</v>
      </c>
      <c r="O35" s="2" t="str">
        <f t="shared" si="2"/>
        <v>Low Stock</v>
      </c>
    </row>
    <row r="36" spans="1:15" x14ac:dyDescent="0.3">
      <c r="A36" s="5">
        <v>46186</v>
      </c>
      <c r="B36" s="2" t="s">
        <v>158</v>
      </c>
      <c r="C36" s="2" t="s">
        <v>159</v>
      </c>
      <c r="D36" s="2" t="s">
        <v>22</v>
      </c>
      <c r="E36" s="2" t="s">
        <v>23</v>
      </c>
      <c r="F36" s="2">
        <v>27</v>
      </c>
      <c r="G36" s="7">
        <v>29.9</v>
      </c>
      <c r="H36" s="7">
        <v>766.94</v>
      </c>
      <c r="I36" s="2">
        <v>5</v>
      </c>
      <c r="J36" s="2" t="s">
        <v>16</v>
      </c>
      <c r="K36" s="2" t="s">
        <v>160</v>
      </c>
      <c r="L36" s="1" t="s">
        <v>2347</v>
      </c>
      <c r="M36" s="1" t="str">
        <f t="shared" si="0"/>
        <v>Online Payment</v>
      </c>
      <c r="N36" s="2" t="str">
        <f t="shared" si="1"/>
        <v>Accessories</v>
      </c>
      <c r="O36" s="1" t="str">
        <f t="shared" si="2"/>
        <v>High Stock</v>
      </c>
    </row>
    <row r="37" spans="1:15" x14ac:dyDescent="0.3">
      <c r="A37" s="5">
        <v>45751</v>
      </c>
      <c r="B37" s="2" t="s">
        <v>162</v>
      </c>
      <c r="C37" s="2" t="s">
        <v>163</v>
      </c>
      <c r="D37" s="2" t="s">
        <v>103</v>
      </c>
      <c r="E37" s="2" t="s">
        <v>35</v>
      </c>
      <c r="F37" s="2">
        <v>40</v>
      </c>
      <c r="G37" s="7">
        <v>543.13</v>
      </c>
      <c r="H37" s="7">
        <v>18466.419999999998</v>
      </c>
      <c r="I37" s="2">
        <v>15</v>
      </c>
      <c r="J37" s="2" t="s">
        <v>46</v>
      </c>
      <c r="K37" s="2" t="s">
        <v>47</v>
      </c>
      <c r="L37" s="2" t="s">
        <v>49</v>
      </c>
      <c r="M37" s="2" t="str">
        <f t="shared" si="0"/>
        <v>Check</v>
      </c>
      <c r="N37" s="2" t="str">
        <f t="shared" si="1"/>
        <v>Electronics</v>
      </c>
      <c r="O37" s="2" t="str">
        <f t="shared" si="2"/>
        <v>High Stock</v>
      </c>
    </row>
    <row r="38" spans="1:15" x14ac:dyDescent="0.3">
      <c r="A38" s="5">
        <v>45857</v>
      </c>
      <c r="B38" s="2" t="s">
        <v>165</v>
      </c>
      <c r="C38" s="2" t="s">
        <v>166</v>
      </c>
      <c r="D38" s="1" t="s">
        <v>95</v>
      </c>
      <c r="E38" s="2" t="s">
        <v>35</v>
      </c>
      <c r="F38" s="2">
        <v>48</v>
      </c>
      <c r="G38" s="7">
        <v>1106.83</v>
      </c>
      <c r="H38" s="7">
        <v>53127.839999999997</v>
      </c>
      <c r="I38" s="2">
        <v>0</v>
      </c>
      <c r="J38" s="2" t="s">
        <v>24</v>
      </c>
      <c r="K38" s="2" t="s">
        <v>104</v>
      </c>
      <c r="L38" s="2" t="s">
        <v>49</v>
      </c>
      <c r="M38" s="2" t="str">
        <f t="shared" si="0"/>
        <v>Check</v>
      </c>
      <c r="N38" s="2" t="str">
        <f t="shared" si="1"/>
        <v>Electronics</v>
      </c>
      <c r="O38" s="2" t="str">
        <f t="shared" si="2"/>
        <v>High Stock</v>
      </c>
    </row>
    <row r="39" spans="1:15" x14ac:dyDescent="0.3">
      <c r="A39" s="5">
        <v>46085</v>
      </c>
      <c r="B39" s="2" t="s">
        <v>168</v>
      </c>
      <c r="C39" s="2" t="s">
        <v>169</v>
      </c>
      <c r="D39" s="2" t="s">
        <v>63</v>
      </c>
      <c r="E39" s="2" t="s">
        <v>15</v>
      </c>
      <c r="F39" s="2">
        <v>4</v>
      </c>
      <c r="G39" s="7">
        <v>69.52</v>
      </c>
      <c r="H39" s="7">
        <v>250.27</v>
      </c>
      <c r="I39" s="2">
        <v>10</v>
      </c>
      <c r="J39" s="2" t="s">
        <v>53</v>
      </c>
      <c r="K39" s="2" t="s">
        <v>170</v>
      </c>
      <c r="L39" s="2" t="s">
        <v>49</v>
      </c>
      <c r="M39" s="2" t="str">
        <f t="shared" si="0"/>
        <v>Check</v>
      </c>
      <c r="N39" s="2" t="str">
        <f t="shared" si="1"/>
        <v>Peripherals</v>
      </c>
      <c r="O39" s="2" t="str">
        <f t="shared" si="2"/>
        <v>Low Stock</v>
      </c>
    </row>
    <row r="40" spans="1:15" x14ac:dyDescent="0.3">
      <c r="A40" s="5">
        <v>46207</v>
      </c>
      <c r="B40" s="2" t="s">
        <v>172</v>
      </c>
      <c r="C40" s="2" t="s">
        <v>173</v>
      </c>
      <c r="D40" s="2" t="s">
        <v>82</v>
      </c>
      <c r="E40" s="2" t="s">
        <v>73</v>
      </c>
      <c r="F40" s="2">
        <v>32</v>
      </c>
      <c r="G40" s="7">
        <v>627.63</v>
      </c>
      <c r="H40" s="7">
        <v>20084.16</v>
      </c>
      <c r="I40" s="2">
        <v>0</v>
      </c>
      <c r="J40" s="2" t="s">
        <v>16</v>
      </c>
      <c r="K40" s="2" t="s">
        <v>74</v>
      </c>
      <c r="L40" s="2" t="s">
        <v>31</v>
      </c>
      <c r="M40" s="2" t="str">
        <f t="shared" si="0"/>
        <v>Credit Card</v>
      </c>
      <c r="N40" s="2" t="str">
        <f t="shared" si="1"/>
        <v>Furniture</v>
      </c>
      <c r="O40" s="2" t="str">
        <f t="shared" si="2"/>
        <v>High Stock</v>
      </c>
    </row>
    <row r="41" spans="1:15" x14ac:dyDescent="0.3">
      <c r="A41" s="5">
        <v>46026</v>
      </c>
      <c r="B41" s="2" t="s">
        <v>175</v>
      </c>
      <c r="C41" s="2" t="s">
        <v>176</v>
      </c>
      <c r="D41" s="1" t="s">
        <v>95</v>
      </c>
      <c r="E41" s="2" t="s">
        <v>35</v>
      </c>
      <c r="F41" s="2">
        <v>22</v>
      </c>
      <c r="G41" s="7">
        <v>276.88</v>
      </c>
      <c r="H41" s="7">
        <v>5482.22</v>
      </c>
      <c r="I41" s="2">
        <v>10</v>
      </c>
      <c r="J41" s="2" t="s">
        <v>53</v>
      </c>
      <c r="K41" s="2" t="s">
        <v>54</v>
      </c>
      <c r="L41" s="2" t="s">
        <v>31</v>
      </c>
      <c r="M41" s="2" t="str">
        <f t="shared" si="0"/>
        <v>Credit Card</v>
      </c>
      <c r="N41" s="2" t="str">
        <f t="shared" si="1"/>
        <v>Electronics</v>
      </c>
      <c r="O41" s="2" t="str">
        <f t="shared" si="2"/>
        <v>High Stock</v>
      </c>
    </row>
    <row r="42" spans="1:15" x14ac:dyDescent="0.3">
      <c r="A42" s="5">
        <v>46111</v>
      </c>
      <c r="B42" s="2" t="s">
        <v>178</v>
      </c>
      <c r="C42" s="2" t="s">
        <v>179</v>
      </c>
      <c r="D42" s="1" t="s">
        <v>95</v>
      </c>
      <c r="E42" s="2" t="s">
        <v>35</v>
      </c>
      <c r="F42" s="2">
        <v>21</v>
      </c>
      <c r="G42" s="7">
        <v>412.43</v>
      </c>
      <c r="H42" s="7">
        <v>8661.0300000000007</v>
      </c>
      <c r="I42" s="2">
        <v>0</v>
      </c>
      <c r="J42" s="2" t="s">
        <v>16</v>
      </c>
      <c r="K42" s="2" t="s">
        <v>17</v>
      </c>
      <c r="L42" s="2" t="s">
        <v>27</v>
      </c>
      <c r="M42" s="2" t="str">
        <f t="shared" si="0"/>
        <v>Cash</v>
      </c>
      <c r="N42" s="2" t="str">
        <f t="shared" si="1"/>
        <v>Electronics</v>
      </c>
      <c r="O42" s="2" t="str">
        <f t="shared" si="2"/>
        <v>High Stock</v>
      </c>
    </row>
    <row r="43" spans="1:15" x14ac:dyDescent="0.3">
      <c r="A43" s="5">
        <v>45869</v>
      </c>
      <c r="B43" s="2" t="s">
        <v>181</v>
      </c>
      <c r="C43" s="2" t="s">
        <v>182</v>
      </c>
      <c r="D43" s="2" t="s">
        <v>90</v>
      </c>
      <c r="E43" s="2" t="s">
        <v>23</v>
      </c>
      <c r="F43" s="2">
        <v>43</v>
      </c>
      <c r="G43" s="7">
        <v>29.4</v>
      </c>
      <c r="H43" s="7">
        <v>1264.2</v>
      </c>
      <c r="I43" s="2">
        <v>0</v>
      </c>
      <c r="J43" s="2" t="s">
        <v>53</v>
      </c>
      <c r="K43" s="2" t="s">
        <v>67</v>
      </c>
      <c r="L43" s="2" t="s">
        <v>69</v>
      </c>
      <c r="M43" s="2" t="str">
        <f t="shared" si="0"/>
        <v>Debit Card</v>
      </c>
      <c r="N43" s="2" t="str">
        <f t="shared" si="1"/>
        <v>Accessories</v>
      </c>
      <c r="O43" s="2" t="str">
        <f t="shared" si="2"/>
        <v>High Stock</v>
      </c>
    </row>
    <row r="44" spans="1:15" x14ac:dyDescent="0.3">
      <c r="A44" s="5">
        <v>46246</v>
      </c>
      <c r="B44" s="2" t="s">
        <v>184</v>
      </c>
      <c r="C44" s="2" t="s">
        <v>185</v>
      </c>
      <c r="D44" s="2" t="s">
        <v>22</v>
      </c>
      <c r="E44" s="2" t="s">
        <v>23</v>
      </c>
      <c r="F44" s="2">
        <v>35</v>
      </c>
      <c r="G44" s="7">
        <v>22.63</v>
      </c>
      <c r="H44" s="7">
        <v>752.45</v>
      </c>
      <c r="I44" s="2">
        <v>5</v>
      </c>
      <c r="J44" s="2" t="s">
        <v>16</v>
      </c>
      <c r="K44" s="2" t="s">
        <v>74</v>
      </c>
      <c r="L44" s="2" t="s">
        <v>31</v>
      </c>
      <c r="M44" s="2" t="str">
        <f t="shared" si="0"/>
        <v>Credit Card</v>
      </c>
      <c r="N44" s="2" t="str">
        <f t="shared" si="1"/>
        <v>Accessories</v>
      </c>
      <c r="O44" s="2" t="str">
        <f t="shared" si="2"/>
        <v>High Stock</v>
      </c>
    </row>
    <row r="45" spans="1:15" x14ac:dyDescent="0.3">
      <c r="A45" s="5">
        <v>46054</v>
      </c>
      <c r="B45" s="2" t="s">
        <v>187</v>
      </c>
      <c r="C45" s="2" t="s">
        <v>188</v>
      </c>
      <c r="D45" s="2" t="s">
        <v>82</v>
      </c>
      <c r="E45" s="2" t="s">
        <v>73</v>
      </c>
      <c r="F45" s="2">
        <v>20</v>
      </c>
      <c r="G45" s="7">
        <v>656.14</v>
      </c>
      <c r="H45" s="7">
        <v>11810.52</v>
      </c>
      <c r="I45" s="2">
        <v>10</v>
      </c>
      <c r="J45" s="2" t="s">
        <v>16</v>
      </c>
      <c r="K45" s="2" t="s">
        <v>17</v>
      </c>
      <c r="L45" s="2" t="s">
        <v>69</v>
      </c>
      <c r="M45" s="2" t="str">
        <f t="shared" si="0"/>
        <v>Debit Card</v>
      </c>
      <c r="N45" s="2" t="str">
        <f t="shared" si="1"/>
        <v>Furniture</v>
      </c>
      <c r="O45" s="2" t="str">
        <f t="shared" si="2"/>
        <v>High Stock</v>
      </c>
    </row>
    <row r="46" spans="1:15" x14ac:dyDescent="0.3">
      <c r="A46" s="5">
        <v>46229</v>
      </c>
      <c r="B46" s="2" t="s">
        <v>190</v>
      </c>
      <c r="C46" s="2" t="s">
        <v>191</v>
      </c>
      <c r="D46" s="2" t="s">
        <v>103</v>
      </c>
      <c r="E46" s="2" t="s">
        <v>35</v>
      </c>
      <c r="F46" s="2">
        <v>25</v>
      </c>
      <c r="G46" s="7">
        <v>444.02</v>
      </c>
      <c r="H46" s="7">
        <v>8880.4</v>
      </c>
      <c r="I46" s="2">
        <v>20</v>
      </c>
      <c r="J46" s="2" t="s">
        <v>46</v>
      </c>
      <c r="K46" s="2" t="s">
        <v>124</v>
      </c>
      <c r="L46" s="1" t="s">
        <v>2347</v>
      </c>
      <c r="M46" s="1" t="str">
        <f t="shared" si="0"/>
        <v>Online Payment</v>
      </c>
      <c r="N46" s="2" t="str">
        <f t="shared" si="1"/>
        <v>Electronics</v>
      </c>
      <c r="O46" s="1" t="str">
        <f t="shared" si="2"/>
        <v>High Stock</v>
      </c>
    </row>
    <row r="47" spans="1:15" x14ac:dyDescent="0.3">
      <c r="A47" s="5">
        <v>45776</v>
      </c>
      <c r="B47" s="2" t="s">
        <v>193</v>
      </c>
      <c r="C47" s="2" t="s">
        <v>194</v>
      </c>
      <c r="D47" s="2" t="s">
        <v>90</v>
      </c>
      <c r="E47" s="2" t="s">
        <v>23</v>
      </c>
      <c r="F47" s="2">
        <v>50</v>
      </c>
      <c r="G47" s="7">
        <v>42.28</v>
      </c>
      <c r="H47" s="7">
        <v>2008.3</v>
      </c>
      <c r="I47" s="2">
        <v>5</v>
      </c>
      <c r="J47" s="2" t="s">
        <v>46</v>
      </c>
      <c r="K47" s="2" t="s">
        <v>83</v>
      </c>
      <c r="L47" s="2" t="s">
        <v>31</v>
      </c>
      <c r="M47" s="2" t="str">
        <f t="shared" si="0"/>
        <v>Credit Card</v>
      </c>
      <c r="N47" s="2" t="str">
        <f t="shared" si="1"/>
        <v>Accessories</v>
      </c>
      <c r="O47" s="2" t="str">
        <f t="shared" si="2"/>
        <v>High Stock</v>
      </c>
    </row>
    <row r="48" spans="1:15" x14ac:dyDescent="0.3">
      <c r="A48" s="5">
        <v>46223</v>
      </c>
      <c r="B48" s="2" t="s">
        <v>196</v>
      </c>
      <c r="C48" s="2" t="s">
        <v>197</v>
      </c>
      <c r="D48" s="2" t="s">
        <v>90</v>
      </c>
      <c r="E48" s="2" t="s">
        <v>23</v>
      </c>
      <c r="F48" s="2">
        <v>16</v>
      </c>
      <c r="G48" s="7">
        <v>16.41</v>
      </c>
      <c r="H48" s="7">
        <v>223.18</v>
      </c>
      <c r="I48" s="2">
        <v>15</v>
      </c>
      <c r="J48" s="2" t="s">
        <v>46</v>
      </c>
      <c r="K48" s="2" t="s">
        <v>83</v>
      </c>
      <c r="L48" s="2" t="s">
        <v>69</v>
      </c>
      <c r="M48" s="2" t="str">
        <f t="shared" si="0"/>
        <v>Debit Card</v>
      </c>
      <c r="N48" s="2" t="str">
        <f t="shared" si="1"/>
        <v>Accessories</v>
      </c>
      <c r="O48" s="2" t="str">
        <f t="shared" si="2"/>
        <v>High Stock</v>
      </c>
    </row>
    <row r="49" spans="1:15" x14ac:dyDescent="0.3">
      <c r="A49" s="5">
        <v>45897</v>
      </c>
      <c r="B49" s="2" t="s">
        <v>199</v>
      </c>
      <c r="C49" s="2" t="s">
        <v>200</v>
      </c>
      <c r="D49" s="2" t="s">
        <v>40</v>
      </c>
      <c r="E49" s="2" t="s">
        <v>23</v>
      </c>
      <c r="F49" s="2">
        <v>44</v>
      </c>
      <c r="G49" s="7">
        <v>47.86</v>
      </c>
      <c r="H49" s="7">
        <v>2105.84</v>
      </c>
      <c r="I49" s="2">
        <v>0</v>
      </c>
      <c r="J49" s="2" t="s">
        <v>24</v>
      </c>
      <c r="K49" s="2" t="s">
        <v>59</v>
      </c>
      <c r="L49" s="2" t="s">
        <v>31</v>
      </c>
      <c r="M49" s="2" t="str">
        <f t="shared" si="0"/>
        <v>Credit Card</v>
      </c>
      <c r="N49" s="2" t="str">
        <f t="shared" si="1"/>
        <v>Accessories</v>
      </c>
      <c r="O49" s="2" t="str">
        <f t="shared" si="2"/>
        <v>High Stock</v>
      </c>
    </row>
    <row r="50" spans="1:15" x14ac:dyDescent="0.3">
      <c r="A50" s="5">
        <v>46169</v>
      </c>
      <c r="B50" s="2" t="s">
        <v>202</v>
      </c>
      <c r="C50" s="2" t="s">
        <v>203</v>
      </c>
      <c r="D50" s="2" t="s">
        <v>14</v>
      </c>
      <c r="E50" s="2" t="s">
        <v>15</v>
      </c>
      <c r="F50" s="2">
        <v>39</v>
      </c>
      <c r="G50" s="7">
        <v>104.76</v>
      </c>
      <c r="H50" s="7">
        <v>3677.08</v>
      </c>
      <c r="I50" s="2">
        <v>10</v>
      </c>
      <c r="J50" s="2" t="s">
        <v>46</v>
      </c>
      <c r="K50" s="2" t="s">
        <v>124</v>
      </c>
      <c r="L50" s="1" t="s">
        <v>2347</v>
      </c>
      <c r="M50" s="1" t="str">
        <f t="shared" si="0"/>
        <v>Online Payment</v>
      </c>
      <c r="N50" s="2" t="str">
        <f t="shared" si="1"/>
        <v>Peripherals</v>
      </c>
      <c r="O50" s="1" t="str">
        <f t="shared" si="2"/>
        <v>High Stock</v>
      </c>
    </row>
    <row r="51" spans="1:15" x14ac:dyDescent="0.3">
      <c r="A51" s="5">
        <v>45811</v>
      </c>
      <c r="B51" s="2" t="s">
        <v>205</v>
      </c>
      <c r="C51" s="2" t="s">
        <v>206</v>
      </c>
      <c r="D51" s="2" t="s">
        <v>14</v>
      </c>
      <c r="E51" s="2" t="s">
        <v>15</v>
      </c>
      <c r="F51" s="2">
        <v>27</v>
      </c>
      <c r="G51" s="7">
        <v>60.57</v>
      </c>
      <c r="H51" s="7">
        <v>1308.31</v>
      </c>
      <c r="I51" s="2">
        <v>20</v>
      </c>
      <c r="J51" s="2" t="s">
        <v>46</v>
      </c>
      <c r="K51" s="2" t="s">
        <v>78</v>
      </c>
      <c r="L51" s="1" t="s">
        <v>2347</v>
      </c>
      <c r="M51" s="1" t="str">
        <f t="shared" si="0"/>
        <v>Online Payment</v>
      </c>
      <c r="N51" s="2" t="str">
        <f t="shared" si="1"/>
        <v>Peripherals</v>
      </c>
      <c r="O51" s="1" t="str">
        <f t="shared" si="2"/>
        <v>High Stock</v>
      </c>
    </row>
    <row r="52" spans="1:15" x14ac:dyDescent="0.3">
      <c r="A52" s="5">
        <v>45668</v>
      </c>
      <c r="B52" s="2" t="s">
        <v>208</v>
      </c>
      <c r="C52" s="2" t="s">
        <v>209</v>
      </c>
      <c r="D52" s="2" t="s">
        <v>123</v>
      </c>
      <c r="E52" s="2" t="s">
        <v>15</v>
      </c>
      <c r="F52" s="2">
        <v>26</v>
      </c>
      <c r="G52" s="7">
        <v>41.19</v>
      </c>
      <c r="H52" s="7">
        <v>1070.94</v>
      </c>
      <c r="I52" s="2">
        <v>0</v>
      </c>
      <c r="J52" s="2" t="s">
        <v>16</v>
      </c>
      <c r="K52" s="2" t="s">
        <v>74</v>
      </c>
      <c r="L52" s="1" t="s">
        <v>2347</v>
      </c>
      <c r="M52" s="1" t="str">
        <f t="shared" si="0"/>
        <v>Online Payment</v>
      </c>
      <c r="N52" s="2" t="str">
        <f t="shared" si="1"/>
        <v>Peripherals</v>
      </c>
      <c r="O52" s="1" t="str">
        <f t="shared" si="2"/>
        <v>High Stock</v>
      </c>
    </row>
    <row r="53" spans="1:15" x14ac:dyDescent="0.3">
      <c r="A53" s="5">
        <v>46049</v>
      </c>
      <c r="B53" s="2" t="s">
        <v>211</v>
      </c>
      <c r="C53" s="2" t="s">
        <v>212</v>
      </c>
      <c r="D53" s="2" t="s">
        <v>40</v>
      </c>
      <c r="E53" s="2" t="s">
        <v>23</v>
      </c>
      <c r="F53" s="2">
        <v>7</v>
      </c>
      <c r="G53" s="7">
        <v>42.79</v>
      </c>
      <c r="H53" s="7">
        <v>299.52999999999997</v>
      </c>
      <c r="I53" s="2">
        <v>0</v>
      </c>
      <c r="J53" s="2" t="s">
        <v>16</v>
      </c>
      <c r="K53" s="2" t="s">
        <v>91</v>
      </c>
      <c r="L53" s="2" t="s">
        <v>31</v>
      </c>
      <c r="M53" s="2" t="str">
        <f t="shared" si="0"/>
        <v>Credit Card</v>
      </c>
      <c r="N53" s="2" t="str">
        <f t="shared" si="1"/>
        <v>Accessories</v>
      </c>
      <c r="O53" s="2" t="str">
        <f t="shared" si="2"/>
        <v>Low Stock</v>
      </c>
    </row>
    <row r="54" spans="1:15" x14ac:dyDescent="0.3">
      <c r="A54" s="5">
        <v>46095</v>
      </c>
      <c r="B54" s="2" t="s">
        <v>214</v>
      </c>
      <c r="C54" s="2" t="s">
        <v>120</v>
      </c>
      <c r="D54" s="1" t="s">
        <v>95</v>
      </c>
      <c r="E54" s="2" t="s">
        <v>35</v>
      </c>
      <c r="F54" s="2">
        <v>44</v>
      </c>
      <c r="G54" s="7">
        <v>903.71</v>
      </c>
      <c r="H54" s="7">
        <v>31810.59</v>
      </c>
      <c r="I54" s="2">
        <v>20</v>
      </c>
      <c r="J54" s="2" t="s">
        <v>24</v>
      </c>
      <c r="K54" s="2" t="s">
        <v>104</v>
      </c>
      <c r="L54" s="2" t="s">
        <v>49</v>
      </c>
      <c r="M54" s="2" t="str">
        <f t="shared" si="0"/>
        <v>Check</v>
      </c>
      <c r="N54" s="2" t="str">
        <f t="shared" si="1"/>
        <v>Electronics</v>
      </c>
      <c r="O54" s="2" t="str">
        <f t="shared" si="2"/>
        <v>High Stock</v>
      </c>
    </row>
    <row r="55" spans="1:15" x14ac:dyDescent="0.3">
      <c r="A55" s="5">
        <v>45733</v>
      </c>
      <c r="B55" s="2" t="s">
        <v>216</v>
      </c>
      <c r="C55" s="2" t="s">
        <v>217</v>
      </c>
      <c r="D55" s="2" t="s">
        <v>34</v>
      </c>
      <c r="E55" s="2" t="s">
        <v>35</v>
      </c>
      <c r="F55" s="2">
        <v>23</v>
      </c>
      <c r="G55" s="7">
        <v>846.66</v>
      </c>
      <c r="H55" s="7">
        <v>16552.2</v>
      </c>
      <c r="I55" s="2">
        <v>15</v>
      </c>
      <c r="J55" s="2" t="s">
        <v>24</v>
      </c>
      <c r="K55" s="2" t="s">
        <v>41</v>
      </c>
      <c r="L55" s="2" t="s">
        <v>69</v>
      </c>
      <c r="M55" s="2" t="str">
        <f t="shared" si="0"/>
        <v>Debit Card</v>
      </c>
      <c r="N55" s="2" t="str">
        <f t="shared" si="1"/>
        <v>Electronics</v>
      </c>
      <c r="O55" s="2" t="str">
        <f t="shared" si="2"/>
        <v>High Stock</v>
      </c>
    </row>
    <row r="56" spans="1:15" x14ac:dyDescent="0.3">
      <c r="A56" s="5">
        <v>46224</v>
      </c>
      <c r="B56" s="2" t="s">
        <v>219</v>
      </c>
      <c r="C56" s="2" t="s">
        <v>220</v>
      </c>
      <c r="D56" s="2" t="s">
        <v>63</v>
      </c>
      <c r="E56" s="2" t="s">
        <v>15</v>
      </c>
      <c r="F56" s="2">
        <v>36</v>
      </c>
      <c r="G56" s="7">
        <v>42.5</v>
      </c>
      <c r="H56" s="7">
        <v>1377</v>
      </c>
      <c r="I56" s="2">
        <v>10</v>
      </c>
      <c r="J56" s="2" t="s">
        <v>53</v>
      </c>
      <c r="K56" s="2" t="s">
        <v>170</v>
      </c>
      <c r="L56" s="1" t="s">
        <v>2347</v>
      </c>
      <c r="M56" s="1" t="str">
        <f t="shared" si="0"/>
        <v>Online Payment</v>
      </c>
      <c r="N56" s="2" t="str">
        <f t="shared" si="1"/>
        <v>Peripherals</v>
      </c>
      <c r="O56" s="1" t="str">
        <f t="shared" si="2"/>
        <v>High Stock</v>
      </c>
    </row>
    <row r="57" spans="1:15" x14ac:dyDescent="0.3">
      <c r="A57" s="5">
        <v>45607</v>
      </c>
      <c r="B57" s="2" t="s">
        <v>222</v>
      </c>
      <c r="C57" s="2" t="s">
        <v>223</v>
      </c>
      <c r="D57" s="2" t="s">
        <v>22</v>
      </c>
      <c r="E57" s="2" t="s">
        <v>23</v>
      </c>
      <c r="F57" s="2">
        <v>9</v>
      </c>
      <c r="G57" s="7">
        <v>29.09</v>
      </c>
      <c r="H57" s="7">
        <v>261.81</v>
      </c>
      <c r="I57" s="2">
        <v>0</v>
      </c>
      <c r="J57" s="2" t="s">
        <v>24</v>
      </c>
      <c r="K57" s="2" t="s">
        <v>59</v>
      </c>
      <c r="L57" s="2" t="s">
        <v>31</v>
      </c>
      <c r="M57" s="2" t="str">
        <f t="shared" si="0"/>
        <v>Credit Card</v>
      </c>
      <c r="N57" s="2" t="str">
        <f t="shared" si="1"/>
        <v>Accessories</v>
      </c>
      <c r="O57" s="2" t="str">
        <f t="shared" si="2"/>
        <v>Low Stock</v>
      </c>
    </row>
    <row r="58" spans="1:15" x14ac:dyDescent="0.3">
      <c r="A58" s="5">
        <v>45583</v>
      </c>
      <c r="B58" s="2" t="s">
        <v>224</v>
      </c>
      <c r="C58" s="2" t="s">
        <v>225</v>
      </c>
      <c r="D58" s="2" t="s">
        <v>34</v>
      </c>
      <c r="E58" s="2" t="s">
        <v>35</v>
      </c>
      <c r="F58" s="2">
        <v>5</v>
      </c>
      <c r="G58" s="7">
        <v>669.77</v>
      </c>
      <c r="H58" s="7">
        <v>3348.85</v>
      </c>
      <c r="I58" s="2">
        <v>0</v>
      </c>
      <c r="J58" s="2" t="s">
        <v>16</v>
      </c>
      <c r="K58" s="2" t="s">
        <v>74</v>
      </c>
      <c r="L58" s="1" t="s">
        <v>2347</v>
      </c>
      <c r="M58" s="1" t="str">
        <f t="shared" si="0"/>
        <v>Online Payment</v>
      </c>
      <c r="N58" s="2" t="str">
        <f t="shared" si="1"/>
        <v>Electronics</v>
      </c>
      <c r="O58" s="1" t="str">
        <f t="shared" si="2"/>
        <v>Low Stock</v>
      </c>
    </row>
    <row r="59" spans="1:15" x14ac:dyDescent="0.3">
      <c r="A59" s="5">
        <v>45975</v>
      </c>
      <c r="B59" s="2" t="s">
        <v>227</v>
      </c>
      <c r="C59" s="2" t="s">
        <v>228</v>
      </c>
      <c r="D59" s="2" t="s">
        <v>45</v>
      </c>
      <c r="E59" s="2" t="s">
        <v>23</v>
      </c>
      <c r="F59" s="2">
        <v>13</v>
      </c>
      <c r="G59" s="7">
        <v>198.05</v>
      </c>
      <c r="H59" s="7">
        <v>2574.65</v>
      </c>
      <c r="I59" s="2">
        <v>0</v>
      </c>
      <c r="J59" s="2" t="s">
        <v>53</v>
      </c>
      <c r="K59" s="2" t="s">
        <v>54</v>
      </c>
      <c r="L59" s="1" t="s">
        <v>2347</v>
      </c>
      <c r="M59" s="1" t="str">
        <f t="shared" si="0"/>
        <v>Online Payment</v>
      </c>
      <c r="N59" s="2" t="str">
        <f t="shared" si="1"/>
        <v>Accessories</v>
      </c>
      <c r="O59" s="1" t="str">
        <f t="shared" si="2"/>
        <v>Low Stock</v>
      </c>
    </row>
    <row r="60" spans="1:15" x14ac:dyDescent="0.3">
      <c r="A60" s="5">
        <v>46068</v>
      </c>
      <c r="B60" s="2" t="s">
        <v>230</v>
      </c>
      <c r="C60" s="2" t="s">
        <v>194</v>
      </c>
      <c r="D60" s="2" t="s">
        <v>103</v>
      </c>
      <c r="E60" s="2" t="s">
        <v>35</v>
      </c>
      <c r="F60" s="2">
        <v>34</v>
      </c>
      <c r="G60" s="7">
        <v>414.11</v>
      </c>
      <c r="H60" s="7">
        <v>13375.75</v>
      </c>
      <c r="I60" s="2">
        <v>5</v>
      </c>
      <c r="J60" s="2" t="s">
        <v>46</v>
      </c>
      <c r="K60" s="2" t="s">
        <v>78</v>
      </c>
      <c r="L60" s="2" t="s">
        <v>69</v>
      </c>
      <c r="M60" s="2" t="str">
        <f t="shared" si="0"/>
        <v>Debit Card</v>
      </c>
      <c r="N60" s="2" t="str">
        <f t="shared" si="1"/>
        <v>Electronics</v>
      </c>
      <c r="O60" s="2" t="str">
        <f t="shared" si="2"/>
        <v>High Stock</v>
      </c>
    </row>
    <row r="61" spans="1:15" x14ac:dyDescent="0.3">
      <c r="A61" s="5">
        <v>46169</v>
      </c>
      <c r="B61" s="2" t="s">
        <v>232</v>
      </c>
      <c r="C61" s="2" t="s">
        <v>233</v>
      </c>
      <c r="D61" s="2" t="s">
        <v>34</v>
      </c>
      <c r="E61" s="2" t="s">
        <v>35</v>
      </c>
      <c r="F61" s="2">
        <v>26</v>
      </c>
      <c r="G61" s="7">
        <v>658.35</v>
      </c>
      <c r="H61" s="7">
        <v>17117.099999999999</v>
      </c>
      <c r="I61" s="2">
        <v>0</v>
      </c>
      <c r="J61" s="2" t="s">
        <v>53</v>
      </c>
      <c r="K61" s="2" t="s">
        <v>134</v>
      </c>
      <c r="L61" s="2" t="s">
        <v>27</v>
      </c>
      <c r="M61" s="2" t="str">
        <f t="shared" si="0"/>
        <v>Cash</v>
      </c>
      <c r="N61" s="2" t="str">
        <f t="shared" si="1"/>
        <v>Electronics</v>
      </c>
      <c r="O61" s="2" t="str">
        <f t="shared" si="2"/>
        <v>High Stock</v>
      </c>
    </row>
    <row r="62" spans="1:15" x14ac:dyDescent="0.3">
      <c r="A62" s="5">
        <v>46096</v>
      </c>
      <c r="B62" s="2" t="s">
        <v>234</v>
      </c>
      <c r="C62" s="2" t="s">
        <v>235</v>
      </c>
      <c r="D62" s="1" t="s">
        <v>95</v>
      </c>
      <c r="E62" s="2" t="s">
        <v>35</v>
      </c>
      <c r="F62" s="2">
        <v>1</v>
      </c>
      <c r="G62" s="7">
        <v>439</v>
      </c>
      <c r="H62" s="7">
        <v>395.1</v>
      </c>
      <c r="I62" s="2">
        <v>10</v>
      </c>
      <c r="J62" s="2" t="s">
        <v>16</v>
      </c>
      <c r="K62" s="2" t="s">
        <v>111</v>
      </c>
      <c r="L62" s="2" t="s">
        <v>31</v>
      </c>
      <c r="M62" s="2" t="str">
        <f t="shared" si="0"/>
        <v>Credit Card</v>
      </c>
      <c r="N62" s="2" t="str">
        <f t="shared" si="1"/>
        <v>Electronics</v>
      </c>
      <c r="O62" s="2" t="str">
        <f t="shared" si="2"/>
        <v>Low Stock</v>
      </c>
    </row>
    <row r="63" spans="1:15" x14ac:dyDescent="0.3">
      <c r="A63" s="5">
        <v>45598</v>
      </c>
      <c r="B63" s="2" t="s">
        <v>237</v>
      </c>
      <c r="C63" s="2" t="s">
        <v>238</v>
      </c>
      <c r="D63" s="2" t="s">
        <v>123</v>
      </c>
      <c r="E63" s="2" t="s">
        <v>15</v>
      </c>
      <c r="F63" s="2">
        <v>14</v>
      </c>
      <c r="G63" s="7">
        <v>22.43</v>
      </c>
      <c r="H63" s="7">
        <v>251.22</v>
      </c>
      <c r="I63" s="2">
        <v>20</v>
      </c>
      <c r="J63" s="2" t="s">
        <v>46</v>
      </c>
      <c r="K63" s="2" t="s">
        <v>78</v>
      </c>
      <c r="L63" s="2" t="s">
        <v>49</v>
      </c>
      <c r="M63" s="2" t="str">
        <f t="shared" si="0"/>
        <v>Check</v>
      </c>
      <c r="N63" s="2" t="str">
        <f t="shared" si="1"/>
        <v>Peripherals</v>
      </c>
      <c r="O63" s="2" t="str">
        <f t="shared" si="2"/>
        <v>Low Stock</v>
      </c>
    </row>
    <row r="64" spans="1:15" x14ac:dyDescent="0.3">
      <c r="A64" s="5">
        <v>45962</v>
      </c>
      <c r="B64" s="2" t="s">
        <v>240</v>
      </c>
      <c r="C64" s="2" t="s">
        <v>241</v>
      </c>
      <c r="D64" s="2" t="s">
        <v>123</v>
      </c>
      <c r="E64" s="2" t="s">
        <v>15</v>
      </c>
      <c r="F64" s="2">
        <v>16</v>
      </c>
      <c r="G64" s="7">
        <v>28.48</v>
      </c>
      <c r="H64" s="7">
        <v>410.11</v>
      </c>
      <c r="I64" s="2">
        <v>10</v>
      </c>
      <c r="J64" s="2" t="s">
        <v>16</v>
      </c>
      <c r="K64" s="2" t="s">
        <v>91</v>
      </c>
      <c r="L64" s="2" t="s">
        <v>27</v>
      </c>
      <c r="M64" s="2" t="str">
        <f t="shared" si="0"/>
        <v>Cash</v>
      </c>
      <c r="N64" s="2" t="str">
        <f t="shared" si="1"/>
        <v>Peripherals</v>
      </c>
      <c r="O64" s="2" t="str">
        <f t="shared" si="2"/>
        <v>High Stock</v>
      </c>
    </row>
    <row r="65" spans="1:15" x14ac:dyDescent="0.3">
      <c r="A65" s="5">
        <v>45871</v>
      </c>
      <c r="B65" s="2" t="s">
        <v>242</v>
      </c>
      <c r="C65" s="2" t="s">
        <v>243</v>
      </c>
      <c r="D65" s="2" t="s">
        <v>52</v>
      </c>
      <c r="E65" s="2" t="s">
        <v>35</v>
      </c>
      <c r="F65" s="2">
        <v>12</v>
      </c>
      <c r="G65" s="7">
        <v>298.70999999999998</v>
      </c>
      <c r="H65" s="7">
        <v>3226.07</v>
      </c>
      <c r="I65" s="2">
        <v>10</v>
      </c>
      <c r="J65" s="2" t="s">
        <v>46</v>
      </c>
      <c r="K65" s="2" t="s">
        <v>244</v>
      </c>
      <c r="L65" s="2" t="s">
        <v>49</v>
      </c>
      <c r="M65" s="2" t="str">
        <f t="shared" si="0"/>
        <v>Check</v>
      </c>
      <c r="N65" s="2" t="str">
        <f t="shared" si="1"/>
        <v>Electronics</v>
      </c>
      <c r="O65" s="2" t="str">
        <f t="shared" si="2"/>
        <v>Low Stock</v>
      </c>
    </row>
    <row r="66" spans="1:15" x14ac:dyDescent="0.3">
      <c r="A66" s="5">
        <v>45944</v>
      </c>
      <c r="B66" s="2" t="s">
        <v>246</v>
      </c>
      <c r="C66" s="2" t="s">
        <v>247</v>
      </c>
      <c r="D66" s="2" t="s">
        <v>40</v>
      </c>
      <c r="E66" s="2" t="s">
        <v>23</v>
      </c>
      <c r="F66" s="2">
        <v>2</v>
      </c>
      <c r="G66" s="7">
        <v>77.5</v>
      </c>
      <c r="H66" s="7">
        <v>147.25</v>
      </c>
      <c r="I66" s="2">
        <v>5</v>
      </c>
      <c r="J66" s="2" t="s">
        <v>46</v>
      </c>
      <c r="K66" s="2" t="s">
        <v>244</v>
      </c>
      <c r="L66" s="2" t="s">
        <v>31</v>
      </c>
      <c r="M66" s="2" t="str">
        <f t="shared" si="0"/>
        <v>Credit Card</v>
      </c>
      <c r="N66" s="2" t="str">
        <f t="shared" si="1"/>
        <v>Accessories</v>
      </c>
      <c r="O66" s="2" t="str">
        <f t="shared" si="2"/>
        <v>Low Stock</v>
      </c>
    </row>
    <row r="67" spans="1:15" x14ac:dyDescent="0.3">
      <c r="A67" s="5">
        <v>46000</v>
      </c>
      <c r="B67" s="2" t="s">
        <v>249</v>
      </c>
      <c r="C67" s="2" t="s">
        <v>250</v>
      </c>
      <c r="D67" s="2" t="s">
        <v>82</v>
      </c>
      <c r="E67" s="2" t="s">
        <v>73</v>
      </c>
      <c r="F67" s="2">
        <v>44</v>
      </c>
      <c r="G67" s="7">
        <v>492.47</v>
      </c>
      <c r="H67" s="7">
        <v>20585.25</v>
      </c>
      <c r="I67" s="2">
        <v>5</v>
      </c>
      <c r="J67" s="2" t="s">
        <v>46</v>
      </c>
      <c r="K67" s="2" t="s">
        <v>124</v>
      </c>
      <c r="L67" s="2" t="s">
        <v>69</v>
      </c>
      <c r="M67" s="2" t="str">
        <f t="shared" ref="M67:M130" si="3">TRIM(L67)</f>
        <v>Debit Card</v>
      </c>
      <c r="N67" s="2" t="str">
        <f t="shared" ref="N67:N130" si="4">PROPER(E67)</f>
        <v>Furniture</v>
      </c>
      <c r="O67" s="2" t="str">
        <f t="shared" ref="O67:O130" si="5">IF(F67&gt;15,"High Stock","Low Stock")</f>
        <v>High Stock</v>
      </c>
    </row>
    <row r="68" spans="1:15" x14ac:dyDescent="0.3">
      <c r="A68" s="5">
        <v>45816</v>
      </c>
      <c r="B68" s="2" t="s">
        <v>252</v>
      </c>
      <c r="C68" s="2" t="s">
        <v>253</v>
      </c>
      <c r="D68" s="2" t="s">
        <v>90</v>
      </c>
      <c r="E68" s="2" t="s">
        <v>23</v>
      </c>
      <c r="F68" s="2">
        <v>10</v>
      </c>
      <c r="G68" s="7">
        <v>39.36</v>
      </c>
      <c r="H68" s="7">
        <v>373.92</v>
      </c>
      <c r="I68" s="2">
        <v>5</v>
      </c>
      <c r="J68" s="2" t="s">
        <v>16</v>
      </c>
      <c r="K68" s="2" t="s">
        <v>91</v>
      </c>
      <c r="L68" s="2" t="s">
        <v>69</v>
      </c>
      <c r="M68" s="2" t="str">
        <f t="shared" si="3"/>
        <v>Debit Card</v>
      </c>
      <c r="N68" s="2" t="str">
        <f t="shared" si="4"/>
        <v>Accessories</v>
      </c>
      <c r="O68" s="2" t="str">
        <f t="shared" si="5"/>
        <v>Low Stock</v>
      </c>
    </row>
    <row r="69" spans="1:15" x14ac:dyDescent="0.3">
      <c r="A69" s="5">
        <v>45685</v>
      </c>
      <c r="B69" s="2" t="s">
        <v>255</v>
      </c>
      <c r="C69" s="2" t="s">
        <v>256</v>
      </c>
      <c r="D69" s="2" t="s">
        <v>72</v>
      </c>
      <c r="E69" s="2" t="s">
        <v>73</v>
      </c>
      <c r="F69" s="2">
        <v>17</v>
      </c>
      <c r="G69" s="7">
        <v>308.45</v>
      </c>
      <c r="H69" s="7">
        <v>4457.1000000000004</v>
      </c>
      <c r="I69" s="2">
        <v>15</v>
      </c>
      <c r="J69" s="2" t="s">
        <v>46</v>
      </c>
      <c r="K69" s="2" t="s">
        <v>83</v>
      </c>
      <c r="L69" s="2" t="s">
        <v>49</v>
      </c>
      <c r="M69" s="2" t="str">
        <f t="shared" si="3"/>
        <v>Check</v>
      </c>
      <c r="N69" s="2" t="str">
        <f t="shared" si="4"/>
        <v>Furniture</v>
      </c>
      <c r="O69" s="2" t="str">
        <f t="shared" si="5"/>
        <v>High Stock</v>
      </c>
    </row>
    <row r="70" spans="1:15" x14ac:dyDescent="0.3">
      <c r="A70" s="5">
        <v>45768</v>
      </c>
      <c r="B70" s="2" t="s">
        <v>258</v>
      </c>
      <c r="C70" s="2" t="s">
        <v>259</v>
      </c>
      <c r="D70" s="2" t="s">
        <v>40</v>
      </c>
      <c r="E70" s="2" t="s">
        <v>23</v>
      </c>
      <c r="F70" s="2">
        <v>2</v>
      </c>
      <c r="G70" s="7">
        <v>67.25</v>
      </c>
      <c r="H70" s="7">
        <v>121.05</v>
      </c>
      <c r="I70" s="2">
        <v>10</v>
      </c>
      <c r="J70" s="2" t="s">
        <v>46</v>
      </c>
      <c r="K70" s="2" t="s">
        <v>244</v>
      </c>
      <c r="L70" s="1" t="s">
        <v>2347</v>
      </c>
      <c r="M70" s="1" t="str">
        <f t="shared" si="3"/>
        <v>Online Payment</v>
      </c>
      <c r="N70" s="2" t="str">
        <f t="shared" si="4"/>
        <v>Accessories</v>
      </c>
      <c r="O70" s="1" t="str">
        <f t="shared" si="5"/>
        <v>Low Stock</v>
      </c>
    </row>
    <row r="71" spans="1:15" x14ac:dyDescent="0.3">
      <c r="A71" s="5">
        <v>45879</v>
      </c>
      <c r="B71" s="2" t="s">
        <v>261</v>
      </c>
      <c r="C71" s="2" t="s">
        <v>262</v>
      </c>
      <c r="D71" s="2" t="s">
        <v>40</v>
      </c>
      <c r="E71" s="2" t="s">
        <v>23</v>
      </c>
      <c r="F71" s="2">
        <v>23</v>
      </c>
      <c r="G71" s="7">
        <v>64.349999999999994</v>
      </c>
      <c r="H71" s="7">
        <v>1480.05</v>
      </c>
      <c r="I71" s="2">
        <v>0</v>
      </c>
      <c r="J71" s="2" t="s">
        <v>16</v>
      </c>
      <c r="K71" s="2" t="s">
        <v>91</v>
      </c>
      <c r="L71" s="2" t="s">
        <v>49</v>
      </c>
      <c r="M71" s="2" t="str">
        <f t="shared" si="3"/>
        <v>Check</v>
      </c>
      <c r="N71" s="2" t="str">
        <f t="shared" si="4"/>
        <v>Accessories</v>
      </c>
      <c r="O71" s="2" t="str">
        <f t="shared" si="5"/>
        <v>High Stock</v>
      </c>
    </row>
    <row r="72" spans="1:15" x14ac:dyDescent="0.3">
      <c r="A72" s="5">
        <v>46005</v>
      </c>
      <c r="B72" s="2" t="s">
        <v>263</v>
      </c>
      <c r="C72" s="2" t="s">
        <v>264</v>
      </c>
      <c r="D72" s="2" t="s">
        <v>34</v>
      </c>
      <c r="E72" s="2" t="s">
        <v>35</v>
      </c>
      <c r="F72" s="2">
        <v>4</v>
      </c>
      <c r="G72" s="7">
        <v>492.26</v>
      </c>
      <c r="H72" s="7">
        <v>1772.14</v>
      </c>
      <c r="I72" s="2">
        <v>10</v>
      </c>
      <c r="J72" s="2" t="s">
        <v>46</v>
      </c>
      <c r="K72" s="2" t="s">
        <v>244</v>
      </c>
      <c r="L72" s="2" t="s">
        <v>27</v>
      </c>
      <c r="M72" s="2" t="str">
        <f t="shared" si="3"/>
        <v>Cash</v>
      </c>
      <c r="N72" s="2" t="str">
        <f t="shared" si="4"/>
        <v>Electronics</v>
      </c>
      <c r="O72" s="2" t="str">
        <f t="shared" si="5"/>
        <v>Low Stock</v>
      </c>
    </row>
    <row r="73" spans="1:15" x14ac:dyDescent="0.3">
      <c r="A73" s="5">
        <v>46232</v>
      </c>
      <c r="B73" s="2" t="s">
        <v>266</v>
      </c>
      <c r="C73" s="2" t="s">
        <v>267</v>
      </c>
      <c r="D73" s="1" t="s">
        <v>95</v>
      </c>
      <c r="E73" s="2" t="s">
        <v>35</v>
      </c>
      <c r="F73" s="2">
        <v>36</v>
      </c>
      <c r="G73" s="7">
        <v>1022.56</v>
      </c>
      <c r="H73" s="7">
        <v>31290.34</v>
      </c>
      <c r="I73" s="2">
        <v>15</v>
      </c>
      <c r="J73" s="2" t="s">
        <v>16</v>
      </c>
      <c r="K73" s="2" t="s">
        <v>17</v>
      </c>
      <c r="L73" s="2" t="s">
        <v>27</v>
      </c>
      <c r="M73" s="2" t="str">
        <f t="shared" si="3"/>
        <v>Cash</v>
      </c>
      <c r="N73" s="2" t="str">
        <f t="shared" si="4"/>
        <v>Electronics</v>
      </c>
      <c r="O73" s="2" t="str">
        <f t="shared" si="5"/>
        <v>High Stock</v>
      </c>
    </row>
    <row r="74" spans="1:15" x14ac:dyDescent="0.3">
      <c r="A74" s="5">
        <v>46225</v>
      </c>
      <c r="B74" s="2" t="s">
        <v>269</v>
      </c>
      <c r="C74" s="2" t="s">
        <v>270</v>
      </c>
      <c r="D74" s="2" t="s">
        <v>123</v>
      </c>
      <c r="E74" s="2" t="s">
        <v>15</v>
      </c>
      <c r="F74" s="2">
        <v>32</v>
      </c>
      <c r="G74" s="7">
        <v>45.39</v>
      </c>
      <c r="H74" s="7">
        <v>1452.48</v>
      </c>
      <c r="I74" s="2">
        <v>0</v>
      </c>
      <c r="J74" s="2" t="s">
        <v>46</v>
      </c>
      <c r="K74" s="2" t="s">
        <v>83</v>
      </c>
      <c r="L74" s="1" t="s">
        <v>2347</v>
      </c>
      <c r="M74" s="1" t="str">
        <f t="shared" si="3"/>
        <v>Online Payment</v>
      </c>
      <c r="N74" s="2" t="str">
        <f t="shared" si="4"/>
        <v>Peripherals</v>
      </c>
      <c r="O74" s="1" t="str">
        <f t="shared" si="5"/>
        <v>High Stock</v>
      </c>
    </row>
    <row r="75" spans="1:15" x14ac:dyDescent="0.3">
      <c r="A75" s="5">
        <v>45912</v>
      </c>
      <c r="B75" s="2" t="s">
        <v>272</v>
      </c>
      <c r="C75" s="2" t="s">
        <v>273</v>
      </c>
      <c r="D75" s="2" t="s">
        <v>22</v>
      </c>
      <c r="E75" s="2" t="s">
        <v>23</v>
      </c>
      <c r="F75" s="2">
        <v>41</v>
      </c>
      <c r="G75" s="7">
        <v>26.32</v>
      </c>
      <c r="H75" s="7">
        <v>863.3</v>
      </c>
      <c r="I75" s="2">
        <v>20</v>
      </c>
      <c r="J75" s="2" t="s">
        <v>53</v>
      </c>
      <c r="K75" s="2" t="s">
        <v>134</v>
      </c>
      <c r="L75" s="2" t="s">
        <v>69</v>
      </c>
      <c r="M75" s="2" t="str">
        <f t="shared" si="3"/>
        <v>Debit Card</v>
      </c>
      <c r="N75" s="2" t="str">
        <f t="shared" si="4"/>
        <v>Accessories</v>
      </c>
      <c r="O75" s="2" t="str">
        <f t="shared" si="5"/>
        <v>High Stock</v>
      </c>
    </row>
    <row r="76" spans="1:15" x14ac:dyDescent="0.3">
      <c r="A76" s="5">
        <v>45712</v>
      </c>
      <c r="B76" s="2" t="s">
        <v>275</v>
      </c>
      <c r="C76" s="2" t="s">
        <v>276</v>
      </c>
      <c r="D76" s="2" t="s">
        <v>82</v>
      </c>
      <c r="E76" s="2" t="s">
        <v>73</v>
      </c>
      <c r="F76" s="2">
        <v>43</v>
      </c>
      <c r="G76" s="7">
        <v>301.3</v>
      </c>
      <c r="H76" s="7">
        <v>11660.31</v>
      </c>
      <c r="I76" s="2">
        <v>10</v>
      </c>
      <c r="J76" s="2" t="s">
        <v>24</v>
      </c>
      <c r="K76" s="2" t="s">
        <v>25</v>
      </c>
      <c r="L76" s="1" t="s">
        <v>2347</v>
      </c>
      <c r="M76" s="1" t="str">
        <f t="shared" si="3"/>
        <v>Online Payment</v>
      </c>
      <c r="N76" s="2" t="str">
        <f t="shared" si="4"/>
        <v>Furniture</v>
      </c>
      <c r="O76" s="1" t="str">
        <f t="shared" si="5"/>
        <v>High Stock</v>
      </c>
    </row>
    <row r="77" spans="1:15" x14ac:dyDescent="0.3">
      <c r="A77" s="5">
        <v>45669</v>
      </c>
      <c r="B77" s="2" t="s">
        <v>278</v>
      </c>
      <c r="C77" s="2" t="s">
        <v>279</v>
      </c>
      <c r="D77" s="2" t="s">
        <v>99</v>
      </c>
      <c r="E77" s="2" t="s">
        <v>23</v>
      </c>
      <c r="F77" s="2">
        <v>29</v>
      </c>
      <c r="G77" s="7">
        <v>17.760000000000002</v>
      </c>
      <c r="H77" s="7">
        <v>515.04</v>
      </c>
      <c r="I77" s="2">
        <v>0</v>
      </c>
      <c r="J77" s="2" t="s">
        <v>53</v>
      </c>
      <c r="K77" s="2" t="s">
        <v>54</v>
      </c>
      <c r="L77" s="2" t="s">
        <v>27</v>
      </c>
      <c r="M77" s="2" t="str">
        <f t="shared" si="3"/>
        <v>Cash</v>
      </c>
      <c r="N77" s="2" t="str">
        <f t="shared" si="4"/>
        <v>Accessories</v>
      </c>
      <c r="O77" s="2" t="str">
        <f t="shared" si="5"/>
        <v>High Stock</v>
      </c>
    </row>
    <row r="78" spans="1:15" x14ac:dyDescent="0.3">
      <c r="A78" s="5">
        <v>45992</v>
      </c>
      <c r="B78" s="2" t="s">
        <v>281</v>
      </c>
      <c r="C78" s="2" t="s">
        <v>282</v>
      </c>
      <c r="D78" s="2" t="s">
        <v>90</v>
      </c>
      <c r="E78" s="2" t="s">
        <v>23</v>
      </c>
      <c r="F78" s="2">
        <v>3</v>
      </c>
      <c r="G78" s="7">
        <v>44.31</v>
      </c>
      <c r="H78" s="7">
        <v>119.64</v>
      </c>
      <c r="I78" s="2">
        <v>10</v>
      </c>
      <c r="J78" s="2" t="s">
        <v>46</v>
      </c>
      <c r="K78" s="2" t="s">
        <v>124</v>
      </c>
      <c r="L78" s="2" t="s">
        <v>27</v>
      </c>
      <c r="M78" s="2" t="str">
        <f t="shared" si="3"/>
        <v>Cash</v>
      </c>
      <c r="N78" s="2" t="str">
        <f t="shared" si="4"/>
        <v>Accessories</v>
      </c>
      <c r="O78" s="2" t="str">
        <f t="shared" si="5"/>
        <v>Low Stock</v>
      </c>
    </row>
    <row r="79" spans="1:15" x14ac:dyDescent="0.3">
      <c r="A79" s="5">
        <v>45727</v>
      </c>
      <c r="B79" s="2" t="s">
        <v>284</v>
      </c>
      <c r="C79" s="2" t="s">
        <v>285</v>
      </c>
      <c r="D79" s="1" t="s">
        <v>95</v>
      </c>
      <c r="E79" s="2" t="s">
        <v>35</v>
      </c>
      <c r="F79" s="2">
        <v>20</v>
      </c>
      <c r="G79" s="7">
        <v>931.39</v>
      </c>
      <c r="H79" s="7">
        <v>18627.8</v>
      </c>
      <c r="I79" s="2">
        <v>0</v>
      </c>
      <c r="J79" s="2" t="s">
        <v>24</v>
      </c>
      <c r="K79" s="2" t="s">
        <v>104</v>
      </c>
      <c r="L79" s="1" t="s">
        <v>2347</v>
      </c>
      <c r="M79" s="1" t="str">
        <f t="shared" si="3"/>
        <v>Online Payment</v>
      </c>
      <c r="N79" s="2" t="str">
        <f t="shared" si="4"/>
        <v>Electronics</v>
      </c>
      <c r="O79" s="1" t="str">
        <f t="shared" si="5"/>
        <v>High Stock</v>
      </c>
    </row>
    <row r="80" spans="1:15" x14ac:dyDescent="0.3">
      <c r="A80" s="5">
        <v>46131</v>
      </c>
      <c r="B80" s="2" t="s">
        <v>287</v>
      </c>
      <c r="C80" s="2" t="s">
        <v>288</v>
      </c>
      <c r="D80" s="2" t="s">
        <v>45</v>
      </c>
      <c r="E80" s="2" t="s">
        <v>23</v>
      </c>
      <c r="F80" s="2">
        <v>26</v>
      </c>
      <c r="G80" s="7">
        <v>124.48</v>
      </c>
      <c r="H80" s="7">
        <v>3236.48</v>
      </c>
      <c r="I80" s="2">
        <v>0</v>
      </c>
      <c r="J80" s="2" t="s">
        <v>46</v>
      </c>
      <c r="K80" s="2" t="s">
        <v>124</v>
      </c>
      <c r="L80" s="2" t="s">
        <v>49</v>
      </c>
      <c r="M80" s="2" t="str">
        <f t="shared" si="3"/>
        <v>Check</v>
      </c>
      <c r="N80" s="2" t="str">
        <f t="shared" si="4"/>
        <v>Accessories</v>
      </c>
      <c r="O80" s="2" t="str">
        <f t="shared" si="5"/>
        <v>High Stock</v>
      </c>
    </row>
    <row r="81" spans="1:15" x14ac:dyDescent="0.3">
      <c r="A81" s="5">
        <v>45804</v>
      </c>
      <c r="B81" s="2" t="s">
        <v>290</v>
      </c>
      <c r="C81" s="2" t="s">
        <v>291</v>
      </c>
      <c r="D81" s="1" t="s">
        <v>95</v>
      </c>
      <c r="E81" s="2" t="s">
        <v>35</v>
      </c>
      <c r="F81" s="2">
        <v>29</v>
      </c>
      <c r="G81" s="7">
        <v>911.27</v>
      </c>
      <c r="H81" s="7">
        <v>22462.81</v>
      </c>
      <c r="I81" s="2">
        <v>15</v>
      </c>
      <c r="J81" s="2" t="s">
        <v>46</v>
      </c>
      <c r="K81" s="2" t="s">
        <v>83</v>
      </c>
      <c r="L81" s="2" t="s">
        <v>27</v>
      </c>
      <c r="M81" s="2" t="str">
        <f t="shared" si="3"/>
        <v>Cash</v>
      </c>
      <c r="N81" s="2" t="str">
        <f t="shared" si="4"/>
        <v>Electronics</v>
      </c>
      <c r="O81" s="2" t="str">
        <f t="shared" si="5"/>
        <v>High Stock</v>
      </c>
    </row>
    <row r="82" spans="1:15" x14ac:dyDescent="0.3">
      <c r="A82" s="5">
        <v>46195</v>
      </c>
      <c r="B82" s="2" t="s">
        <v>292</v>
      </c>
      <c r="C82" s="2" t="s">
        <v>293</v>
      </c>
      <c r="D82" s="2" t="s">
        <v>103</v>
      </c>
      <c r="E82" s="2" t="s">
        <v>35</v>
      </c>
      <c r="F82" s="2">
        <v>15</v>
      </c>
      <c r="G82" s="7">
        <v>583.48</v>
      </c>
      <c r="H82" s="7">
        <v>8752.2000000000007</v>
      </c>
      <c r="I82" s="2">
        <v>0</v>
      </c>
      <c r="J82" s="2" t="s">
        <v>53</v>
      </c>
      <c r="K82" s="2" t="s">
        <v>141</v>
      </c>
      <c r="L82" s="2" t="s">
        <v>27</v>
      </c>
      <c r="M82" s="2" t="str">
        <f t="shared" si="3"/>
        <v>Cash</v>
      </c>
      <c r="N82" s="2" t="str">
        <f t="shared" si="4"/>
        <v>Electronics</v>
      </c>
      <c r="O82" s="2" t="str">
        <f t="shared" si="5"/>
        <v>Low Stock</v>
      </c>
    </row>
    <row r="83" spans="1:15" x14ac:dyDescent="0.3">
      <c r="A83" s="5">
        <v>46172</v>
      </c>
      <c r="B83" s="2" t="s">
        <v>295</v>
      </c>
      <c r="C83" s="2" t="s">
        <v>296</v>
      </c>
      <c r="D83" s="2" t="s">
        <v>63</v>
      </c>
      <c r="E83" s="2" t="s">
        <v>15</v>
      </c>
      <c r="F83" s="2">
        <v>30</v>
      </c>
      <c r="G83" s="7">
        <v>43.97</v>
      </c>
      <c r="H83" s="7">
        <v>1253.1400000000001</v>
      </c>
      <c r="I83" s="2">
        <v>5</v>
      </c>
      <c r="J83" s="2" t="s">
        <v>46</v>
      </c>
      <c r="K83" s="2" t="s">
        <v>83</v>
      </c>
      <c r="L83" s="1" t="s">
        <v>2347</v>
      </c>
      <c r="M83" s="1" t="str">
        <f t="shared" si="3"/>
        <v>Online Payment</v>
      </c>
      <c r="N83" s="2" t="str">
        <f t="shared" si="4"/>
        <v>Peripherals</v>
      </c>
      <c r="O83" s="1" t="str">
        <f t="shared" si="5"/>
        <v>High Stock</v>
      </c>
    </row>
    <row r="84" spans="1:15" x14ac:dyDescent="0.3">
      <c r="A84" s="5">
        <v>45800</v>
      </c>
      <c r="B84" s="2" t="s">
        <v>298</v>
      </c>
      <c r="C84" s="2" t="s">
        <v>299</v>
      </c>
      <c r="D84" s="2" t="s">
        <v>123</v>
      </c>
      <c r="E84" s="2" t="s">
        <v>15</v>
      </c>
      <c r="F84" s="2">
        <v>33</v>
      </c>
      <c r="G84" s="7">
        <v>33.409999999999997</v>
      </c>
      <c r="H84" s="7">
        <v>1047.4000000000001</v>
      </c>
      <c r="I84" s="2">
        <v>5</v>
      </c>
      <c r="J84" s="2" t="s">
        <v>16</v>
      </c>
      <c r="K84" s="2" t="s">
        <v>17</v>
      </c>
      <c r="L84" s="2" t="s">
        <v>27</v>
      </c>
      <c r="M84" s="2" t="str">
        <f t="shared" si="3"/>
        <v>Cash</v>
      </c>
      <c r="N84" s="2" t="str">
        <f t="shared" si="4"/>
        <v>Peripherals</v>
      </c>
      <c r="O84" s="2" t="str">
        <f t="shared" si="5"/>
        <v>High Stock</v>
      </c>
    </row>
    <row r="85" spans="1:15" x14ac:dyDescent="0.3">
      <c r="A85" s="5">
        <v>45921</v>
      </c>
      <c r="B85" s="2" t="s">
        <v>301</v>
      </c>
      <c r="C85" s="2" t="s">
        <v>302</v>
      </c>
      <c r="D85" s="2" t="s">
        <v>103</v>
      </c>
      <c r="E85" s="2" t="s">
        <v>35</v>
      </c>
      <c r="F85" s="2">
        <v>27</v>
      </c>
      <c r="G85" s="7">
        <v>439.83</v>
      </c>
      <c r="H85" s="7">
        <v>11875.41</v>
      </c>
      <c r="I85" s="2">
        <v>0</v>
      </c>
      <c r="J85" s="2" t="s">
        <v>46</v>
      </c>
      <c r="K85" s="2" t="s">
        <v>47</v>
      </c>
      <c r="L85" s="1" t="s">
        <v>2347</v>
      </c>
      <c r="M85" s="1" t="str">
        <f t="shared" si="3"/>
        <v>Online Payment</v>
      </c>
      <c r="N85" s="2" t="str">
        <f t="shared" si="4"/>
        <v>Electronics</v>
      </c>
      <c r="O85" s="1" t="str">
        <f t="shared" si="5"/>
        <v>High Stock</v>
      </c>
    </row>
    <row r="86" spans="1:15" x14ac:dyDescent="0.3">
      <c r="A86" s="5">
        <v>45759</v>
      </c>
      <c r="B86" s="2" t="s">
        <v>304</v>
      </c>
      <c r="C86" s="2" t="s">
        <v>305</v>
      </c>
      <c r="D86" s="2" t="s">
        <v>99</v>
      </c>
      <c r="E86" s="2" t="s">
        <v>23</v>
      </c>
      <c r="F86" s="2">
        <v>17</v>
      </c>
      <c r="G86" s="7">
        <v>25.57</v>
      </c>
      <c r="H86" s="7">
        <v>434.69</v>
      </c>
      <c r="I86" s="2">
        <v>0</v>
      </c>
      <c r="J86" s="2" t="s">
        <v>53</v>
      </c>
      <c r="K86" s="2" t="s">
        <v>134</v>
      </c>
      <c r="L86" s="2" t="s">
        <v>49</v>
      </c>
      <c r="M86" s="2" t="str">
        <f t="shared" si="3"/>
        <v>Check</v>
      </c>
      <c r="N86" s="2" t="str">
        <f t="shared" si="4"/>
        <v>Accessories</v>
      </c>
      <c r="O86" s="2" t="str">
        <f t="shared" si="5"/>
        <v>High Stock</v>
      </c>
    </row>
    <row r="87" spans="1:15" x14ac:dyDescent="0.3">
      <c r="A87" s="5">
        <v>45932</v>
      </c>
      <c r="B87" s="2" t="s">
        <v>307</v>
      </c>
      <c r="C87" s="2" t="s">
        <v>308</v>
      </c>
      <c r="D87" s="2" t="s">
        <v>45</v>
      </c>
      <c r="E87" s="2" t="s">
        <v>23</v>
      </c>
      <c r="F87" s="2">
        <v>34</v>
      </c>
      <c r="G87" s="7">
        <v>121.26</v>
      </c>
      <c r="H87" s="7">
        <v>4122.84</v>
      </c>
      <c r="I87" s="2">
        <v>0</v>
      </c>
      <c r="J87" s="2" t="s">
        <v>53</v>
      </c>
      <c r="K87" s="2" t="s">
        <v>170</v>
      </c>
      <c r="L87" s="2" t="s">
        <v>31</v>
      </c>
      <c r="M87" s="2" t="str">
        <f t="shared" si="3"/>
        <v>Credit Card</v>
      </c>
      <c r="N87" s="2" t="str">
        <f t="shared" si="4"/>
        <v>Accessories</v>
      </c>
      <c r="O87" s="2" t="str">
        <f t="shared" si="5"/>
        <v>High Stock</v>
      </c>
    </row>
    <row r="88" spans="1:15" x14ac:dyDescent="0.3">
      <c r="A88" s="5">
        <v>46176</v>
      </c>
      <c r="B88" s="2" t="s">
        <v>310</v>
      </c>
      <c r="C88" s="2" t="s">
        <v>311</v>
      </c>
      <c r="D88" s="2" t="s">
        <v>14</v>
      </c>
      <c r="E88" s="2" t="s">
        <v>15</v>
      </c>
      <c r="F88" s="2">
        <v>37</v>
      </c>
      <c r="G88" s="7">
        <v>98.32</v>
      </c>
      <c r="H88" s="7">
        <v>3455.95</v>
      </c>
      <c r="I88" s="2">
        <v>5</v>
      </c>
      <c r="J88" s="2" t="s">
        <v>53</v>
      </c>
      <c r="K88" s="2" t="s">
        <v>67</v>
      </c>
      <c r="L88" s="2" t="s">
        <v>31</v>
      </c>
      <c r="M88" s="2" t="str">
        <f t="shared" si="3"/>
        <v>Credit Card</v>
      </c>
      <c r="N88" s="2" t="str">
        <f t="shared" si="4"/>
        <v>Peripherals</v>
      </c>
      <c r="O88" s="2" t="str">
        <f t="shared" si="5"/>
        <v>High Stock</v>
      </c>
    </row>
    <row r="89" spans="1:15" x14ac:dyDescent="0.3">
      <c r="A89" s="5">
        <v>46134</v>
      </c>
      <c r="B89" s="2" t="s">
        <v>313</v>
      </c>
      <c r="C89" s="2" t="s">
        <v>264</v>
      </c>
      <c r="D89" s="1" t="s">
        <v>95</v>
      </c>
      <c r="E89" s="2" t="s">
        <v>35</v>
      </c>
      <c r="F89" s="2">
        <v>19</v>
      </c>
      <c r="G89" s="7">
        <v>961.2</v>
      </c>
      <c r="H89" s="7">
        <v>17349.66</v>
      </c>
      <c r="I89" s="2">
        <v>5</v>
      </c>
      <c r="J89" s="2" t="s">
        <v>24</v>
      </c>
      <c r="K89" s="2" t="s">
        <v>36</v>
      </c>
      <c r="L89" s="1" t="s">
        <v>2347</v>
      </c>
      <c r="M89" s="1" t="str">
        <f t="shared" si="3"/>
        <v>Online Payment</v>
      </c>
      <c r="N89" s="2" t="str">
        <f t="shared" si="4"/>
        <v>Electronics</v>
      </c>
      <c r="O89" s="1" t="str">
        <f t="shared" si="5"/>
        <v>High Stock</v>
      </c>
    </row>
    <row r="90" spans="1:15" x14ac:dyDescent="0.3">
      <c r="A90" s="5">
        <v>45746</v>
      </c>
      <c r="B90" s="2" t="s">
        <v>315</v>
      </c>
      <c r="C90" s="2" t="s">
        <v>197</v>
      </c>
      <c r="D90" s="2" t="s">
        <v>14</v>
      </c>
      <c r="E90" s="2" t="s">
        <v>15</v>
      </c>
      <c r="F90" s="2">
        <v>16</v>
      </c>
      <c r="G90" s="7">
        <v>81.290000000000006</v>
      </c>
      <c r="H90" s="7">
        <v>1105.54</v>
      </c>
      <c r="I90" s="2">
        <v>15</v>
      </c>
      <c r="J90" s="2" t="s">
        <v>53</v>
      </c>
      <c r="K90" s="2" t="s">
        <v>67</v>
      </c>
      <c r="L90" s="2" t="s">
        <v>49</v>
      </c>
      <c r="M90" s="2" t="str">
        <f t="shared" si="3"/>
        <v>Check</v>
      </c>
      <c r="N90" s="2" t="str">
        <f t="shared" si="4"/>
        <v>Peripherals</v>
      </c>
      <c r="O90" s="2" t="str">
        <f t="shared" si="5"/>
        <v>High Stock</v>
      </c>
    </row>
    <row r="91" spans="1:15" x14ac:dyDescent="0.3">
      <c r="A91" s="5">
        <v>45797</v>
      </c>
      <c r="B91" s="2" t="s">
        <v>317</v>
      </c>
      <c r="C91" s="2" t="s">
        <v>318</v>
      </c>
      <c r="D91" s="2" t="s">
        <v>45</v>
      </c>
      <c r="E91" s="2" t="s">
        <v>23</v>
      </c>
      <c r="F91" s="2">
        <v>18</v>
      </c>
      <c r="G91" s="7">
        <v>107.49</v>
      </c>
      <c r="H91" s="7">
        <v>1838.08</v>
      </c>
      <c r="I91" s="2">
        <v>5</v>
      </c>
      <c r="J91" s="2" t="s">
        <v>53</v>
      </c>
      <c r="K91" s="2" t="s">
        <v>54</v>
      </c>
      <c r="L91" s="2" t="s">
        <v>49</v>
      </c>
      <c r="M91" s="2" t="str">
        <f t="shared" si="3"/>
        <v>Check</v>
      </c>
      <c r="N91" s="2" t="str">
        <f t="shared" si="4"/>
        <v>Accessories</v>
      </c>
      <c r="O91" s="2" t="str">
        <f t="shared" si="5"/>
        <v>High Stock</v>
      </c>
    </row>
    <row r="92" spans="1:15" x14ac:dyDescent="0.3">
      <c r="A92" s="5">
        <v>46094</v>
      </c>
      <c r="B92" s="2" t="s">
        <v>320</v>
      </c>
      <c r="C92" s="2" t="s">
        <v>321</v>
      </c>
      <c r="D92" s="2" t="s">
        <v>52</v>
      </c>
      <c r="E92" s="2" t="s">
        <v>35</v>
      </c>
      <c r="F92" s="2">
        <v>8</v>
      </c>
      <c r="G92" s="7">
        <v>162.71</v>
      </c>
      <c r="H92" s="7">
        <v>1301.68</v>
      </c>
      <c r="I92" s="2">
        <v>0</v>
      </c>
      <c r="J92" s="2" t="s">
        <v>46</v>
      </c>
      <c r="K92" s="2" t="s">
        <v>78</v>
      </c>
      <c r="L92" s="2" t="s">
        <v>49</v>
      </c>
      <c r="M92" s="2" t="str">
        <f t="shared" si="3"/>
        <v>Check</v>
      </c>
      <c r="N92" s="2" t="str">
        <f t="shared" si="4"/>
        <v>Electronics</v>
      </c>
      <c r="O92" s="2" t="str">
        <f t="shared" si="5"/>
        <v>Low Stock</v>
      </c>
    </row>
    <row r="93" spans="1:15" x14ac:dyDescent="0.3">
      <c r="A93" s="5">
        <v>46177</v>
      </c>
      <c r="B93" s="2" t="s">
        <v>323</v>
      </c>
      <c r="C93" s="2" t="s">
        <v>324</v>
      </c>
      <c r="D93" s="1" t="s">
        <v>95</v>
      </c>
      <c r="E93" s="2" t="s">
        <v>35</v>
      </c>
      <c r="F93" s="2">
        <v>3</v>
      </c>
      <c r="G93" s="7">
        <v>224.57</v>
      </c>
      <c r="H93" s="7">
        <v>673.71</v>
      </c>
      <c r="I93" s="2">
        <v>0</v>
      </c>
      <c r="J93" s="2" t="s">
        <v>24</v>
      </c>
      <c r="K93" s="2" t="s">
        <v>41</v>
      </c>
      <c r="L93" s="1" t="s">
        <v>2347</v>
      </c>
      <c r="M93" s="1" t="str">
        <f t="shared" si="3"/>
        <v>Online Payment</v>
      </c>
      <c r="N93" s="2" t="str">
        <f t="shared" si="4"/>
        <v>Electronics</v>
      </c>
      <c r="O93" s="1" t="str">
        <f t="shared" si="5"/>
        <v>Low Stock</v>
      </c>
    </row>
    <row r="94" spans="1:15" x14ac:dyDescent="0.3">
      <c r="A94" s="5">
        <v>46078</v>
      </c>
      <c r="B94" s="2" t="s">
        <v>326</v>
      </c>
      <c r="C94" s="2" t="s">
        <v>327</v>
      </c>
      <c r="D94" s="2" t="s">
        <v>63</v>
      </c>
      <c r="E94" s="2" t="s">
        <v>15</v>
      </c>
      <c r="F94" s="2">
        <v>1</v>
      </c>
      <c r="G94" s="7">
        <v>36.97</v>
      </c>
      <c r="H94" s="7">
        <v>36.97</v>
      </c>
      <c r="I94" s="2">
        <v>0</v>
      </c>
      <c r="J94" s="2" t="s">
        <v>24</v>
      </c>
      <c r="K94" s="2" t="s">
        <v>59</v>
      </c>
      <c r="L94" s="1" t="s">
        <v>2347</v>
      </c>
      <c r="M94" s="1" t="str">
        <f t="shared" si="3"/>
        <v>Online Payment</v>
      </c>
      <c r="N94" s="2" t="str">
        <f t="shared" si="4"/>
        <v>Peripherals</v>
      </c>
      <c r="O94" s="1" t="str">
        <f t="shared" si="5"/>
        <v>Low Stock</v>
      </c>
    </row>
    <row r="95" spans="1:15" x14ac:dyDescent="0.3">
      <c r="A95" s="5">
        <v>46045</v>
      </c>
      <c r="B95" s="2" t="s">
        <v>329</v>
      </c>
      <c r="C95" s="2" t="s">
        <v>330</v>
      </c>
      <c r="D95" s="2" t="s">
        <v>82</v>
      </c>
      <c r="E95" s="2" t="s">
        <v>73</v>
      </c>
      <c r="F95" s="2">
        <v>31</v>
      </c>
      <c r="G95" s="7">
        <v>706.82</v>
      </c>
      <c r="H95" s="7">
        <v>21911.42</v>
      </c>
      <c r="I95" s="2">
        <v>0</v>
      </c>
      <c r="J95" s="2" t="s">
        <v>53</v>
      </c>
      <c r="K95" s="2" t="s">
        <v>54</v>
      </c>
      <c r="L95" s="2" t="s">
        <v>31</v>
      </c>
      <c r="M95" s="2" t="str">
        <f t="shared" si="3"/>
        <v>Credit Card</v>
      </c>
      <c r="N95" s="2" t="str">
        <f t="shared" si="4"/>
        <v>Furniture</v>
      </c>
      <c r="O95" s="2" t="str">
        <f t="shared" si="5"/>
        <v>High Stock</v>
      </c>
    </row>
    <row r="96" spans="1:15" x14ac:dyDescent="0.3">
      <c r="A96" s="5">
        <v>45770</v>
      </c>
      <c r="B96" s="2" t="s">
        <v>332</v>
      </c>
      <c r="C96" s="2" t="s">
        <v>333</v>
      </c>
      <c r="D96" s="2" t="s">
        <v>63</v>
      </c>
      <c r="E96" s="2" t="s">
        <v>15</v>
      </c>
      <c r="F96" s="2">
        <v>46</v>
      </c>
      <c r="G96" s="7">
        <v>50.31</v>
      </c>
      <c r="H96" s="7">
        <v>2082.83</v>
      </c>
      <c r="I96" s="2">
        <v>10</v>
      </c>
      <c r="J96" s="2" t="s">
        <v>53</v>
      </c>
      <c r="K96" s="2" t="s">
        <v>67</v>
      </c>
      <c r="L96" s="2" t="s">
        <v>69</v>
      </c>
      <c r="M96" s="2" t="str">
        <f t="shared" si="3"/>
        <v>Debit Card</v>
      </c>
      <c r="N96" s="2" t="str">
        <f t="shared" si="4"/>
        <v>Peripherals</v>
      </c>
      <c r="O96" s="2" t="str">
        <f t="shared" si="5"/>
        <v>High Stock</v>
      </c>
    </row>
    <row r="97" spans="1:15" x14ac:dyDescent="0.3">
      <c r="A97" s="5">
        <v>45679</v>
      </c>
      <c r="B97" s="2" t="s">
        <v>335</v>
      </c>
      <c r="C97" s="2" t="s">
        <v>336</v>
      </c>
      <c r="D97" s="2" t="s">
        <v>40</v>
      </c>
      <c r="E97" s="2" t="s">
        <v>23</v>
      </c>
      <c r="F97" s="2">
        <v>10</v>
      </c>
      <c r="G97" s="7">
        <v>41.79</v>
      </c>
      <c r="H97" s="7">
        <v>355.22</v>
      </c>
      <c r="I97" s="2">
        <v>15</v>
      </c>
      <c r="J97" s="2" t="s">
        <v>53</v>
      </c>
      <c r="K97" s="2" t="s">
        <v>141</v>
      </c>
      <c r="L97" s="2" t="s">
        <v>27</v>
      </c>
      <c r="M97" s="2" t="str">
        <f t="shared" si="3"/>
        <v>Cash</v>
      </c>
      <c r="N97" s="2" t="str">
        <f t="shared" si="4"/>
        <v>Accessories</v>
      </c>
      <c r="O97" s="2" t="str">
        <f t="shared" si="5"/>
        <v>Low Stock</v>
      </c>
    </row>
    <row r="98" spans="1:15" x14ac:dyDescent="0.3">
      <c r="A98" s="5">
        <v>45662</v>
      </c>
      <c r="B98" s="2" t="s">
        <v>338</v>
      </c>
      <c r="C98" s="2" t="s">
        <v>339</v>
      </c>
      <c r="D98" s="2" t="s">
        <v>103</v>
      </c>
      <c r="E98" s="2" t="s">
        <v>35</v>
      </c>
      <c r="F98" s="2">
        <v>28</v>
      </c>
      <c r="G98" s="7">
        <v>406.75</v>
      </c>
      <c r="H98" s="7">
        <v>10819.55</v>
      </c>
      <c r="I98" s="2">
        <v>5</v>
      </c>
      <c r="J98" s="2" t="s">
        <v>46</v>
      </c>
      <c r="K98" s="2" t="s">
        <v>83</v>
      </c>
      <c r="L98" s="2" t="s">
        <v>31</v>
      </c>
      <c r="M98" s="2" t="str">
        <f t="shared" si="3"/>
        <v>Credit Card</v>
      </c>
      <c r="N98" s="2" t="str">
        <f t="shared" si="4"/>
        <v>Electronics</v>
      </c>
      <c r="O98" s="2" t="str">
        <f t="shared" si="5"/>
        <v>High Stock</v>
      </c>
    </row>
    <row r="99" spans="1:15" x14ac:dyDescent="0.3">
      <c r="A99" s="5">
        <v>45974</v>
      </c>
      <c r="B99" s="2" t="s">
        <v>341</v>
      </c>
      <c r="C99" s="2" t="s">
        <v>342</v>
      </c>
      <c r="D99" s="2" t="s">
        <v>14</v>
      </c>
      <c r="E99" s="2" t="s">
        <v>15</v>
      </c>
      <c r="F99" s="2">
        <v>42</v>
      </c>
      <c r="G99" s="7">
        <v>74.099999999999994</v>
      </c>
      <c r="H99" s="7">
        <v>3112.2</v>
      </c>
      <c r="I99" s="2">
        <v>0</v>
      </c>
      <c r="J99" s="2" t="s">
        <v>46</v>
      </c>
      <c r="K99" s="2" t="s">
        <v>244</v>
      </c>
      <c r="L99" s="2" t="s">
        <v>69</v>
      </c>
      <c r="M99" s="2" t="str">
        <f t="shared" si="3"/>
        <v>Debit Card</v>
      </c>
      <c r="N99" s="2" t="str">
        <f t="shared" si="4"/>
        <v>Peripherals</v>
      </c>
      <c r="O99" s="2" t="str">
        <f t="shared" si="5"/>
        <v>High Stock</v>
      </c>
    </row>
    <row r="100" spans="1:15" x14ac:dyDescent="0.3">
      <c r="A100" s="5">
        <v>45894</v>
      </c>
      <c r="B100" s="2" t="s">
        <v>344</v>
      </c>
      <c r="C100" s="2" t="s">
        <v>345</v>
      </c>
      <c r="D100" s="2" t="s">
        <v>90</v>
      </c>
      <c r="E100" s="2" t="s">
        <v>23</v>
      </c>
      <c r="F100" s="2">
        <v>38</v>
      </c>
      <c r="G100" s="7">
        <v>28.56</v>
      </c>
      <c r="H100" s="7">
        <v>922.49</v>
      </c>
      <c r="I100" s="2">
        <v>15</v>
      </c>
      <c r="J100" s="2" t="s">
        <v>16</v>
      </c>
      <c r="K100" s="2" t="s">
        <v>91</v>
      </c>
      <c r="L100" s="2" t="s">
        <v>69</v>
      </c>
      <c r="M100" s="2" t="str">
        <f t="shared" si="3"/>
        <v>Debit Card</v>
      </c>
      <c r="N100" s="2" t="str">
        <f t="shared" si="4"/>
        <v>Accessories</v>
      </c>
      <c r="O100" s="2" t="str">
        <f t="shared" si="5"/>
        <v>High Stock</v>
      </c>
    </row>
    <row r="101" spans="1:15" x14ac:dyDescent="0.3">
      <c r="A101" s="5">
        <v>46132</v>
      </c>
      <c r="B101" s="2" t="s">
        <v>347</v>
      </c>
      <c r="C101" s="2" t="s">
        <v>348</v>
      </c>
      <c r="D101" s="2" t="s">
        <v>45</v>
      </c>
      <c r="E101" s="2" t="s">
        <v>23</v>
      </c>
      <c r="F101" s="2">
        <v>5</v>
      </c>
      <c r="G101" s="7">
        <v>32.9</v>
      </c>
      <c r="H101" s="7">
        <v>156.28</v>
      </c>
      <c r="I101" s="2">
        <v>5</v>
      </c>
      <c r="J101" s="2" t="s">
        <v>46</v>
      </c>
      <c r="K101" s="2" t="s">
        <v>78</v>
      </c>
      <c r="L101" s="1" t="s">
        <v>2347</v>
      </c>
      <c r="M101" s="1" t="str">
        <f t="shared" si="3"/>
        <v>Online Payment</v>
      </c>
      <c r="N101" s="2" t="str">
        <f t="shared" si="4"/>
        <v>Accessories</v>
      </c>
      <c r="O101" s="1" t="str">
        <f t="shared" si="5"/>
        <v>Low Stock</v>
      </c>
    </row>
    <row r="102" spans="1:15" x14ac:dyDescent="0.3">
      <c r="A102" s="5">
        <v>46096</v>
      </c>
      <c r="B102" s="2" t="s">
        <v>350</v>
      </c>
      <c r="C102" s="2" t="s">
        <v>351</v>
      </c>
      <c r="D102" s="2" t="s">
        <v>40</v>
      </c>
      <c r="E102" s="2" t="s">
        <v>23</v>
      </c>
      <c r="F102" s="2">
        <v>34</v>
      </c>
      <c r="G102" s="7">
        <v>69.430000000000007</v>
      </c>
      <c r="H102" s="7">
        <v>2360.62</v>
      </c>
      <c r="I102" s="2">
        <v>0</v>
      </c>
      <c r="J102" s="2" t="s">
        <v>53</v>
      </c>
      <c r="K102" s="2" t="s">
        <v>170</v>
      </c>
      <c r="L102" s="2" t="s">
        <v>49</v>
      </c>
      <c r="M102" s="2" t="str">
        <f t="shared" si="3"/>
        <v>Check</v>
      </c>
      <c r="N102" s="2" t="str">
        <f t="shared" si="4"/>
        <v>Accessories</v>
      </c>
      <c r="O102" s="2" t="str">
        <f t="shared" si="5"/>
        <v>High Stock</v>
      </c>
    </row>
    <row r="103" spans="1:15" x14ac:dyDescent="0.3">
      <c r="A103" s="5">
        <v>45810</v>
      </c>
      <c r="B103" s="2" t="s">
        <v>352</v>
      </c>
      <c r="C103" s="2" t="s">
        <v>353</v>
      </c>
      <c r="D103" s="1" t="s">
        <v>95</v>
      </c>
      <c r="E103" s="2" t="s">
        <v>35</v>
      </c>
      <c r="F103" s="2">
        <v>18</v>
      </c>
      <c r="G103" s="7">
        <v>863.31</v>
      </c>
      <c r="H103" s="7">
        <v>15539.58</v>
      </c>
      <c r="I103" s="2">
        <v>0</v>
      </c>
      <c r="J103" s="2" t="s">
        <v>53</v>
      </c>
      <c r="K103" s="2" t="s">
        <v>54</v>
      </c>
      <c r="L103" s="2" t="s">
        <v>69</v>
      </c>
      <c r="M103" s="2" t="str">
        <f t="shared" si="3"/>
        <v>Debit Card</v>
      </c>
      <c r="N103" s="2" t="str">
        <f t="shared" si="4"/>
        <v>Electronics</v>
      </c>
      <c r="O103" s="2" t="str">
        <f t="shared" si="5"/>
        <v>High Stock</v>
      </c>
    </row>
    <row r="104" spans="1:15" x14ac:dyDescent="0.3">
      <c r="A104" s="5">
        <v>46114</v>
      </c>
      <c r="B104" s="2" t="s">
        <v>355</v>
      </c>
      <c r="C104" s="2" t="s">
        <v>356</v>
      </c>
      <c r="D104" s="2" t="s">
        <v>99</v>
      </c>
      <c r="E104" s="2" t="s">
        <v>23</v>
      </c>
      <c r="F104" s="2">
        <v>2</v>
      </c>
      <c r="G104" s="7">
        <v>13.86</v>
      </c>
      <c r="H104" s="7">
        <v>26.33</v>
      </c>
      <c r="I104" s="2">
        <v>5</v>
      </c>
      <c r="J104" s="2" t="s">
        <v>53</v>
      </c>
      <c r="K104" s="2" t="s">
        <v>67</v>
      </c>
      <c r="L104" s="2" t="s">
        <v>49</v>
      </c>
      <c r="M104" s="2" t="str">
        <f t="shared" si="3"/>
        <v>Check</v>
      </c>
      <c r="N104" s="2" t="str">
        <f t="shared" si="4"/>
        <v>Accessories</v>
      </c>
      <c r="O104" s="2" t="str">
        <f t="shared" si="5"/>
        <v>Low Stock</v>
      </c>
    </row>
    <row r="105" spans="1:15" x14ac:dyDescent="0.3">
      <c r="A105" s="5">
        <v>45825</v>
      </c>
      <c r="B105" s="2" t="s">
        <v>358</v>
      </c>
      <c r="C105" s="2" t="s">
        <v>359</v>
      </c>
      <c r="D105" s="2" t="s">
        <v>123</v>
      </c>
      <c r="E105" s="2" t="s">
        <v>15</v>
      </c>
      <c r="F105" s="2">
        <v>34</v>
      </c>
      <c r="G105" s="7">
        <v>44.07</v>
      </c>
      <c r="H105" s="7">
        <v>1348.54</v>
      </c>
      <c r="I105" s="2">
        <v>10</v>
      </c>
      <c r="J105" s="2" t="s">
        <v>24</v>
      </c>
      <c r="K105" s="2" t="s">
        <v>41</v>
      </c>
      <c r="L105" s="2" t="s">
        <v>31</v>
      </c>
      <c r="M105" s="2" t="str">
        <f t="shared" si="3"/>
        <v>Credit Card</v>
      </c>
      <c r="N105" s="2" t="str">
        <f t="shared" si="4"/>
        <v>Peripherals</v>
      </c>
      <c r="O105" s="2" t="str">
        <f t="shared" si="5"/>
        <v>High Stock</v>
      </c>
    </row>
    <row r="106" spans="1:15" x14ac:dyDescent="0.3">
      <c r="A106" s="5">
        <v>45596</v>
      </c>
      <c r="B106" s="2" t="s">
        <v>361</v>
      </c>
      <c r="C106" s="2" t="s">
        <v>362</v>
      </c>
      <c r="D106" s="2" t="s">
        <v>90</v>
      </c>
      <c r="E106" s="2" t="s">
        <v>23</v>
      </c>
      <c r="F106" s="2">
        <v>42</v>
      </c>
      <c r="G106" s="7">
        <v>27.97</v>
      </c>
      <c r="H106" s="7">
        <v>1174.74</v>
      </c>
      <c r="I106" s="2">
        <v>0</v>
      </c>
      <c r="J106" s="2" t="s">
        <v>46</v>
      </c>
      <c r="K106" s="2" t="s">
        <v>244</v>
      </c>
      <c r="L106" s="1" t="s">
        <v>2347</v>
      </c>
      <c r="M106" s="1" t="str">
        <f t="shared" si="3"/>
        <v>Online Payment</v>
      </c>
      <c r="N106" s="2" t="str">
        <f t="shared" si="4"/>
        <v>Accessories</v>
      </c>
      <c r="O106" s="1" t="str">
        <f t="shared" si="5"/>
        <v>High Stock</v>
      </c>
    </row>
    <row r="107" spans="1:15" x14ac:dyDescent="0.3">
      <c r="A107" s="5">
        <v>46137</v>
      </c>
      <c r="B107" s="2" t="s">
        <v>364</v>
      </c>
      <c r="C107" s="2" t="s">
        <v>365</v>
      </c>
      <c r="D107" s="2" t="s">
        <v>99</v>
      </c>
      <c r="E107" s="2" t="s">
        <v>23</v>
      </c>
      <c r="F107" s="2">
        <v>27</v>
      </c>
      <c r="G107" s="7">
        <v>25.5</v>
      </c>
      <c r="H107" s="7">
        <v>688.5</v>
      </c>
      <c r="I107" s="2">
        <v>0</v>
      </c>
      <c r="J107" s="2" t="s">
        <v>53</v>
      </c>
      <c r="K107" s="2" t="s">
        <v>134</v>
      </c>
      <c r="L107" s="2" t="s">
        <v>69</v>
      </c>
      <c r="M107" s="2" t="str">
        <f t="shared" si="3"/>
        <v>Debit Card</v>
      </c>
      <c r="N107" s="2" t="str">
        <f t="shared" si="4"/>
        <v>Accessories</v>
      </c>
      <c r="O107" s="2" t="str">
        <f t="shared" si="5"/>
        <v>High Stock</v>
      </c>
    </row>
    <row r="108" spans="1:15" x14ac:dyDescent="0.3">
      <c r="A108" s="5">
        <v>46236</v>
      </c>
      <c r="B108" s="2" t="s">
        <v>367</v>
      </c>
      <c r="C108" s="2" t="s">
        <v>368</v>
      </c>
      <c r="D108" s="2" t="s">
        <v>45</v>
      </c>
      <c r="E108" s="2" t="s">
        <v>23</v>
      </c>
      <c r="F108" s="2">
        <v>14</v>
      </c>
      <c r="G108" s="7">
        <v>92.29</v>
      </c>
      <c r="H108" s="7">
        <v>1098.25</v>
      </c>
      <c r="I108" s="2">
        <v>15</v>
      </c>
      <c r="J108" s="2" t="s">
        <v>24</v>
      </c>
      <c r="K108" s="2" t="s">
        <v>36</v>
      </c>
      <c r="L108" s="2" t="s">
        <v>31</v>
      </c>
      <c r="M108" s="2" t="str">
        <f t="shared" si="3"/>
        <v>Credit Card</v>
      </c>
      <c r="N108" s="2" t="str">
        <f t="shared" si="4"/>
        <v>Accessories</v>
      </c>
      <c r="O108" s="2" t="str">
        <f t="shared" si="5"/>
        <v>Low Stock</v>
      </c>
    </row>
    <row r="109" spans="1:15" x14ac:dyDescent="0.3">
      <c r="A109" s="5">
        <v>46134</v>
      </c>
      <c r="B109" s="2" t="s">
        <v>370</v>
      </c>
      <c r="C109" s="2" t="s">
        <v>371</v>
      </c>
      <c r="D109" s="2" t="s">
        <v>103</v>
      </c>
      <c r="E109" s="2" t="s">
        <v>35</v>
      </c>
      <c r="F109" s="2">
        <v>18</v>
      </c>
      <c r="G109" s="7">
        <v>264.27999999999997</v>
      </c>
      <c r="H109" s="7">
        <v>4281.34</v>
      </c>
      <c r="I109" s="2">
        <v>10</v>
      </c>
      <c r="J109" s="2" t="s">
        <v>24</v>
      </c>
      <c r="K109" s="2" t="s">
        <v>41</v>
      </c>
      <c r="L109" s="2" t="s">
        <v>69</v>
      </c>
      <c r="M109" s="2" t="str">
        <f t="shared" si="3"/>
        <v>Debit Card</v>
      </c>
      <c r="N109" s="2" t="str">
        <f t="shared" si="4"/>
        <v>Electronics</v>
      </c>
      <c r="O109" s="2" t="str">
        <f t="shared" si="5"/>
        <v>High Stock</v>
      </c>
    </row>
    <row r="110" spans="1:15" x14ac:dyDescent="0.3">
      <c r="A110" s="5">
        <v>46270</v>
      </c>
      <c r="B110" s="2" t="s">
        <v>372</v>
      </c>
      <c r="C110" s="2" t="s">
        <v>373</v>
      </c>
      <c r="D110" s="1" t="s">
        <v>95</v>
      </c>
      <c r="E110" s="2" t="s">
        <v>35</v>
      </c>
      <c r="F110" s="2">
        <v>25</v>
      </c>
      <c r="G110" s="7">
        <v>482.13</v>
      </c>
      <c r="H110" s="7">
        <v>12053.25</v>
      </c>
      <c r="I110" s="2">
        <v>0</v>
      </c>
      <c r="J110" s="2" t="s">
        <v>46</v>
      </c>
      <c r="K110" s="2" t="s">
        <v>47</v>
      </c>
      <c r="L110" s="2" t="s">
        <v>31</v>
      </c>
      <c r="M110" s="2" t="str">
        <f t="shared" si="3"/>
        <v>Credit Card</v>
      </c>
      <c r="N110" s="2" t="str">
        <f t="shared" si="4"/>
        <v>Electronics</v>
      </c>
      <c r="O110" s="2" t="str">
        <f t="shared" si="5"/>
        <v>High Stock</v>
      </c>
    </row>
    <row r="111" spans="1:15" x14ac:dyDescent="0.3">
      <c r="A111" s="5">
        <v>45845</v>
      </c>
      <c r="B111" s="2" t="s">
        <v>375</v>
      </c>
      <c r="C111" s="2" t="s">
        <v>376</v>
      </c>
      <c r="D111" s="2" t="s">
        <v>103</v>
      </c>
      <c r="E111" s="2" t="s">
        <v>35</v>
      </c>
      <c r="F111" s="2">
        <v>22</v>
      </c>
      <c r="G111" s="7">
        <v>585.71</v>
      </c>
      <c r="H111" s="7">
        <v>10952.78</v>
      </c>
      <c r="I111" s="2">
        <v>15</v>
      </c>
      <c r="J111" s="2" t="s">
        <v>46</v>
      </c>
      <c r="K111" s="2" t="s">
        <v>83</v>
      </c>
      <c r="L111" s="2" t="s">
        <v>27</v>
      </c>
      <c r="M111" s="2" t="str">
        <f t="shared" si="3"/>
        <v>Cash</v>
      </c>
      <c r="N111" s="2" t="str">
        <f t="shared" si="4"/>
        <v>Electronics</v>
      </c>
      <c r="O111" s="2" t="str">
        <f t="shared" si="5"/>
        <v>High Stock</v>
      </c>
    </row>
    <row r="112" spans="1:15" x14ac:dyDescent="0.3">
      <c r="A112" s="5">
        <v>46188</v>
      </c>
      <c r="B112" s="2" t="s">
        <v>378</v>
      </c>
      <c r="C112" s="2" t="s">
        <v>379</v>
      </c>
      <c r="D112" s="2" t="s">
        <v>22</v>
      </c>
      <c r="E112" s="2" t="s">
        <v>23</v>
      </c>
      <c r="F112" s="2">
        <v>2</v>
      </c>
      <c r="G112" s="7">
        <v>33.409999999999997</v>
      </c>
      <c r="H112" s="7">
        <v>60.14</v>
      </c>
      <c r="I112" s="2">
        <v>10</v>
      </c>
      <c r="J112" s="2" t="s">
        <v>16</v>
      </c>
      <c r="K112" s="2" t="s">
        <v>111</v>
      </c>
      <c r="L112" s="2" t="s">
        <v>49</v>
      </c>
      <c r="M112" s="2" t="str">
        <f t="shared" si="3"/>
        <v>Check</v>
      </c>
      <c r="N112" s="2" t="str">
        <f t="shared" si="4"/>
        <v>Accessories</v>
      </c>
      <c r="O112" s="2" t="str">
        <f t="shared" si="5"/>
        <v>Low Stock</v>
      </c>
    </row>
    <row r="113" spans="1:15" x14ac:dyDescent="0.3">
      <c r="A113" s="5">
        <v>45886</v>
      </c>
      <c r="B113" s="2" t="s">
        <v>381</v>
      </c>
      <c r="C113" s="2" t="s">
        <v>382</v>
      </c>
      <c r="D113" s="2" t="s">
        <v>99</v>
      </c>
      <c r="E113" s="2" t="s">
        <v>23</v>
      </c>
      <c r="F113" s="2">
        <v>7</v>
      </c>
      <c r="G113" s="7">
        <v>14.78</v>
      </c>
      <c r="H113" s="7">
        <v>98.29</v>
      </c>
      <c r="I113" s="2">
        <v>5</v>
      </c>
      <c r="J113" s="2" t="s">
        <v>53</v>
      </c>
      <c r="K113" s="2" t="s">
        <v>170</v>
      </c>
      <c r="L113" s="2" t="s">
        <v>27</v>
      </c>
      <c r="M113" s="2" t="str">
        <f t="shared" si="3"/>
        <v>Cash</v>
      </c>
      <c r="N113" s="2" t="str">
        <f t="shared" si="4"/>
        <v>Accessories</v>
      </c>
      <c r="O113" s="2" t="str">
        <f t="shared" si="5"/>
        <v>Low Stock</v>
      </c>
    </row>
    <row r="114" spans="1:15" x14ac:dyDescent="0.3">
      <c r="A114" s="5">
        <v>45779</v>
      </c>
      <c r="B114" s="2" t="s">
        <v>384</v>
      </c>
      <c r="C114" s="2" t="s">
        <v>385</v>
      </c>
      <c r="D114" s="2" t="s">
        <v>14</v>
      </c>
      <c r="E114" s="2" t="s">
        <v>15</v>
      </c>
      <c r="F114" s="2">
        <v>22</v>
      </c>
      <c r="G114" s="7">
        <v>100.57</v>
      </c>
      <c r="H114" s="7">
        <v>1991.29</v>
      </c>
      <c r="I114" s="2">
        <v>10</v>
      </c>
      <c r="J114" s="2" t="s">
        <v>16</v>
      </c>
      <c r="K114" s="2" t="s">
        <v>111</v>
      </c>
      <c r="L114" s="1" t="s">
        <v>2347</v>
      </c>
      <c r="M114" s="1" t="str">
        <f t="shared" si="3"/>
        <v>Online Payment</v>
      </c>
      <c r="N114" s="2" t="str">
        <f t="shared" si="4"/>
        <v>Peripherals</v>
      </c>
      <c r="O114" s="1" t="str">
        <f t="shared" si="5"/>
        <v>High Stock</v>
      </c>
    </row>
    <row r="115" spans="1:15" x14ac:dyDescent="0.3">
      <c r="A115" s="5">
        <v>45957</v>
      </c>
      <c r="B115" s="2" t="s">
        <v>387</v>
      </c>
      <c r="C115" s="2" t="s">
        <v>388</v>
      </c>
      <c r="D115" s="1" t="s">
        <v>95</v>
      </c>
      <c r="E115" s="2" t="s">
        <v>35</v>
      </c>
      <c r="F115" s="2">
        <v>44</v>
      </c>
      <c r="G115" s="7">
        <v>206.66</v>
      </c>
      <c r="H115" s="7">
        <v>8638.39</v>
      </c>
      <c r="I115" s="2">
        <v>5</v>
      </c>
      <c r="J115" s="2" t="s">
        <v>46</v>
      </c>
      <c r="K115" s="2" t="s">
        <v>47</v>
      </c>
      <c r="L115" s="2" t="s">
        <v>31</v>
      </c>
      <c r="M115" s="2" t="str">
        <f t="shared" si="3"/>
        <v>Credit Card</v>
      </c>
      <c r="N115" s="2" t="str">
        <f t="shared" si="4"/>
        <v>Electronics</v>
      </c>
      <c r="O115" s="2" t="str">
        <f t="shared" si="5"/>
        <v>High Stock</v>
      </c>
    </row>
    <row r="116" spans="1:15" x14ac:dyDescent="0.3">
      <c r="A116" s="5">
        <v>45626</v>
      </c>
      <c r="B116" s="2" t="s">
        <v>390</v>
      </c>
      <c r="C116" s="2" t="s">
        <v>391</v>
      </c>
      <c r="D116" s="2" t="s">
        <v>63</v>
      </c>
      <c r="E116" s="2" t="s">
        <v>15</v>
      </c>
      <c r="F116" s="2">
        <v>34</v>
      </c>
      <c r="G116" s="7">
        <v>75.25</v>
      </c>
      <c r="H116" s="7">
        <v>2302.65</v>
      </c>
      <c r="I116" s="2">
        <v>10</v>
      </c>
      <c r="J116" s="2" t="s">
        <v>53</v>
      </c>
      <c r="K116" s="2" t="s">
        <v>141</v>
      </c>
      <c r="L116" s="2" t="s">
        <v>49</v>
      </c>
      <c r="M116" s="2" t="str">
        <f t="shared" si="3"/>
        <v>Check</v>
      </c>
      <c r="N116" s="2" t="str">
        <f t="shared" si="4"/>
        <v>Peripherals</v>
      </c>
      <c r="O116" s="2" t="str">
        <f t="shared" si="5"/>
        <v>High Stock</v>
      </c>
    </row>
    <row r="117" spans="1:15" x14ac:dyDescent="0.3">
      <c r="A117" s="5">
        <v>46008</v>
      </c>
      <c r="B117" s="2" t="s">
        <v>393</v>
      </c>
      <c r="C117" s="2" t="s">
        <v>394</v>
      </c>
      <c r="D117" s="2" t="s">
        <v>99</v>
      </c>
      <c r="E117" s="2" t="s">
        <v>23</v>
      </c>
      <c r="F117" s="2">
        <v>15</v>
      </c>
      <c r="G117" s="7">
        <v>14.91</v>
      </c>
      <c r="H117" s="7">
        <v>212.47</v>
      </c>
      <c r="I117" s="2">
        <v>5</v>
      </c>
      <c r="J117" s="2" t="s">
        <v>46</v>
      </c>
      <c r="K117" s="2" t="s">
        <v>124</v>
      </c>
      <c r="L117" s="2" t="s">
        <v>31</v>
      </c>
      <c r="M117" s="2" t="str">
        <f t="shared" si="3"/>
        <v>Credit Card</v>
      </c>
      <c r="N117" s="2" t="str">
        <f t="shared" si="4"/>
        <v>Accessories</v>
      </c>
      <c r="O117" s="2" t="str">
        <f t="shared" si="5"/>
        <v>Low Stock</v>
      </c>
    </row>
    <row r="118" spans="1:15" x14ac:dyDescent="0.3">
      <c r="A118" s="5">
        <v>46242</v>
      </c>
      <c r="B118" s="2" t="s">
        <v>396</v>
      </c>
      <c r="C118" s="2" t="s">
        <v>397</v>
      </c>
      <c r="D118" s="2" t="s">
        <v>34</v>
      </c>
      <c r="E118" s="2" t="s">
        <v>35</v>
      </c>
      <c r="F118" s="2">
        <v>4</v>
      </c>
      <c r="G118" s="7">
        <v>579.55999999999995</v>
      </c>
      <c r="H118" s="7">
        <v>2202.33</v>
      </c>
      <c r="I118" s="2">
        <v>5</v>
      </c>
      <c r="J118" s="2" t="s">
        <v>24</v>
      </c>
      <c r="K118" s="2" t="s">
        <v>104</v>
      </c>
      <c r="L118" s="2" t="s">
        <v>69</v>
      </c>
      <c r="M118" s="2" t="str">
        <f t="shared" si="3"/>
        <v>Debit Card</v>
      </c>
      <c r="N118" s="2" t="str">
        <f t="shared" si="4"/>
        <v>Electronics</v>
      </c>
      <c r="O118" s="2" t="str">
        <f t="shared" si="5"/>
        <v>Low Stock</v>
      </c>
    </row>
    <row r="119" spans="1:15" x14ac:dyDescent="0.3">
      <c r="A119" s="5">
        <v>46085</v>
      </c>
      <c r="B119" s="2" t="s">
        <v>399</v>
      </c>
      <c r="C119" s="2" t="s">
        <v>400</v>
      </c>
      <c r="D119" s="1" t="s">
        <v>95</v>
      </c>
      <c r="E119" s="2" t="s">
        <v>35</v>
      </c>
      <c r="F119" s="2">
        <v>4</v>
      </c>
      <c r="G119" s="7">
        <v>900.7</v>
      </c>
      <c r="H119" s="7">
        <v>3422.66</v>
      </c>
      <c r="I119" s="2">
        <v>5</v>
      </c>
      <c r="J119" s="2" t="s">
        <v>46</v>
      </c>
      <c r="K119" s="2" t="s">
        <v>83</v>
      </c>
      <c r="L119" s="2" t="s">
        <v>49</v>
      </c>
      <c r="M119" s="2" t="str">
        <f t="shared" si="3"/>
        <v>Check</v>
      </c>
      <c r="N119" s="2" t="str">
        <f t="shared" si="4"/>
        <v>Electronics</v>
      </c>
      <c r="O119" s="2" t="str">
        <f t="shared" si="5"/>
        <v>Low Stock</v>
      </c>
    </row>
    <row r="120" spans="1:15" x14ac:dyDescent="0.3">
      <c r="A120" s="5">
        <v>45918</v>
      </c>
      <c r="B120" s="2" t="s">
        <v>401</v>
      </c>
      <c r="C120" s="2" t="s">
        <v>402</v>
      </c>
      <c r="D120" s="2" t="s">
        <v>123</v>
      </c>
      <c r="E120" s="2" t="s">
        <v>15</v>
      </c>
      <c r="F120" s="2">
        <v>7</v>
      </c>
      <c r="G120" s="7">
        <v>39.840000000000003</v>
      </c>
      <c r="H120" s="7">
        <v>250.99</v>
      </c>
      <c r="I120" s="2">
        <v>10</v>
      </c>
      <c r="J120" s="2" t="s">
        <v>16</v>
      </c>
      <c r="K120" s="2" t="s">
        <v>74</v>
      </c>
      <c r="L120" s="2" t="s">
        <v>31</v>
      </c>
      <c r="M120" s="2" t="str">
        <f t="shared" si="3"/>
        <v>Credit Card</v>
      </c>
      <c r="N120" s="2" t="str">
        <f t="shared" si="4"/>
        <v>Peripherals</v>
      </c>
      <c r="O120" s="2" t="str">
        <f t="shared" si="5"/>
        <v>Low Stock</v>
      </c>
    </row>
    <row r="121" spans="1:15" x14ac:dyDescent="0.3">
      <c r="A121" s="5">
        <v>45631</v>
      </c>
      <c r="B121" s="2" t="s">
        <v>404</v>
      </c>
      <c r="C121" s="2" t="s">
        <v>405</v>
      </c>
      <c r="D121" s="2" t="s">
        <v>82</v>
      </c>
      <c r="E121" s="2" t="s">
        <v>73</v>
      </c>
      <c r="F121" s="2">
        <v>6</v>
      </c>
      <c r="G121" s="7">
        <v>493.27</v>
      </c>
      <c r="H121" s="7">
        <v>2663.66</v>
      </c>
      <c r="I121" s="2">
        <v>10</v>
      </c>
      <c r="J121" s="2" t="s">
        <v>53</v>
      </c>
      <c r="K121" s="2" t="s">
        <v>54</v>
      </c>
      <c r="L121" s="2" t="s">
        <v>69</v>
      </c>
      <c r="M121" s="2" t="str">
        <f t="shared" si="3"/>
        <v>Debit Card</v>
      </c>
      <c r="N121" s="2" t="str">
        <f t="shared" si="4"/>
        <v>Furniture</v>
      </c>
      <c r="O121" s="2" t="str">
        <f t="shared" si="5"/>
        <v>Low Stock</v>
      </c>
    </row>
    <row r="122" spans="1:15" x14ac:dyDescent="0.3">
      <c r="A122" s="5">
        <v>45855</v>
      </c>
      <c r="B122" s="2" t="s">
        <v>407</v>
      </c>
      <c r="C122" s="2" t="s">
        <v>408</v>
      </c>
      <c r="D122" s="2" t="s">
        <v>90</v>
      </c>
      <c r="E122" s="2" t="s">
        <v>23</v>
      </c>
      <c r="F122" s="2">
        <v>13</v>
      </c>
      <c r="G122" s="7">
        <v>18.61</v>
      </c>
      <c r="H122" s="7">
        <v>241.93</v>
      </c>
      <c r="I122" s="2">
        <v>0</v>
      </c>
      <c r="J122" s="2" t="s">
        <v>46</v>
      </c>
      <c r="K122" s="2" t="s">
        <v>244</v>
      </c>
      <c r="L122" s="2" t="s">
        <v>31</v>
      </c>
      <c r="M122" s="2" t="str">
        <f t="shared" si="3"/>
        <v>Credit Card</v>
      </c>
      <c r="N122" s="2" t="str">
        <f t="shared" si="4"/>
        <v>Accessories</v>
      </c>
      <c r="O122" s="2" t="str">
        <f t="shared" si="5"/>
        <v>Low Stock</v>
      </c>
    </row>
    <row r="123" spans="1:15" x14ac:dyDescent="0.3">
      <c r="A123" s="5">
        <v>45789</v>
      </c>
      <c r="B123" s="2" t="s">
        <v>410</v>
      </c>
      <c r="C123" s="2" t="s">
        <v>411</v>
      </c>
      <c r="D123" s="2" t="s">
        <v>22</v>
      </c>
      <c r="E123" s="2" t="s">
        <v>23</v>
      </c>
      <c r="F123" s="2">
        <v>12</v>
      </c>
      <c r="G123" s="7">
        <v>34.020000000000003</v>
      </c>
      <c r="H123" s="7">
        <v>408.24</v>
      </c>
      <c r="I123" s="2">
        <v>0</v>
      </c>
      <c r="J123" s="2" t="s">
        <v>53</v>
      </c>
      <c r="K123" s="2" t="s">
        <v>54</v>
      </c>
      <c r="L123" s="2" t="s">
        <v>49</v>
      </c>
      <c r="M123" s="2" t="str">
        <f t="shared" si="3"/>
        <v>Check</v>
      </c>
      <c r="N123" s="2" t="str">
        <f t="shared" si="4"/>
        <v>Accessories</v>
      </c>
      <c r="O123" s="2" t="str">
        <f t="shared" si="5"/>
        <v>Low Stock</v>
      </c>
    </row>
    <row r="124" spans="1:15" x14ac:dyDescent="0.3">
      <c r="A124" s="5">
        <v>46022</v>
      </c>
      <c r="B124" s="2" t="s">
        <v>413</v>
      </c>
      <c r="C124" s="2" t="s">
        <v>414</v>
      </c>
      <c r="D124" s="2" t="s">
        <v>14</v>
      </c>
      <c r="E124" s="2" t="s">
        <v>15</v>
      </c>
      <c r="F124" s="2">
        <v>36</v>
      </c>
      <c r="G124" s="7">
        <v>84.11</v>
      </c>
      <c r="H124" s="7">
        <v>3027.96</v>
      </c>
      <c r="I124" s="2">
        <v>0</v>
      </c>
      <c r="J124" s="2" t="s">
        <v>53</v>
      </c>
      <c r="K124" s="2" t="s">
        <v>67</v>
      </c>
      <c r="L124" s="2" t="s">
        <v>49</v>
      </c>
      <c r="M124" s="2" t="str">
        <f t="shared" si="3"/>
        <v>Check</v>
      </c>
      <c r="N124" s="2" t="str">
        <f t="shared" si="4"/>
        <v>Peripherals</v>
      </c>
      <c r="O124" s="2" t="str">
        <f t="shared" si="5"/>
        <v>High Stock</v>
      </c>
    </row>
    <row r="125" spans="1:15" x14ac:dyDescent="0.3">
      <c r="A125" s="5">
        <v>46074</v>
      </c>
      <c r="B125" s="2" t="s">
        <v>416</v>
      </c>
      <c r="C125" s="2" t="s">
        <v>417</v>
      </c>
      <c r="D125" s="2" t="s">
        <v>63</v>
      </c>
      <c r="E125" s="2" t="s">
        <v>15</v>
      </c>
      <c r="F125" s="2">
        <v>29</v>
      </c>
      <c r="G125" s="7">
        <v>53.16</v>
      </c>
      <c r="H125" s="7">
        <v>1464.56</v>
      </c>
      <c r="I125" s="2">
        <v>5</v>
      </c>
      <c r="J125" s="2" t="s">
        <v>46</v>
      </c>
      <c r="K125" s="2" t="s">
        <v>47</v>
      </c>
      <c r="L125" s="2" t="s">
        <v>27</v>
      </c>
      <c r="M125" s="2" t="str">
        <f t="shared" si="3"/>
        <v>Cash</v>
      </c>
      <c r="N125" s="2" t="str">
        <f t="shared" si="4"/>
        <v>Peripherals</v>
      </c>
      <c r="O125" s="2" t="str">
        <f t="shared" si="5"/>
        <v>High Stock</v>
      </c>
    </row>
    <row r="126" spans="1:15" x14ac:dyDescent="0.3">
      <c r="A126" s="5">
        <v>45844</v>
      </c>
      <c r="B126" s="2" t="s">
        <v>419</v>
      </c>
      <c r="C126" s="2" t="s">
        <v>420</v>
      </c>
      <c r="D126" s="2" t="s">
        <v>99</v>
      </c>
      <c r="E126" s="2" t="s">
        <v>23</v>
      </c>
      <c r="F126" s="2">
        <v>49</v>
      </c>
      <c r="G126" s="7">
        <v>24.42</v>
      </c>
      <c r="H126" s="7">
        <v>1017.09</v>
      </c>
      <c r="I126" s="2">
        <v>15</v>
      </c>
      <c r="J126" s="2" t="s">
        <v>53</v>
      </c>
      <c r="K126" s="2" t="s">
        <v>170</v>
      </c>
      <c r="L126" s="2" t="s">
        <v>69</v>
      </c>
      <c r="M126" s="2" t="str">
        <f t="shared" si="3"/>
        <v>Debit Card</v>
      </c>
      <c r="N126" s="2" t="str">
        <f t="shared" si="4"/>
        <v>Accessories</v>
      </c>
      <c r="O126" s="2" t="str">
        <f t="shared" si="5"/>
        <v>High Stock</v>
      </c>
    </row>
    <row r="127" spans="1:15" x14ac:dyDescent="0.3">
      <c r="A127" s="5">
        <v>45582</v>
      </c>
      <c r="B127" s="2" t="s">
        <v>422</v>
      </c>
      <c r="C127" s="2" t="s">
        <v>423</v>
      </c>
      <c r="D127" s="2" t="s">
        <v>40</v>
      </c>
      <c r="E127" s="2" t="s">
        <v>23</v>
      </c>
      <c r="F127" s="2">
        <v>6</v>
      </c>
      <c r="G127" s="7">
        <v>76</v>
      </c>
      <c r="H127" s="7">
        <v>456</v>
      </c>
      <c r="I127" s="2">
        <v>0</v>
      </c>
      <c r="J127" s="2" t="s">
        <v>53</v>
      </c>
      <c r="K127" s="2" t="s">
        <v>170</v>
      </c>
      <c r="L127" s="2" t="s">
        <v>27</v>
      </c>
      <c r="M127" s="2" t="str">
        <f t="shared" si="3"/>
        <v>Cash</v>
      </c>
      <c r="N127" s="2" t="str">
        <f t="shared" si="4"/>
        <v>Accessories</v>
      </c>
      <c r="O127" s="2" t="str">
        <f t="shared" si="5"/>
        <v>Low Stock</v>
      </c>
    </row>
    <row r="128" spans="1:15" x14ac:dyDescent="0.3">
      <c r="A128" s="5">
        <v>46275</v>
      </c>
      <c r="B128" s="2" t="s">
        <v>425</v>
      </c>
      <c r="C128" s="2" t="s">
        <v>426</v>
      </c>
      <c r="D128" s="2" t="s">
        <v>45</v>
      </c>
      <c r="E128" s="2" t="s">
        <v>23</v>
      </c>
      <c r="F128" s="2">
        <v>24</v>
      </c>
      <c r="G128" s="7">
        <v>178.39</v>
      </c>
      <c r="H128" s="7">
        <v>4067.29</v>
      </c>
      <c r="I128" s="2">
        <v>5</v>
      </c>
      <c r="J128" s="2" t="s">
        <v>53</v>
      </c>
      <c r="K128" s="2" t="s">
        <v>170</v>
      </c>
      <c r="L128" s="2" t="s">
        <v>31</v>
      </c>
      <c r="M128" s="2" t="str">
        <f t="shared" si="3"/>
        <v>Credit Card</v>
      </c>
      <c r="N128" s="2" t="str">
        <f t="shared" si="4"/>
        <v>Accessories</v>
      </c>
      <c r="O128" s="2" t="str">
        <f t="shared" si="5"/>
        <v>High Stock</v>
      </c>
    </row>
    <row r="129" spans="1:15" x14ac:dyDescent="0.3">
      <c r="A129" s="5">
        <v>45958</v>
      </c>
      <c r="B129" s="2" t="s">
        <v>428</v>
      </c>
      <c r="C129" s="2" t="s">
        <v>429</v>
      </c>
      <c r="D129" s="2" t="s">
        <v>82</v>
      </c>
      <c r="E129" s="2" t="s">
        <v>73</v>
      </c>
      <c r="F129" s="2">
        <v>22</v>
      </c>
      <c r="G129" s="7">
        <v>718.94</v>
      </c>
      <c r="H129" s="7">
        <v>14235.01</v>
      </c>
      <c r="I129" s="2">
        <v>10</v>
      </c>
      <c r="J129" s="2" t="s">
        <v>16</v>
      </c>
      <c r="K129" s="2" t="s">
        <v>17</v>
      </c>
      <c r="L129" s="2" t="s">
        <v>49</v>
      </c>
      <c r="M129" s="2" t="str">
        <f t="shared" si="3"/>
        <v>Check</v>
      </c>
      <c r="N129" s="2" t="str">
        <f t="shared" si="4"/>
        <v>Furniture</v>
      </c>
      <c r="O129" s="2" t="str">
        <f t="shared" si="5"/>
        <v>High Stock</v>
      </c>
    </row>
    <row r="130" spans="1:15" x14ac:dyDescent="0.3">
      <c r="A130" s="5">
        <v>46251</v>
      </c>
      <c r="B130" s="2" t="s">
        <v>431</v>
      </c>
      <c r="C130" s="2" t="s">
        <v>432</v>
      </c>
      <c r="D130" s="2" t="s">
        <v>123</v>
      </c>
      <c r="E130" s="2" t="s">
        <v>15</v>
      </c>
      <c r="F130" s="2">
        <v>39</v>
      </c>
      <c r="G130" s="7">
        <v>39.200000000000003</v>
      </c>
      <c r="H130" s="7">
        <v>1452.36</v>
      </c>
      <c r="I130" s="2">
        <v>5</v>
      </c>
      <c r="J130" s="2" t="s">
        <v>24</v>
      </c>
      <c r="K130" s="2" t="s">
        <v>25</v>
      </c>
      <c r="L130" s="1" t="s">
        <v>2347</v>
      </c>
      <c r="M130" s="1" t="str">
        <f t="shared" si="3"/>
        <v>Online Payment</v>
      </c>
      <c r="N130" s="2" t="str">
        <f t="shared" si="4"/>
        <v>Peripherals</v>
      </c>
      <c r="O130" s="1" t="str">
        <f t="shared" si="5"/>
        <v>High Stock</v>
      </c>
    </row>
    <row r="131" spans="1:15" x14ac:dyDescent="0.3">
      <c r="A131" s="5">
        <v>45714</v>
      </c>
      <c r="B131" s="2" t="s">
        <v>434</v>
      </c>
      <c r="C131" s="2" t="s">
        <v>435</v>
      </c>
      <c r="D131" s="2" t="s">
        <v>52</v>
      </c>
      <c r="E131" s="2" t="s">
        <v>35</v>
      </c>
      <c r="F131" s="2">
        <v>36</v>
      </c>
      <c r="G131" s="7">
        <v>327.82</v>
      </c>
      <c r="H131" s="7">
        <v>11211.44</v>
      </c>
      <c r="I131" s="2">
        <v>5</v>
      </c>
      <c r="J131" s="2" t="s">
        <v>53</v>
      </c>
      <c r="K131" s="2" t="s">
        <v>170</v>
      </c>
      <c r="L131" s="2" t="s">
        <v>27</v>
      </c>
      <c r="M131" s="2" t="str">
        <f t="shared" ref="M131:M194" si="6">TRIM(L131)</f>
        <v>Cash</v>
      </c>
      <c r="N131" s="2" t="str">
        <f t="shared" ref="N131:N194" si="7">PROPER(E131)</f>
        <v>Electronics</v>
      </c>
      <c r="O131" s="2" t="str">
        <f t="shared" ref="O131:O194" si="8">IF(F131&gt;15,"High Stock","Low Stock")</f>
        <v>High Stock</v>
      </c>
    </row>
    <row r="132" spans="1:15" x14ac:dyDescent="0.3">
      <c r="A132" s="5">
        <v>45708</v>
      </c>
      <c r="B132" s="2" t="s">
        <v>437</v>
      </c>
      <c r="C132" s="2" t="s">
        <v>438</v>
      </c>
      <c r="D132" s="2" t="s">
        <v>123</v>
      </c>
      <c r="E132" s="2" t="s">
        <v>15</v>
      </c>
      <c r="F132" s="2">
        <v>45</v>
      </c>
      <c r="G132" s="7">
        <v>24.38</v>
      </c>
      <c r="H132" s="7">
        <v>877.68</v>
      </c>
      <c r="I132" s="2">
        <v>20</v>
      </c>
      <c r="J132" s="2" t="s">
        <v>46</v>
      </c>
      <c r="K132" s="2" t="s">
        <v>124</v>
      </c>
      <c r="L132" s="2" t="s">
        <v>27</v>
      </c>
      <c r="M132" s="2" t="str">
        <f t="shared" si="6"/>
        <v>Cash</v>
      </c>
      <c r="N132" s="2" t="str">
        <f t="shared" si="7"/>
        <v>Peripherals</v>
      </c>
      <c r="O132" s="2" t="str">
        <f t="shared" si="8"/>
        <v>High Stock</v>
      </c>
    </row>
    <row r="133" spans="1:15" x14ac:dyDescent="0.3">
      <c r="A133" s="5">
        <v>46105</v>
      </c>
      <c r="B133" s="2" t="s">
        <v>440</v>
      </c>
      <c r="C133" s="2" t="s">
        <v>441</v>
      </c>
      <c r="D133" s="2" t="s">
        <v>90</v>
      </c>
      <c r="E133" s="2" t="s">
        <v>23</v>
      </c>
      <c r="F133" s="2">
        <v>40</v>
      </c>
      <c r="G133" s="7">
        <v>35.619999999999997</v>
      </c>
      <c r="H133" s="7">
        <v>1139.8399999999999</v>
      </c>
      <c r="I133" s="2">
        <v>20</v>
      </c>
      <c r="J133" s="2" t="s">
        <v>46</v>
      </c>
      <c r="K133" s="2" t="s">
        <v>244</v>
      </c>
      <c r="L133" s="1" t="s">
        <v>2347</v>
      </c>
      <c r="M133" s="1" t="str">
        <f t="shared" si="6"/>
        <v>Online Payment</v>
      </c>
      <c r="N133" s="2" t="str">
        <f t="shared" si="7"/>
        <v>Accessories</v>
      </c>
      <c r="O133" s="1" t="str">
        <f t="shared" si="8"/>
        <v>High Stock</v>
      </c>
    </row>
    <row r="134" spans="1:15" x14ac:dyDescent="0.3">
      <c r="A134" s="5">
        <v>46244</v>
      </c>
      <c r="B134" s="2" t="s">
        <v>443</v>
      </c>
      <c r="C134" s="2" t="s">
        <v>444</v>
      </c>
      <c r="D134" s="1" t="s">
        <v>95</v>
      </c>
      <c r="E134" s="2" t="s">
        <v>35</v>
      </c>
      <c r="F134" s="2">
        <v>33</v>
      </c>
      <c r="G134" s="7">
        <v>287.77999999999997</v>
      </c>
      <c r="H134" s="7">
        <v>8547.07</v>
      </c>
      <c r="I134" s="2">
        <v>10</v>
      </c>
      <c r="J134" s="2" t="s">
        <v>46</v>
      </c>
      <c r="K134" s="2" t="s">
        <v>83</v>
      </c>
      <c r="L134" s="2" t="s">
        <v>31</v>
      </c>
      <c r="M134" s="2" t="str">
        <f t="shared" si="6"/>
        <v>Credit Card</v>
      </c>
      <c r="N134" s="2" t="str">
        <f t="shared" si="7"/>
        <v>Electronics</v>
      </c>
      <c r="O134" s="2" t="str">
        <f t="shared" si="8"/>
        <v>High Stock</v>
      </c>
    </row>
    <row r="135" spans="1:15" x14ac:dyDescent="0.3">
      <c r="A135" s="5">
        <v>45642</v>
      </c>
      <c r="B135" s="2" t="s">
        <v>446</v>
      </c>
      <c r="C135" s="2" t="s">
        <v>447</v>
      </c>
      <c r="D135" s="2" t="s">
        <v>22</v>
      </c>
      <c r="E135" s="2" t="s">
        <v>23</v>
      </c>
      <c r="F135" s="2">
        <v>30</v>
      </c>
      <c r="G135" s="7">
        <v>27.49</v>
      </c>
      <c r="H135" s="7">
        <v>824.7</v>
      </c>
      <c r="I135" s="2">
        <v>0</v>
      </c>
      <c r="J135" s="2" t="s">
        <v>53</v>
      </c>
      <c r="K135" s="2" t="s">
        <v>134</v>
      </c>
      <c r="L135" s="1" t="s">
        <v>2347</v>
      </c>
      <c r="M135" s="1" t="str">
        <f t="shared" si="6"/>
        <v>Online Payment</v>
      </c>
      <c r="N135" s="2" t="str">
        <f t="shared" si="7"/>
        <v>Accessories</v>
      </c>
      <c r="O135" s="1" t="str">
        <f t="shared" si="8"/>
        <v>High Stock</v>
      </c>
    </row>
    <row r="136" spans="1:15" x14ac:dyDescent="0.3">
      <c r="A136" s="5">
        <v>46139</v>
      </c>
      <c r="B136" s="2" t="s">
        <v>449</v>
      </c>
      <c r="C136" s="2" t="s">
        <v>450</v>
      </c>
      <c r="D136" s="2" t="s">
        <v>63</v>
      </c>
      <c r="E136" s="2" t="s">
        <v>15</v>
      </c>
      <c r="F136" s="2">
        <v>24</v>
      </c>
      <c r="G136" s="7">
        <v>47.71</v>
      </c>
      <c r="H136" s="7">
        <v>916.03</v>
      </c>
      <c r="I136" s="2">
        <v>20</v>
      </c>
      <c r="J136" s="2" t="s">
        <v>16</v>
      </c>
      <c r="K136" s="2" t="s">
        <v>17</v>
      </c>
      <c r="L136" s="2" t="s">
        <v>27</v>
      </c>
      <c r="M136" s="2" t="str">
        <f t="shared" si="6"/>
        <v>Cash</v>
      </c>
      <c r="N136" s="2" t="str">
        <f t="shared" si="7"/>
        <v>Peripherals</v>
      </c>
      <c r="O136" s="2" t="str">
        <f t="shared" si="8"/>
        <v>High Stock</v>
      </c>
    </row>
    <row r="137" spans="1:15" x14ac:dyDescent="0.3">
      <c r="A137" s="5">
        <v>46131</v>
      </c>
      <c r="B137" s="2" t="s">
        <v>452</v>
      </c>
      <c r="C137" s="2" t="s">
        <v>29</v>
      </c>
      <c r="D137" s="2" t="s">
        <v>63</v>
      </c>
      <c r="E137" s="2" t="s">
        <v>15</v>
      </c>
      <c r="F137" s="2">
        <v>32</v>
      </c>
      <c r="G137" s="7">
        <v>76.89</v>
      </c>
      <c r="H137" s="7">
        <v>2460.48</v>
      </c>
      <c r="I137" s="2">
        <v>0</v>
      </c>
      <c r="J137" s="2" t="s">
        <v>16</v>
      </c>
      <c r="K137" s="2" t="s">
        <v>17</v>
      </c>
      <c r="L137" s="2" t="s">
        <v>69</v>
      </c>
      <c r="M137" s="2" t="str">
        <f t="shared" si="6"/>
        <v>Debit Card</v>
      </c>
      <c r="N137" s="2" t="str">
        <f t="shared" si="7"/>
        <v>Peripherals</v>
      </c>
      <c r="O137" s="2" t="str">
        <f t="shared" si="8"/>
        <v>High Stock</v>
      </c>
    </row>
    <row r="138" spans="1:15" x14ac:dyDescent="0.3">
      <c r="A138" s="5">
        <v>45794</v>
      </c>
      <c r="B138" s="2" t="s">
        <v>453</v>
      </c>
      <c r="C138" s="2" t="s">
        <v>454</v>
      </c>
      <c r="D138" s="2" t="s">
        <v>72</v>
      </c>
      <c r="E138" s="2" t="s">
        <v>73</v>
      </c>
      <c r="F138" s="2">
        <v>5</v>
      </c>
      <c r="G138" s="7">
        <v>499.57</v>
      </c>
      <c r="H138" s="7">
        <v>2248.0700000000002</v>
      </c>
      <c r="I138" s="2">
        <v>10</v>
      </c>
      <c r="J138" s="2" t="s">
        <v>46</v>
      </c>
      <c r="K138" s="2" t="s">
        <v>124</v>
      </c>
      <c r="L138" s="2" t="s">
        <v>49</v>
      </c>
      <c r="M138" s="2" t="str">
        <f t="shared" si="6"/>
        <v>Check</v>
      </c>
      <c r="N138" s="2" t="str">
        <f t="shared" si="7"/>
        <v>Furniture</v>
      </c>
      <c r="O138" s="2" t="str">
        <f t="shared" si="8"/>
        <v>Low Stock</v>
      </c>
    </row>
    <row r="139" spans="1:15" x14ac:dyDescent="0.3">
      <c r="A139" s="5">
        <v>45743</v>
      </c>
      <c r="B139" s="2" t="s">
        <v>456</v>
      </c>
      <c r="C139" s="2" t="s">
        <v>457</v>
      </c>
      <c r="D139" s="2" t="s">
        <v>99</v>
      </c>
      <c r="E139" s="2" t="s">
        <v>23</v>
      </c>
      <c r="F139" s="2">
        <v>40</v>
      </c>
      <c r="G139" s="7">
        <v>13.06</v>
      </c>
      <c r="H139" s="7">
        <v>470.16</v>
      </c>
      <c r="I139" s="2">
        <v>10</v>
      </c>
      <c r="J139" s="2" t="s">
        <v>46</v>
      </c>
      <c r="K139" s="2" t="s">
        <v>124</v>
      </c>
      <c r="L139" s="2" t="s">
        <v>69</v>
      </c>
      <c r="M139" s="2" t="str">
        <f t="shared" si="6"/>
        <v>Debit Card</v>
      </c>
      <c r="N139" s="2" t="str">
        <f t="shared" si="7"/>
        <v>Accessories</v>
      </c>
      <c r="O139" s="2" t="str">
        <f t="shared" si="8"/>
        <v>High Stock</v>
      </c>
    </row>
    <row r="140" spans="1:15" x14ac:dyDescent="0.3">
      <c r="A140" s="5">
        <v>46042</v>
      </c>
      <c r="B140" s="2" t="s">
        <v>459</v>
      </c>
      <c r="C140" s="2" t="s">
        <v>460</v>
      </c>
      <c r="D140" s="2" t="s">
        <v>72</v>
      </c>
      <c r="E140" s="2" t="s">
        <v>73</v>
      </c>
      <c r="F140" s="2">
        <v>43</v>
      </c>
      <c r="G140" s="7">
        <v>335.63</v>
      </c>
      <c r="H140" s="7">
        <v>14432.09</v>
      </c>
      <c r="I140" s="2">
        <v>0</v>
      </c>
      <c r="J140" s="2" t="s">
        <v>24</v>
      </c>
      <c r="K140" s="2" t="s">
        <v>59</v>
      </c>
      <c r="L140" s="1" t="s">
        <v>2347</v>
      </c>
      <c r="M140" s="1" t="str">
        <f t="shared" si="6"/>
        <v>Online Payment</v>
      </c>
      <c r="N140" s="2" t="str">
        <f t="shared" si="7"/>
        <v>Furniture</v>
      </c>
      <c r="O140" s="1" t="str">
        <f t="shared" si="8"/>
        <v>High Stock</v>
      </c>
    </row>
    <row r="141" spans="1:15" x14ac:dyDescent="0.3">
      <c r="A141" s="5">
        <v>45879</v>
      </c>
      <c r="B141" s="2" t="s">
        <v>462</v>
      </c>
      <c r="C141" s="2" t="s">
        <v>463</v>
      </c>
      <c r="D141" s="1" t="s">
        <v>95</v>
      </c>
      <c r="E141" s="2" t="s">
        <v>35</v>
      </c>
      <c r="F141" s="2">
        <v>32</v>
      </c>
      <c r="G141" s="7">
        <v>355.11</v>
      </c>
      <c r="H141" s="7">
        <v>10795.34</v>
      </c>
      <c r="I141" s="2">
        <v>5</v>
      </c>
      <c r="J141" s="2" t="s">
        <v>24</v>
      </c>
      <c r="K141" s="2" t="s">
        <v>25</v>
      </c>
      <c r="L141" s="2" t="s">
        <v>31</v>
      </c>
      <c r="M141" s="2" t="str">
        <f t="shared" si="6"/>
        <v>Credit Card</v>
      </c>
      <c r="N141" s="2" t="str">
        <f t="shared" si="7"/>
        <v>Electronics</v>
      </c>
      <c r="O141" s="2" t="str">
        <f t="shared" si="8"/>
        <v>High Stock</v>
      </c>
    </row>
    <row r="142" spans="1:15" x14ac:dyDescent="0.3">
      <c r="A142" s="5">
        <v>45824</v>
      </c>
      <c r="B142" s="2" t="s">
        <v>464</v>
      </c>
      <c r="C142" s="2" t="s">
        <v>465</v>
      </c>
      <c r="D142" s="2" t="s">
        <v>103</v>
      </c>
      <c r="E142" s="2" t="s">
        <v>35</v>
      </c>
      <c r="F142" s="2">
        <v>46</v>
      </c>
      <c r="G142" s="7">
        <v>274.70999999999998</v>
      </c>
      <c r="H142" s="7">
        <v>12004.83</v>
      </c>
      <c r="I142" s="2">
        <v>5</v>
      </c>
      <c r="J142" s="2" t="s">
        <v>46</v>
      </c>
      <c r="K142" s="2" t="s">
        <v>78</v>
      </c>
      <c r="L142" s="2" t="s">
        <v>31</v>
      </c>
      <c r="M142" s="2" t="str">
        <f t="shared" si="6"/>
        <v>Credit Card</v>
      </c>
      <c r="N142" s="2" t="str">
        <f t="shared" si="7"/>
        <v>Electronics</v>
      </c>
      <c r="O142" s="2" t="str">
        <f t="shared" si="8"/>
        <v>High Stock</v>
      </c>
    </row>
    <row r="143" spans="1:15" x14ac:dyDescent="0.3">
      <c r="A143" s="5">
        <v>46020</v>
      </c>
      <c r="B143" s="2" t="s">
        <v>467</v>
      </c>
      <c r="C143" s="2" t="s">
        <v>291</v>
      </c>
      <c r="D143" s="1" t="s">
        <v>95</v>
      </c>
      <c r="E143" s="2" t="s">
        <v>35</v>
      </c>
      <c r="F143" s="2">
        <v>46</v>
      </c>
      <c r="G143" s="7">
        <v>424.79</v>
      </c>
      <c r="H143" s="7">
        <v>17586.310000000001</v>
      </c>
      <c r="I143" s="2">
        <v>10</v>
      </c>
      <c r="J143" s="2" t="s">
        <v>53</v>
      </c>
      <c r="K143" s="2" t="s">
        <v>141</v>
      </c>
      <c r="L143" s="2" t="s">
        <v>49</v>
      </c>
      <c r="M143" s="2" t="str">
        <f t="shared" si="6"/>
        <v>Check</v>
      </c>
      <c r="N143" s="2" t="str">
        <f t="shared" si="7"/>
        <v>Electronics</v>
      </c>
      <c r="O143" s="2" t="str">
        <f t="shared" si="8"/>
        <v>High Stock</v>
      </c>
    </row>
    <row r="144" spans="1:15" x14ac:dyDescent="0.3">
      <c r="A144" s="5">
        <v>45886</v>
      </c>
      <c r="B144" s="2" t="s">
        <v>469</v>
      </c>
      <c r="C144" s="2" t="s">
        <v>470</v>
      </c>
      <c r="D144" s="2" t="s">
        <v>82</v>
      </c>
      <c r="E144" s="2" t="s">
        <v>73</v>
      </c>
      <c r="F144" s="2">
        <v>15</v>
      </c>
      <c r="G144" s="7">
        <v>395.69</v>
      </c>
      <c r="H144" s="7">
        <v>5638.58</v>
      </c>
      <c r="I144" s="2">
        <v>5</v>
      </c>
      <c r="J144" s="2" t="s">
        <v>46</v>
      </c>
      <c r="K144" s="2" t="s">
        <v>124</v>
      </c>
      <c r="L144" s="2" t="s">
        <v>31</v>
      </c>
      <c r="M144" s="2" t="str">
        <f t="shared" si="6"/>
        <v>Credit Card</v>
      </c>
      <c r="N144" s="2" t="str">
        <f t="shared" si="7"/>
        <v>Furniture</v>
      </c>
      <c r="O144" s="2" t="str">
        <f t="shared" si="8"/>
        <v>Low Stock</v>
      </c>
    </row>
    <row r="145" spans="1:15" x14ac:dyDescent="0.3">
      <c r="A145" s="5">
        <v>46261</v>
      </c>
      <c r="B145" s="2" t="s">
        <v>471</v>
      </c>
      <c r="C145" s="2" t="s">
        <v>472</v>
      </c>
      <c r="D145" s="1" t="s">
        <v>95</v>
      </c>
      <c r="E145" s="2" t="s">
        <v>35</v>
      </c>
      <c r="F145" s="2">
        <v>12</v>
      </c>
      <c r="G145" s="7">
        <v>1069.95</v>
      </c>
      <c r="H145" s="7">
        <v>12839.4</v>
      </c>
      <c r="I145" s="2">
        <v>0</v>
      </c>
      <c r="J145" s="2" t="s">
        <v>16</v>
      </c>
      <c r="K145" s="2" t="s">
        <v>91</v>
      </c>
      <c r="L145" s="2" t="s">
        <v>49</v>
      </c>
      <c r="M145" s="2" t="str">
        <f t="shared" si="6"/>
        <v>Check</v>
      </c>
      <c r="N145" s="2" t="str">
        <f t="shared" si="7"/>
        <v>Electronics</v>
      </c>
      <c r="O145" s="2" t="str">
        <f t="shared" si="8"/>
        <v>Low Stock</v>
      </c>
    </row>
    <row r="146" spans="1:15" x14ac:dyDescent="0.3">
      <c r="A146" s="5">
        <v>45803</v>
      </c>
      <c r="B146" s="2" t="s">
        <v>474</v>
      </c>
      <c r="C146" s="2" t="s">
        <v>475</v>
      </c>
      <c r="D146" s="2" t="s">
        <v>123</v>
      </c>
      <c r="E146" s="2" t="s">
        <v>15</v>
      </c>
      <c r="F146" s="2">
        <v>11</v>
      </c>
      <c r="G146" s="7">
        <v>35.03</v>
      </c>
      <c r="H146" s="7">
        <v>385.33</v>
      </c>
      <c r="I146" s="2">
        <v>0</v>
      </c>
      <c r="J146" s="2" t="s">
        <v>46</v>
      </c>
      <c r="K146" s="2" t="s">
        <v>124</v>
      </c>
      <c r="L146" s="1" t="s">
        <v>2347</v>
      </c>
      <c r="M146" s="1" t="str">
        <f t="shared" si="6"/>
        <v>Online Payment</v>
      </c>
      <c r="N146" s="2" t="str">
        <f t="shared" si="7"/>
        <v>Peripherals</v>
      </c>
      <c r="O146" s="1" t="str">
        <f t="shared" si="8"/>
        <v>Low Stock</v>
      </c>
    </row>
    <row r="147" spans="1:15" x14ac:dyDescent="0.3">
      <c r="A147" s="5">
        <v>46040</v>
      </c>
      <c r="B147" s="2" t="s">
        <v>477</v>
      </c>
      <c r="C147" s="2" t="s">
        <v>478</v>
      </c>
      <c r="D147" s="1" t="s">
        <v>95</v>
      </c>
      <c r="E147" s="2" t="s">
        <v>35</v>
      </c>
      <c r="F147" s="2">
        <v>16</v>
      </c>
      <c r="G147" s="7">
        <v>1009.59</v>
      </c>
      <c r="H147" s="7">
        <v>16153.44</v>
      </c>
      <c r="I147" s="2">
        <v>0</v>
      </c>
      <c r="J147" s="2" t="s">
        <v>16</v>
      </c>
      <c r="K147" s="2" t="s">
        <v>111</v>
      </c>
      <c r="L147" s="2" t="s">
        <v>31</v>
      </c>
      <c r="M147" s="2" t="str">
        <f t="shared" si="6"/>
        <v>Credit Card</v>
      </c>
      <c r="N147" s="2" t="str">
        <f t="shared" si="7"/>
        <v>Electronics</v>
      </c>
      <c r="O147" s="2" t="str">
        <f t="shared" si="8"/>
        <v>High Stock</v>
      </c>
    </row>
    <row r="148" spans="1:15" x14ac:dyDescent="0.3">
      <c r="A148" s="5">
        <v>45905</v>
      </c>
      <c r="B148" s="2" t="s">
        <v>480</v>
      </c>
      <c r="C148" s="2" t="s">
        <v>481</v>
      </c>
      <c r="D148" s="2" t="s">
        <v>45</v>
      </c>
      <c r="E148" s="2" t="s">
        <v>23</v>
      </c>
      <c r="F148" s="2">
        <v>47</v>
      </c>
      <c r="G148" s="7">
        <v>174.18</v>
      </c>
      <c r="H148" s="7">
        <v>8186.46</v>
      </c>
      <c r="I148" s="2">
        <v>0</v>
      </c>
      <c r="J148" s="2" t="s">
        <v>53</v>
      </c>
      <c r="K148" s="2" t="s">
        <v>134</v>
      </c>
      <c r="L148" s="2" t="s">
        <v>31</v>
      </c>
      <c r="M148" s="2" t="str">
        <f t="shared" si="6"/>
        <v>Credit Card</v>
      </c>
      <c r="N148" s="2" t="str">
        <f t="shared" si="7"/>
        <v>Accessories</v>
      </c>
      <c r="O148" s="2" t="str">
        <f t="shared" si="8"/>
        <v>High Stock</v>
      </c>
    </row>
    <row r="149" spans="1:15" x14ac:dyDescent="0.3">
      <c r="A149" s="5">
        <v>46166</v>
      </c>
      <c r="B149" s="2" t="s">
        <v>483</v>
      </c>
      <c r="C149" s="2" t="s">
        <v>484</v>
      </c>
      <c r="D149" s="2" t="s">
        <v>90</v>
      </c>
      <c r="E149" s="2" t="s">
        <v>23</v>
      </c>
      <c r="F149" s="2">
        <v>40</v>
      </c>
      <c r="G149" s="7">
        <v>33.57</v>
      </c>
      <c r="H149" s="7">
        <v>1275.6600000000001</v>
      </c>
      <c r="I149" s="2">
        <v>5</v>
      </c>
      <c r="J149" s="2" t="s">
        <v>16</v>
      </c>
      <c r="K149" s="2" t="s">
        <v>111</v>
      </c>
      <c r="L149" s="2" t="s">
        <v>27</v>
      </c>
      <c r="M149" s="2" t="str">
        <f t="shared" si="6"/>
        <v>Cash</v>
      </c>
      <c r="N149" s="2" t="str">
        <f t="shared" si="7"/>
        <v>Accessories</v>
      </c>
      <c r="O149" s="2" t="str">
        <f t="shared" si="8"/>
        <v>High Stock</v>
      </c>
    </row>
    <row r="150" spans="1:15" x14ac:dyDescent="0.3">
      <c r="A150" s="5">
        <v>45732</v>
      </c>
      <c r="B150" s="2" t="s">
        <v>486</v>
      </c>
      <c r="C150" s="2" t="s">
        <v>487</v>
      </c>
      <c r="D150" s="2" t="s">
        <v>90</v>
      </c>
      <c r="E150" s="2" t="s">
        <v>23</v>
      </c>
      <c r="F150" s="2">
        <v>7</v>
      </c>
      <c r="G150" s="7">
        <v>28.55</v>
      </c>
      <c r="H150" s="7">
        <v>189.86</v>
      </c>
      <c r="I150" s="2">
        <v>5</v>
      </c>
      <c r="J150" s="2" t="s">
        <v>24</v>
      </c>
      <c r="K150" s="2" t="s">
        <v>41</v>
      </c>
      <c r="L150" s="1" t="s">
        <v>2347</v>
      </c>
      <c r="M150" s="1" t="str">
        <f t="shared" si="6"/>
        <v>Online Payment</v>
      </c>
      <c r="N150" s="2" t="str">
        <f t="shared" si="7"/>
        <v>Accessories</v>
      </c>
      <c r="O150" s="1" t="str">
        <f t="shared" si="8"/>
        <v>Low Stock</v>
      </c>
    </row>
    <row r="151" spans="1:15" x14ac:dyDescent="0.3">
      <c r="A151" s="5">
        <v>45705</v>
      </c>
      <c r="B151" s="2" t="s">
        <v>489</v>
      </c>
      <c r="C151" s="2" t="s">
        <v>490</v>
      </c>
      <c r="D151" s="2" t="s">
        <v>99</v>
      </c>
      <c r="E151" s="2" t="s">
        <v>23</v>
      </c>
      <c r="F151" s="2">
        <v>4</v>
      </c>
      <c r="G151" s="7">
        <v>29.84</v>
      </c>
      <c r="H151" s="7">
        <v>113.39</v>
      </c>
      <c r="I151" s="2">
        <v>5</v>
      </c>
      <c r="J151" s="2" t="s">
        <v>24</v>
      </c>
      <c r="K151" s="2" t="s">
        <v>104</v>
      </c>
      <c r="L151" s="2" t="s">
        <v>31</v>
      </c>
      <c r="M151" s="2" t="str">
        <f t="shared" si="6"/>
        <v>Credit Card</v>
      </c>
      <c r="N151" s="2" t="str">
        <f t="shared" si="7"/>
        <v>Accessories</v>
      </c>
      <c r="O151" s="2" t="str">
        <f t="shared" si="8"/>
        <v>Low Stock</v>
      </c>
    </row>
    <row r="152" spans="1:15" x14ac:dyDescent="0.3">
      <c r="A152" s="5">
        <v>46283</v>
      </c>
      <c r="B152" s="2" t="s">
        <v>492</v>
      </c>
      <c r="C152" s="2" t="s">
        <v>493</v>
      </c>
      <c r="D152" s="2" t="s">
        <v>52</v>
      </c>
      <c r="E152" s="2" t="s">
        <v>35</v>
      </c>
      <c r="F152" s="2">
        <v>16</v>
      </c>
      <c r="G152" s="7">
        <v>145.46</v>
      </c>
      <c r="H152" s="7">
        <v>2327.36</v>
      </c>
      <c r="I152" s="2">
        <v>0</v>
      </c>
      <c r="J152" s="2" t="s">
        <v>16</v>
      </c>
      <c r="K152" s="2" t="s">
        <v>111</v>
      </c>
      <c r="L152" s="2" t="s">
        <v>69</v>
      </c>
      <c r="M152" s="2" t="str">
        <f t="shared" si="6"/>
        <v>Debit Card</v>
      </c>
      <c r="N152" s="2" t="str">
        <f t="shared" si="7"/>
        <v>Electronics</v>
      </c>
      <c r="O152" s="2" t="str">
        <f t="shared" si="8"/>
        <v>High Stock</v>
      </c>
    </row>
    <row r="153" spans="1:15" x14ac:dyDescent="0.3">
      <c r="A153" s="5">
        <v>46284</v>
      </c>
      <c r="B153" s="2" t="s">
        <v>495</v>
      </c>
      <c r="C153" s="2" t="s">
        <v>496</v>
      </c>
      <c r="D153" s="2" t="s">
        <v>123</v>
      </c>
      <c r="E153" s="2" t="s">
        <v>15</v>
      </c>
      <c r="F153" s="2">
        <v>2</v>
      </c>
      <c r="G153" s="7">
        <v>31.76</v>
      </c>
      <c r="H153" s="7">
        <v>57.17</v>
      </c>
      <c r="I153" s="2">
        <v>10</v>
      </c>
      <c r="J153" s="2" t="s">
        <v>53</v>
      </c>
      <c r="K153" s="2" t="s">
        <v>170</v>
      </c>
      <c r="L153" s="2" t="s">
        <v>31</v>
      </c>
      <c r="M153" s="2" t="str">
        <f t="shared" si="6"/>
        <v>Credit Card</v>
      </c>
      <c r="N153" s="2" t="str">
        <f t="shared" si="7"/>
        <v>Peripherals</v>
      </c>
      <c r="O153" s="2" t="str">
        <f t="shared" si="8"/>
        <v>Low Stock</v>
      </c>
    </row>
    <row r="154" spans="1:15" x14ac:dyDescent="0.3">
      <c r="A154" s="5">
        <v>45778</v>
      </c>
      <c r="B154" s="2" t="s">
        <v>498</v>
      </c>
      <c r="C154" s="2" t="s">
        <v>499</v>
      </c>
      <c r="D154" s="1" t="s">
        <v>95</v>
      </c>
      <c r="E154" s="2" t="s">
        <v>35</v>
      </c>
      <c r="F154" s="2">
        <v>15</v>
      </c>
      <c r="G154" s="7">
        <v>426.15</v>
      </c>
      <c r="H154" s="7">
        <v>6072.64</v>
      </c>
      <c r="I154" s="2">
        <v>5</v>
      </c>
      <c r="J154" s="2" t="s">
        <v>46</v>
      </c>
      <c r="K154" s="2" t="s">
        <v>83</v>
      </c>
      <c r="L154" s="2" t="s">
        <v>31</v>
      </c>
      <c r="M154" s="2" t="str">
        <f t="shared" si="6"/>
        <v>Credit Card</v>
      </c>
      <c r="N154" s="2" t="str">
        <f t="shared" si="7"/>
        <v>Electronics</v>
      </c>
      <c r="O154" s="2" t="str">
        <f t="shared" si="8"/>
        <v>Low Stock</v>
      </c>
    </row>
    <row r="155" spans="1:15" x14ac:dyDescent="0.3">
      <c r="A155" s="5">
        <v>45983</v>
      </c>
      <c r="B155" s="2" t="s">
        <v>501</v>
      </c>
      <c r="C155" s="2" t="s">
        <v>502</v>
      </c>
      <c r="D155" s="2" t="s">
        <v>52</v>
      </c>
      <c r="E155" s="2" t="s">
        <v>35</v>
      </c>
      <c r="F155" s="2">
        <v>22</v>
      </c>
      <c r="G155" s="7">
        <v>172.23</v>
      </c>
      <c r="H155" s="7">
        <v>3220.7</v>
      </c>
      <c r="I155" s="2">
        <v>15</v>
      </c>
      <c r="J155" s="2" t="s">
        <v>46</v>
      </c>
      <c r="K155" s="2" t="s">
        <v>78</v>
      </c>
      <c r="L155" s="1" t="s">
        <v>2347</v>
      </c>
      <c r="M155" s="1" t="str">
        <f t="shared" si="6"/>
        <v>Online Payment</v>
      </c>
      <c r="N155" s="2" t="str">
        <f t="shared" si="7"/>
        <v>Electronics</v>
      </c>
      <c r="O155" s="1" t="str">
        <f t="shared" si="8"/>
        <v>High Stock</v>
      </c>
    </row>
    <row r="156" spans="1:15" x14ac:dyDescent="0.3">
      <c r="A156" s="5">
        <v>45950</v>
      </c>
      <c r="B156" s="2" t="s">
        <v>504</v>
      </c>
      <c r="C156" s="2" t="s">
        <v>505</v>
      </c>
      <c r="D156" s="1" t="s">
        <v>95</v>
      </c>
      <c r="E156" s="2" t="s">
        <v>35</v>
      </c>
      <c r="F156" s="2">
        <v>49</v>
      </c>
      <c r="G156" s="7">
        <v>1031.46</v>
      </c>
      <c r="H156" s="7">
        <v>48014.46</v>
      </c>
      <c r="I156" s="2">
        <v>5</v>
      </c>
      <c r="J156" s="2" t="s">
        <v>24</v>
      </c>
      <c r="K156" s="2" t="s">
        <v>41</v>
      </c>
      <c r="L156" s="2" t="s">
        <v>69</v>
      </c>
      <c r="M156" s="2" t="str">
        <f t="shared" si="6"/>
        <v>Debit Card</v>
      </c>
      <c r="N156" s="2" t="str">
        <f t="shared" si="7"/>
        <v>Electronics</v>
      </c>
      <c r="O156" s="2" t="str">
        <f t="shared" si="8"/>
        <v>High Stock</v>
      </c>
    </row>
    <row r="157" spans="1:15" x14ac:dyDescent="0.3">
      <c r="A157" s="5">
        <v>45964</v>
      </c>
      <c r="B157" s="2" t="s">
        <v>507</v>
      </c>
      <c r="C157" s="2" t="s">
        <v>508</v>
      </c>
      <c r="D157" s="2" t="s">
        <v>14</v>
      </c>
      <c r="E157" s="2" t="s">
        <v>15</v>
      </c>
      <c r="F157" s="2">
        <v>30</v>
      </c>
      <c r="G157" s="7">
        <v>59.43</v>
      </c>
      <c r="H157" s="7">
        <v>1693.76</v>
      </c>
      <c r="I157" s="2">
        <v>5</v>
      </c>
      <c r="J157" s="2" t="s">
        <v>24</v>
      </c>
      <c r="K157" s="2" t="s">
        <v>25</v>
      </c>
      <c r="L157" s="2" t="s">
        <v>69</v>
      </c>
      <c r="M157" s="2" t="str">
        <f t="shared" si="6"/>
        <v>Debit Card</v>
      </c>
      <c r="N157" s="2" t="str">
        <f t="shared" si="7"/>
        <v>Peripherals</v>
      </c>
      <c r="O157" s="2" t="str">
        <f t="shared" si="8"/>
        <v>High Stock</v>
      </c>
    </row>
    <row r="158" spans="1:15" x14ac:dyDescent="0.3">
      <c r="A158" s="5">
        <v>46123</v>
      </c>
      <c r="B158" s="2" t="s">
        <v>510</v>
      </c>
      <c r="C158" s="2" t="s">
        <v>511</v>
      </c>
      <c r="D158" s="2" t="s">
        <v>63</v>
      </c>
      <c r="E158" s="2" t="s">
        <v>15</v>
      </c>
      <c r="F158" s="2">
        <v>13</v>
      </c>
      <c r="G158" s="7">
        <v>65.83</v>
      </c>
      <c r="H158" s="7">
        <v>855.79</v>
      </c>
      <c r="I158" s="2">
        <v>0</v>
      </c>
      <c r="J158" s="2" t="s">
        <v>53</v>
      </c>
      <c r="K158" s="2" t="s">
        <v>170</v>
      </c>
      <c r="L158" s="1" t="s">
        <v>2347</v>
      </c>
      <c r="M158" s="1" t="str">
        <f t="shared" si="6"/>
        <v>Online Payment</v>
      </c>
      <c r="N158" s="2" t="str">
        <f t="shared" si="7"/>
        <v>Peripherals</v>
      </c>
      <c r="O158" s="1" t="str">
        <f t="shared" si="8"/>
        <v>Low Stock</v>
      </c>
    </row>
    <row r="159" spans="1:15" x14ac:dyDescent="0.3">
      <c r="A159" s="5">
        <v>45611</v>
      </c>
      <c r="B159" s="2" t="s">
        <v>513</v>
      </c>
      <c r="C159" s="2" t="s">
        <v>514</v>
      </c>
      <c r="D159" s="1" t="s">
        <v>95</v>
      </c>
      <c r="E159" s="2" t="s">
        <v>35</v>
      </c>
      <c r="F159" s="2">
        <v>15</v>
      </c>
      <c r="G159" s="7">
        <v>237.76</v>
      </c>
      <c r="H159" s="7">
        <v>3388.08</v>
      </c>
      <c r="I159" s="2">
        <v>5</v>
      </c>
      <c r="J159" s="2" t="s">
        <v>46</v>
      </c>
      <c r="K159" s="2" t="s">
        <v>83</v>
      </c>
      <c r="L159" s="1" t="s">
        <v>2347</v>
      </c>
      <c r="M159" s="1" t="str">
        <f t="shared" si="6"/>
        <v>Online Payment</v>
      </c>
      <c r="N159" s="2" t="str">
        <f t="shared" si="7"/>
        <v>Electronics</v>
      </c>
      <c r="O159" s="1" t="str">
        <f t="shared" si="8"/>
        <v>Low Stock</v>
      </c>
    </row>
    <row r="160" spans="1:15" x14ac:dyDescent="0.3">
      <c r="A160" s="5">
        <v>45859</v>
      </c>
      <c r="B160" s="2" t="s">
        <v>516</v>
      </c>
      <c r="C160" s="2" t="s">
        <v>517</v>
      </c>
      <c r="D160" s="2" t="s">
        <v>34</v>
      </c>
      <c r="E160" s="2" t="s">
        <v>35</v>
      </c>
      <c r="F160" s="2">
        <v>32</v>
      </c>
      <c r="G160" s="7">
        <v>851.27</v>
      </c>
      <c r="H160" s="7">
        <v>24516.58</v>
      </c>
      <c r="I160" s="2">
        <v>10</v>
      </c>
      <c r="J160" s="2" t="s">
        <v>46</v>
      </c>
      <c r="K160" s="2" t="s">
        <v>244</v>
      </c>
      <c r="L160" s="2" t="s">
        <v>31</v>
      </c>
      <c r="M160" s="2" t="str">
        <f t="shared" si="6"/>
        <v>Credit Card</v>
      </c>
      <c r="N160" s="2" t="str">
        <f t="shared" si="7"/>
        <v>Electronics</v>
      </c>
      <c r="O160" s="2" t="str">
        <f t="shared" si="8"/>
        <v>High Stock</v>
      </c>
    </row>
    <row r="161" spans="1:15" x14ac:dyDescent="0.3">
      <c r="A161" s="5">
        <v>45857</v>
      </c>
      <c r="B161" s="2" t="s">
        <v>519</v>
      </c>
      <c r="C161" s="2" t="s">
        <v>520</v>
      </c>
      <c r="D161" s="2" t="s">
        <v>103</v>
      </c>
      <c r="E161" s="2" t="s">
        <v>35</v>
      </c>
      <c r="F161" s="2">
        <v>11</v>
      </c>
      <c r="G161" s="7">
        <v>392.91</v>
      </c>
      <c r="H161" s="7">
        <v>4322.01</v>
      </c>
      <c r="I161" s="2">
        <v>0</v>
      </c>
      <c r="J161" s="2" t="s">
        <v>46</v>
      </c>
      <c r="K161" s="2" t="s">
        <v>83</v>
      </c>
      <c r="L161" s="2" t="s">
        <v>69</v>
      </c>
      <c r="M161" s="2" t="str">
        <f t="shared" si="6"/>
        <v>Debit Card</v>
      </c>
      <c r="N161" s="2" t="str">
        <f t="shared" si="7"/>
        <v>Electronics</v>
      </c>
      <c r="O161" s="2" t="str">
        <f t="shared" si="8"/>
        <v>Low Stock</v>
      </c>
    </row>
    <row r="162" spans="1:15" x14ac:dyDescent="0.3">
      <c r="A162" s="5">
        <v>46231</v>
      </c>
      <c r="B162" s="2" t="s">
        <v>521</v>
      </c>
      <c r="C162" s="2" t="s">
        <v>522</v>
      </c>
      <c r="D162" s="2" t="s">
        <v>99</v>
      </c>
      <c r="E162" s="2" t="s">
        <v>23</v>
      </c>
      <c r="F162" s="2">
        <v>40</v>
      </c>
      <c r="G162" s="7">
        <v>17.87</v>
      </c>
      <c r="H162" s="7">
        <v>679.06</v>
      </c>
      <c r="I162" s="2">
        <v>5</v>
      </c>
      <c r="J162" s="2" t="s">
        <v>16</v>
      </c>
      <c r="K162" s="2" t="s">
        <v>111</v>
      </c>
      <c r="L162" s="2" t="s">
        <v>69</v>
      </c>
      <c r="M162" s="2" t="str">
        <f t="shared" si="6"/>
        <v>Debit Card</v>
      </c>
      <c r="N162" s="2" t="str">
        <f t="shared" si="7"/>
        <v>Accessories</v>
      </c>
      <c r="O162" s="2" t="str">
        <f t="shared" si="8"/>
        <v>High Stock</v>
      </c>
    </row>
    <row r="163" spans="1:15" x14ac:dyDescent="0.3">
      <c r="A163" s="5">
        <v>45762</v>
      </c>
      <c r="B163" s="2" t="s">
        <v>524</v>
      </c>
      <c r="C163" s="2" t="s">
        <v>525</v>
      </c>
      <c r="D163" s="2" t="s">
        <v>14</v>
      </c>
      <c r="E163" s="2" t="s">
        <v>15</v>
      </c>
      <c r="F163" s="2">
        <v>44</v>
      </c>
      <c r="G163" s="7">
        <v>67.94</v>
      </c>
      <c r="H163" s="7">
        <v>2839.89</v>
      </c>
      <c r="I163" s="2">
        <v>5</v>
      </c>
      <c r="J163" s="2" t="s">
        <v>46</v>
      </c>
      <c r="K163" s="2" t="s">
        <v>78</v>
      </c>
      <c r="L163" s="2" t="s">
        <v>31</v>
      </c>
      <c r="M163" s="2" t="str">
        <f t="shared" si="6"/>
        <v>Credit Card</v>
      </c>
      <c r="N163" s="2" t="str">
        <f t="shared" si="7"/>
        <v>Peripherals</v>
      </c>
      <c r="O163" s="2" t="str">
        <f t="shared" si="8"/>
        <v>High Stock</v>
      </c>
    </row>
    <row r="164" spans="1:15" x14ac:dyDescent="0.3">
      <c r="A164" s="5">
        <v>45679</v>
      </c>
      <c r="B164" s="2" t="s">
        <v>527</v>
      </c>
      <c r="C164" s="2" t="s">
        <v>528</v>
      </c>
      <c r="D164" s="2" t="s">
        <v>22</v>
      </c>
      <c r="E164" s="2" t="s">
        <v>23</v>
      </c>
      <c r="F164" s="2">
        <v>29</v>
      </c>
      <c r="G164" s="7">
        <v>31.02</v>
      </c>
      <c r="H164" s="7">
        <v>719.66</v>
      </c>
      <c r="I164" s="2">
        <v>20</v>
      </c>
      <c r="J164" s="2" t="s">
        <v>16</v>
      </c>
      <c r="K164" s="2" t="s">
        <v>111</v>
      </c>
      <c r="L164" s="1" t="s">
        <v>2347</v>
      </c>
      <c r="M164" s="1" t="str">
        <f t="shared" si="6"/>
        <v>Online Payment</v>
      </c>
      <c r="N164" s="2" t="str">
        <f t="shared" si="7"/>
        <v>Accessories</v>
      </c>
      <c r="O164" s="1" t="str">
        <f t="shared" si="8"/>
        <v>High Stock</v>
      </c>
    </row>
    <row r="165" spans="1:15" x14ac:dyDescent="0.3">
      <c r="A165" s="5">
        <v>45795</v>
      </c>
      <c r="B165" s="2" t="s">
        <v>529</v>
      </c>
      <c r="C165" s="2" t="s">
        <v>530</v>
      </c>
      <c r="D165" s="2" t="s">
        <v>52</v>
      </c>
      <c r="E165" s="2" t="s">
        <v>35</v>
      </c>
      <c r="F165" s="2">
        <v>12</v>
      </c>
      <c r="G165" s="7">
        <v>355.03</v>
      </c>
      <c r="H165" s="7">
        <v>4047.34</v>
      </c>
      <c r="I165" s="2">
        <v>5</v>
      </c>
      <c r="J165" s="2" t="s">
        <v>53</v>
      </c>
      <c r="K165" s="2" t="s">
        <v>141</v>
      </c>
      <c r="L165" s="2" t="s">
        <v>49</v>
      </c>
      <c r="M165" s="2" t="str">
        <f t="shared" si="6"/>
        <v>Check</v>
      </c>
      <c r="N165" s="2" t="str">
        <f t="shared" si="7"/>
        <v>Electronics</v>
      </c>
      <c r="O165" s="2" t="str">
        <f t="shared" si="8"/>
        <v>Low Stock</v>
      </c>
    </row>
    <row r="166" spans="1:15" x14ac:dyDescent="0.3">
      <c r="A166" s="5">
        <v>46021</v>
      </c>
      <c r="B166" s="2" t="s">
        <v>532</v>
      </c>
      <c r="C166" s="2" t="s">
        <v>533</v>
      </c>
      <c r="D166" s="2" t="s">
        <v>82</v>
      </c>
      <c r="E166" s="2" t="s">
        <v>73</v>
      </c>
      <c r="F166" s="2">
        <v>9</v>
      </c>
      <c r="G166" s="7">
        <v>788.38</v>
      </c>
      <c r="H166" s="7">
        <v>6031.11</v>
      </c>
      <c r="I166" s="2">
        <v>15</v>
      </c>
      <c r="J166" s="2" t="s">
        <v>46</v>
      </c>
      <c r="K166" s="2" t="s">
        <v>78</v>
      </c>
      <c r="L166" s="2" t="s">
        <v>49</v>
      </c>
      <c r="M166" s="2" t="str">
        <f t="shared" si="6"/>
        <v>Check</v>
      </c>
      <c r="N166" s="2" t="str">
        <f t="shared" si="7"/>
        <v>Furniture</v>
      </c>
      <c r="O166" s="2" t="str">
        <f t="shared" si="8"/>
        <v>Low Stock</v>
      </c>
    </row>
    <row r="167" spans="1:15" x14ac:dyDescent="0.3">
      <c r="A167" s="5">
        <v>46083</v>
      </c>
      <c r="B167" s="2" t="s">
        <v>535</v>
      </c>
      <c r="C167" s="2" t="s">
        <v>536</v>
      </c>
      <c r="D167" s="2" t="s">
        <v>72</v>
      </c>
      <c r="E167" s="2" t="s">
        <v>73</v>
      </c>
      <c r="F167" s="2">
        <v>47</v>
      </c>
      <c r="G167" s="7">
        <v>192.03</v>
      </c>
      <c r="H167" s="7">
        <v>9025.41</v>
      </c>
      <c r="I167" s="2">
        <v>0</v>
      </c>
      <c r="J167" s="2" t="s">
        <v>24</v>
      </c>
      <c r="K167" s="2" t="s">
        <v>59</v>
      </c>
      <c r="L167" s="2" t="s">
        <v>69</v>
      </c>
      <c r="M167" s="2" t="str">
        <f t="shared" si="6"/>
        <v>Debit Card</v>
      </c>
      <c r="N167" s="2" t="str">
        <f t="shared" si="7"/>
        <v>Furniture</v>
      </c>
      <c r="O167" s="2" t="str">
        <f t="shared" si="8"/>
        <v>High Stock</v>
      </c>
    </row>
    <row r="168" spans="1:15" x14ac:dyDescent="0.3">
      <c r="A168" s="5">
        <v>45685</v>
      </c>
      <c r="B168" s="2" t="s">
        <v>538</v>
      </c>
      <c r="C168" s="2" t="s">
        <v>539</v>
      </c>
      <c r="D168" s="2" t="s">
        <v>72</v>
      </c>
      <c r="E168" s="2" t="s">
        <v>73</v>
      </c>
      <c r="F168" s="2">
        <v>3</v>
      </c>
      <c r="G168" s="7">
        <v>454.14</v>
      </c>
      <c r="H168" s="7">
        <v>1089.94</v>
      </c>
      <c r="I168" s="2">
        <v>20</v>
      </c>
      <c r="J168" s="2" t="s">
        <v>53</v>
      </c>
      <c r="K168" s="2" t="s">
        <v>141</v>
      </c>
      <c r="L168" s="2" t="s">
        <v>31</v>
      </c>
      <c r="M168" s="2" t="str">
        <f t="shared" si="6"/>
        <v>Credit Card</v>
      </c>
      <c r="N168" s="2" t="str">
        <f t="shared" si="7"/>
        <v>Furniture</v>
      </c>
      <c r="O168" s="2" t="str">
        <f t="shared" si="8"/>
        <v>Low Stock</v>
      </c>
    </row>
    <row r="169" spans="1:15" x14ac:dyDescent="0.3">
      <c r="A169" s="5">
        <v>46254</v>
      </c>
      <c r="B169" s="2" t="s">
        <v>540</v>
      </c>
      <c r="C169" s="2" t="s">
        <v>541</v>
      </c>
      <c r="D169" s="2" t="s">
        <v>45</v>
      </c>
      <c r="E169" s="2" t="s">
        <v>23</v>
      </c>
      <c r="F169" s="2">
        <v>4</v>
      </c>
      <c r="G169" s="7">
        <v>34.86</v>
      </c>
      <c r="H169" s="7">
        <v>111.55</v>
      </c>
      <c r="I169" s="2">
        <v>20</v>
      </c>
      <c r="J169" s="2" t="s">
        <v>16</v>
      </c>
      <c r="K169" s="2" t="s">
        <v>74</v>
      </c>
      <c r="L169" s="2" t="s">
        <v>69</v>
      </c>
      <c r="M169" s="2" t="str">
        <f t="shared" si="6"/>
        <v>Debit Card</v>
      </c>
      <c r="N169" s="2" t="str">
        <f t="shared" si="7"/>
        <v>Accessories</v>
      </c>
      <c r="O169" s="2" t="str">
        <f t="shared" si="8"/>
        <v>Low Stock</v>
      </c>
    </row>
    <row r="170" spans="1:15" x14ac:dyDescent="0.3">
      <c r="A170" s="5">
        <v>45770</v>
      </c>
      <c r="B170" s="2" t="s">
        <v>543</v>
      </c>
      <c r="C170" s="2" t="s">
        <v>544</v>
      </c>
      <c r="D170" s="2" t="s">
        <v>45</v>
      </c>
      <c r="E170" s="2" t="s">
        <v>23</v>
      </c>
      <c r="F170" s="2">
        <v>46</v>
      </c>
      <c r="G170" s="7">
        <v>39.92</v>
      </c>
      <c r="H170" s="7">
        <v>1652.69</v>
      </c>
      <c r="I170" s="2">
        <v>10</v>
      </c>
      <c r="J170" s="2" t="s">
        <v>53</v>
      </c>
      <c r="K170" s="2" t="s">
        <v>67</v>
      </c>
      <c r="L170" s="2" t="s">
        <v>69</v>
      </c>
      <c r="M170" s="2" t="str">
        <f t="shared" si="6"/>
        <v>Debit Card</v>
      </c>
      <c r="N170" s="2" t="str">
        <f t="shared" si="7"/>
        <v>Accessories</v>
      </c>
      <c r="O170" s="2" t="str">
        <f t="shared" si="8"/>
        <v>High Stock</v>
      </c>
    </row>
    <row r="171" spans="1:15" x14ac:dyDescent="0.3">
      <c r="A171" s="5">
        <v>46281</v>
      </c>
      <c r="B171" s="2" t="s">
        <v>545</v>
      </c>
      <c r="C171" s="2" t="s">
        <v>546</v>
      </c>
      <c r="D171" s="2" t="s">
        <v>63</v>
      </c>
      <c r="E171" s="2" t="s">
        <v>15</v>
      </c>
      <c r="F171" s="2">
        <v>18</v>
      </c>
      <c r="G171" s="7">
        <v>26.65</v>
      </c>
      <c r="H171" s="7">
        <v>431.73</v>
      </c>
      <c r="I171" s="2">
        <v>10</v>
      </c>
      <c r="J171" s="2" t="s">
        <v>24</v>
      </c>
      <c r="K171" s="2" t="s">
        <v>104</v>
      </c>
      <c r="L171" s="2" t="s">
        <v>49</v>
      </c>
      <c r="M171" s="2" t="str">
        <f t="shared" si="6"/>
        <v>Check</v>
      </c>
      <c r="N171" s="2" t="str">
        <f t="shared" si="7"/>
        <v>Peripherals</v>
      </c>
      <c r="O171" s="2" t="str">
        <f t="shared" si="8"/>
        <v>High Stock</v>
      </c>
    </row>
    <row r="172" spans="1:15" x14ac:dyDescent="0.3">
      <c r="A172" s="5">
        <v>45717</v>
      </c>
      <c r="B172" s="2" t="s">
        <v>548</v>
      </c>
      <c r="C172" s="2" t="s">
        <v>549</v>
      </c>
      <c r="D172" s="2" t="s">
        <v>82</v>
      </c>
      <c r="E172" s="2" t="s">
        <v>73</v>
      </c>
      <c r="F172" s="2">
        <v>3</v>
      </c>
      <c r="G172" s="7">
        <v>362.32</v>
      </c>
      <c r="H172" s="7">
        <v>978.26</v>
      </c>
      <c r="I172" s="2">
        <v>10</v>
      </c>
      <c r="J172" s="2" t="s">
        <v>46</v>
      </c>
      <c r="K172" s="2" t="s">
        <v>244</v>
      </c>
      <c r="L172" s="2" t="s">
        <v>31</v>
      </c>
      <c r="M172" s="2" t="str">
        <f t="shared" si="6"/>
        <v>Credit Card</v>
      </c>
      <c r="N172" s="2" t="str">
        <f t="shared" si="7"/>
        <v>Furniture</v>
      </c>
      <c r="O172" s="2" t="str">
        <f t="shared" si="8"/>
        <v>Low Stock</v>
      </c>
    </row>
    <row r="173" spans="1:15" x14ac:dyDescent="0.3">
      <c r="A173" s="5">
        <v>46271</v>
      </c>
      <c r="B173" s="2" t="s">
        <v>551</v>
      </c>
      <c r="C173" s="2" t="s">
        <v>552</v>
      </c>
      <c r="D173" s="2" t="s">
        <v>45</v>
      </c>
      <c r="E173" s="2" t="s">
        <v>23</v>
      </c>
      <c r="F173" s="2">
        <v>19</v>
      </c>
      <c r="G173" s="7">
        <v>193.23</v>
      </c>
      <c r="H173" s="7">
        <v>3304.23</v>
      </c>
      <c r="I173" s="2">
        <v>10</v>
      </c>
      <c r="J173" s="2" t="s">
        <v>16</v>
      </c>
      <c r="K173" s="2" t="s">
        <v>74</v>
      </c>
      <c r="L173" s="1" t="s">
        <v>2347</v>
      </c>
      <c r="M173" s="1" t="str">
        <f t="shared" si="6"/>
        <v>Online Payment</v>
      </c>
      <c r="N173" s="2" t="str">
        <f t="shared" si="7"/>
        <v>Accessories</v>
      </c>
      <c r="O173" s="1" t="str">
        <f t="shared" si="8"/>
        <v>High Stock</v>
      </c>
    </row>
    <row r="174" spans="1:15" x14ac:dyDescent="0.3">
      <c r="A174" s="5">
        <v>45716</v>
      </c>
      <c r="B174" s="2" t="s">
        <v>554</v>
      </c>
      <c r="C174" s="2" t="s">
        <v>555</v>
      </c>
      <c r="D174" s="2" t="s">
        <v>34</v>
      </c>
      <c r="E174" s="2" t="s">
        <v>35</v>
      </c>
      <c r="F174" s="2">
        <v>4</v>
      </c>
      <c r="G174" s="7">
        <v>750.93</v>
      </c>
      <c r="H174" s="7">
        <v>3003.72</v>
      </c>
      <c r="I174" s="2">
        <v>0</v>
      </c>
      <c r="J174" s="2" t="s">
        <v>16</v>
      </c>
      <c r="K174" s="2" t="s">
        <v>74</v>
      </c>
      <c r="L174" s="1" t="s">
        <v>2347</v>
      </c>
      <c r="M174" s="1" t="str">
        <f t="shared" si="6"/>
        <v>Online Payment</v>
      </c>
      <c r="N174" s="2" t="str">
        <f t="shared" si="7"/>
        <v>Electronics</v>
      </c>
      <c r="O174" s="1" t="str">
        <f t="shared" si="8"/>
        <v>Low Stock</v>
      </c>
    </row>
    <row r="175" spans="1:15" x14ac:dyDescent="0.3">
      <c r="A175" s="5">
        <v>46229</v>
      </c>
      <c r="B175" s="2" t="s">
        <v>557</v>
      </c>
      <c r="C175" s="2" t="s">
        <v>558</v>
      </c>
      <c r="D175" s="2" t="s">
        <v>99</v>
      </c>
      <c r="E175" s="2" t="s">
        <v>23</v>
      </c>
      <c r="F175" s="2">
        <v>5</v>
      </c>
      <c r="G175" s="7">
        <v>27.27</v>
      </c>
      <c r="H175" s="7">
        <v>115.9</v>
      </c>
      <c r="I175" s="2">
        <v>15</v>
      </c>
      <c r="J175" s="2" t="s">
        <v>16</v>
      </c>
      <c r="K175" s="2" t="s">
        <v>111</v>
      </c>
      <c r="L175" s="2" t="s">
        <v>49</v>
      </c>
      <c r="M175" s="2" t="str">
        <f t="shared" si="6"/>
        <v>Check</v>
      </c>
      <c r="N175" s="2" t="str">
        <f t="shared" si="7"/>
        <v>Accessories</v>
      </c>
      <c r="O175" s="2" t="str">
        <f t="shared" si="8"/>
        <v>Low Stock</v>
      </c>
    </row>
    <row r="176" spans="1:15" x14ac:dyDescent="0.3">
      <c r="A176" s="5">
        <v>45587</v>
      </c>
      <c r="B176" s="2" t="s">
        <v>559</v>
      </c>
      <c r="C176" s="2" t="s">
        <v>560</v>
      </c>
      <c r="D176" s="2" t="s">
        <v>40</v>
      </c>
      <c r="E176" s="2" t="s">
        <v>23</v>
      </c>
      <c r="F176" s="2">
        <v>21</v>
      </c>
      <c r="G176" s="7">
        <v>58.83</v>
      </c>
      <c r="H176" s="7">
        <v>1111.8900000000001</v>
      </c>
      <c r="I176" s="2">
        <v>10</v>
      </c>
      <c r="J176" s="2" t="s">
        <v>46</v>
      </c>
      <c r="K176" s="2" t="s">
        <v>124</v>
      </c>
      <c r="L176" s="2" t="s">
        <v>69</v>
      </c>
      <c r="M176" s="2" t="str">
        <f t="shared" si="6"/>
        <v>Debit Card</v>
      </c>
      <c r="N176" s="2" t="str">
        <f t="shared" si="7"/>
        <v>Accessories</v>
      </c>
      <c r="O176" s="2" t="str">
        <f t="shared" si="8"/>
        <v>High Stock</v>
      </c>
    </row>
    <row r="177" spans="1:15" x14ac:dyDescent="0.3">
      <c r="A177" s="5">
        <v>45747</v>
      </c>
      <c r="B177" s="2" t="s">
        <v>562</v>
      </c>
      <c r="C177" s="2" t="s">
        <v>563</v>
      </c>
      <c r="D177" s="2" t="s">
        <v>63</v>
      </c>
      <c r="E177" s="2" t="s">
        <v>15</v>
      </c>
      <c r="F177" s="2">
        <v>37</v>
      </c>
      <c r="G177" s="7">
        <v>49.64</v>
      </c>
      <c r="H177" s="7">
        <v>1469.34</v>
      </c>
      <c r="I177" s="2">
        <v>20</v>
      </c>
      <c r="J177" s="2" t="s">
        <v>24</v>
      </c>
      <c r="K177" s="2" t="s">
        <v>59</v>
      </c>
      <c r="L177" s="1" t="s">
        <v>2347</v>
      </c>
      <c r="M177" s="1" t="str">
        <f t="shared" si="6"/>
        <v>Online Payment</v>
      </c>
      <c r="N177" s="2" t="str">
        <f t="shared" si="7"/>
        <v>Peripherals</v>
      </c>
      <c r="O177" s="1" t="str">
        <f t="shared" si="8"/>
        <v>High Stock</v>
      </c>
    </row>
    <row r="178" spans="1:15" x14ac:dyDescent="0.3">
      <c r="A178" s="5">
        <v>45736</v>
      </c>
      <c r="B178" s="2" t="s">
        <v>565</v>
      </c>
      <c r="C178" s="2" t="s">
        <v>566</v>
      </c>
      <c r="D178" s="2" t="s">
        <v>45</v>
      </c>
      <c r="E178" s="2" t="s">
        <v>23</v>
      </c>
      <c r="F178" s="2">
        <v>7</v>
      </c>
      <c r="G178" s="7">
        <v>124.12</v>
      </c>
      <c r="H178" s="7">
        <v>781.96</v>
      </c>
      <c r="I178" s="2">
        <v>10</v>
      </c>
      <c r="J178" s="2" t="s">
        <v>24</v>
      </c>
      <c r="K178" s="2" t="s">
        <v>41</v>
      </c>
      <c r="L178" s="2" t="s">
        <v>49</v>
      </c>
      <c r="M178" s="2" t="str">
        <f t="shared" si="6"/>
        <v>Check</v>
      </c>
      <c r="N178" s="2" t="str">
        <f t="shared" si="7"/>
        <v>Accessories</v>
      </c>
      <c r="O178" s="2" t="str">
        <f t="shared" si="8"/>
        <v>Low Stock</v>
      </c>
    </row>
    <row r="179" spans="1:15" x14ac:dyDescent="0.3">
      <c r="A179" s="5">
        <v>46079</v>
      </c>
      <c r="B179" s="2" t="s">
        <v>568</v>
      </c>
      <c r="C179" s="2" t="s">
        <v>569</v>
      </c>
      <c r="D179" s="2" t="s">
        <v>72</v>
      </c>
      <c r="E179" s="2" t="s">
        <v>73</v>
      </c>
      <c r="F179" s="2">
        <v>39</v>
      </c>
      <c r="G179" s="7">
        <v>459.03</v>
      </c>
      <c r="H179" s="7">
        <v>14321.74</v>
      </c>
      <c r="I179" s="2">
        <v>20</v>
      </c>
      <c r="J179" s="2" t="s">
        <v>24</v>
      </c>
      <c r="K179" s="2" t="s">
        <v>41</v>
      </c>
      <c r="L179" s="2" t="s">
        <v>27</v>
      </c>
      <c r="M179" s="2" t="str">
        <f t="shared" si="6"/>
        <v>Cash</v>
      </c>
      <c r="N179" s="2" t="str">
        <f t="shared" si="7"/>
        <v>Furniture</v>
      </c>
      <c r="O179" s="2" t="str">
        <f t="shared" si="8"/>
        <v>High Stock</v>
      </c>
    </row>
    <row r="180" spans="1:15" x14ac:dyDescent="0.3">
      <c r="A180" s="5">
        <v>45958</v>
      </c>
      <c r="B180" s="2" t="s">
        <v>571</v>
      </c>
      <c r="C180" s="2" t="s">
        <v>572</v>
      </c>
      <c r="D180" s="1" t="s">
        <v>95</v>
      </c>
      <c r="E180" s="2" t="s">
        <v>35</v>
      </c>
      <c r="F180" s="2">
        <v>1</v>
      </c>
      <c r="G180" s="7">
        <v>1136.25</v>
      </c>
      <c r="H180" s="7">
        <v>1079.44</v>
      </c>
      <c r="I180" s="2">
        <v>5</v>
      </c>
      <c r="J180" s="2" t="s">
        <v>46</v>
      </c>
      <c r="K180" s="2" t="s">
        <v>47</v>
      </c>
      <c r="L180" s="2" t="s">
        <v>27</v>
      </c>
      <c r="M180" s="2" t="str">
        <f t="shared" si="6"/>
        <v>Cash</v>
      </c>
      <c r="N180" s="2" t="str">
        <f t="shared" si="7"/>
        <v>Electronics</v>
      </c>
      <c r="O180" s="2" t="str">
        <f t="shared" si="8"/>
        <v>Low Stock</v>
      </c>
    </row>
    <row r="181" spans="1:15" x14ac:dyDescent="0.3">
      <c r="A181" s="5">
        <v>46097</v>
      </c>
      <c r="B181" s="2" t="s">
        <v>573</v>
      </c>
      <c r="C181" s="2" t="s">
        <v>574</v>
      </c>
      <c r="D181" s="2" t="s">
        <v>14</v>
      </c>
      <c r="E181" s="2" t="s">
        <v>15</v>
      </c>
      <c r="F181" s="2">
        <v>39</v>
      </c>
      <c r="G181" s="7">
        <v>119.39</v>
      </c>
      <c r="H181" s="7">
        <v>4423.3999999999996</v>
      </c>
      <c r="I181" s="2">
        <v>5</v>
      </c>
      <c r="J181" s="2" t="s">
        <v>16</v>
      </c>
      <c r="K181" s="2" t="s">
        <v>160</v>
      </c>
      <c r="L181" s="1" t="s">
        <v>2347</v>
      </c>
      <c r="M181" s="1" t="str">
        <f t="shared" si="6"/>
        <v>Online Payment</v>
      </c>
      <c r="N181" s="2" t="str">
        <f t="shared" si="7"/>
        <v>Peripherals</v>
      </c>
      <c r="O181" s="1" t="str">
        <f t="shared" si="8"/>
        <v>High Stock</v>
      </c>
    </row>
    <row r="182" spans="1:15" x14ac:dyDescent="0.3">
      <c r="A182" s="5">
        <v>46256</v>
      </c>
      <c r="B182" s="2" t="s">
        <v>576</v>
      </c>
      <c r="C182" s="2" t="s">
        <v>577</v>
      </c>
      <c r="D182" s="2" t="s">
        <v>22</v>
      </c>
      <c r="E182" s="2" t="s">
        <v>23</v>
      </c>
      <c r="F182" s="2">
        <v>17</v>
      </c>
      <c r="G182" s="7">
        <v>35.56</v>
      </c>
      <c r="H182" s="7">
        <v>604.52</v>
      </c>
      <c r="I182" s="2">
        <v>0</v>
      </c>
      <c r="J182" s="2" t="s">
        <v>46</v>
      </c>
      <c r="K182" s="2" t="s">
        <v>83</v>
      </c>
      <c r="L182" s="2" t="s">
        <v>49</v>
      </c>
      <c r="M182" s="2" t="str">
        <f t="shared" si="6"/>
        <v>Check</v>
      </c>
      <c r="N182" s="2" t="str">
        <f t="shared" si="7"/>
        <v>Accessories</v>
      </c>
      <c r="O182" s="2" t="str">
        <f t="shared" si="8"/>
        <v>High Stock</v>
      </c>
    </row>
    <row r="183" spans="1:15" x14ac:dyDescent="0.3">
      <c r="A183" s="5">
        <v>46204</v>
      </c>
      <c r="B183" s="2" t="s">
        <v>579</v>
      </c>
      <c r="C183" s="2" t="s">
        <v>580</v>
      </c>
      <c r="D183" s="2" t="s">
        <v>90</v>
      </c>
      <c r="E183" s="2" t="s">
        <v>23</v>
      </c>
      <c r="F183" s="2">
        <v>34</v>
      </c>
      <c r="G183" s="7">
        <v>36.700000000000003</v>
      </c>
      <c r="H183" s="7">
        <v>1247.8</v>
      </c>
      <c r="I183" s="2">
        <v>0</v>
      </c>
      <c r="J183" s="2" t="s">
        <v>24</v>
      </c>
      <c r="K183" s="2" t="s">
        <v>41</v>
      </c>
      <c r="L183" s="1" t="s">
        <v>2347</v>
      </c>
      <c r="M183" s="1" t="str">
        <f t="shared" si="6"/>
        <v>Online Payment</v>
      </c>
      <c r="N183" s="2" t="str">
        <f t="shared" si="7"/>
        <v>Accessories</v>
      </c>
      <c r="O183" s="1" t="str">
        <f t="shared" si="8"/>
        <v>High Stock</v>
      </c>
    </row>
    <row r="184" spans="1:15" x14ac:dyDescent="0.3">
      <c r="A184" s="5">
        <v>45811</v>
      </c>
      <c r="B184" s="2" t="s">
        <v>582</v>
      </c>
      <c r="C184" s="2" t="s">
        <v>583</v>
      </c>
      <c r="D184" s="2" t="s">
        <v>40</v>
      </c>
      <c r="E184" s="2" t="s">
        <v>23</v>
      </c>
      <c r="F184" s="2">
        <v>28</v>
      </c>
      <c r="G184" s="7">
        <v>79.739999999999995</v>
      </c>
      <c r="H184" s="7">
        <v>2121.08</v>
      </c>
      <c r="I184" s="2">
        <v>5</v>
      </c>
      <c r="J184" s="2" t="s">
        <v>53</v>
      </c>
      <c r="K184" s="2" t="s">
        <v>141</v>
      </c>
      <c r="L184" s="2" t="s">
        <v>31</v>
      </c>
      <c r="M184" s="2" t="str">
        <f t="shared" si="6"/>
        <v>Credit Card</v>
      </c>
      <c r="N184" s="2" t="str">
        <f t="shared" si="7"/>
        <v>Accessories</v>
      </c>
      <c r="O184" s="2" t="str">
        <f t="shared" si="8"/>
        <v>High Stock</v>
      </c>
    </row>
    <row r="185" spans="1:15" x14ac:dyDescent="0.3">
      <c r="A185" s="5">
        <v>45642</v>
      </c>
      <c r="B185" s="2" t="s">
        <v>584</v>
      </c>
      <c r="C185" s="2" t="s">
        <v>585</v>
      </c>
      <c r="D185" s="2" t="s">
        <v>123</v>
      </c>
      <c r="E185" s="2" t="s">
        <v>15</v>
      </c>
      <c r="F185" s="2">
        <v>31</v>
      </c>
      <c r="G185" s="7">
        <v>19.77</v>
      </c>
      <c r="H185" s="7">
        <v>612.87</v>
      </c>
      <c r="I185" s="2">
        <v>0</v>
      </c>
      <c r="J185" s="2" t="s">
        <v>24</v>
      </c>
      <c r="K185" s="2" t="s">
        <v>25</v>
      </c>
      <c r="L185" s="2" t="s">
        <v>27</v>
      </c>
      <c r="M185" s="2" t="str">
        <f t="shared" si="6"/>
        <v>Cash</v>
      </c>
      <c r="N185" s="2" t="str">
        <f t="shared" si="7"/>
        <v>Peripherals</v>
      </c>
      <c r="O185" s="2" t="str">
        <f t="shared" si="8"/>
        <v>High Stock</v>
      </c>
    </row>
    <row r="186" spans="1:15" x14ac:dyDescent="0.3">
      <c r="A186" s="5">
        <v>45587</v>
      </c>
      <c r="B186" s="2" t="s">
        <v>586</v>
      </c>
      <c r="C186" s="2" t="s">
        <v>587</v>
      </c>
      <c r="D186" s="2" t="s">
        <v>72</v>
      </c>
      <c r="E186" s="2" t="s">
        <v>73</v>
      </c>
      <c r="F186" s="2">
        <v>40</v>
      </c>
      <c r="G186" s="7">
        <v>360.72</v>
      </c>
      <c r="H186" s="7">
        <v>14428.8</v>
      </c>
      <c r="I186" s="2">
        <v>0</v>
      </c>
      <c r="J186" s="2" t="s">
        <v>16</v>
      </c>
      <c r="K186" s="2" t="s">
        <v>91</v>
      </c>
      <c r="L186" s="2" t="s">
        <v>27</v>
      </c>
      <c r="M186" s="2" t="str">
        <f t="shared" si="6"/>
        <v>Cash</v>
      </c>
      <c r="N186" s="2" t="str">
        <f t="shared" si="7"/>
        <v>Furniture</v>
      </c>
      <c r="O186" s="2" t="str">
        <f t="shared" si="8"/>
        <v>High Stock</v>
      </c>
    </row>
    <row r="187" spans="1:15" x14ac:dyDescent="0.3">
      <c r="A187" s="5">
        <v>45920</v>
      </c>
      <c r="B187" s="2" t="s">
        <v>588</v>
      </c>
      <c r="C187" s="2" t="s">
        <v>589</v>
      </c>
      <c r="D187" s="2" t="s">
        <v>72</v>
      </c>
      <c r="E187" s="2" t="s">
        <v>73</v>
      </c>
      <c r="F187" s="2">
        <v>15</v>
      </c>
      <c r="G187" s="7">
        <v>422.43</v>
      </c>
      <c r="H187" s="7">
        <v>6019.63</v>
      </c>
      <c r="I187" s="2">
        <v>5</v>
      </c>
      <c r="J187" s="2" t="s">
        <v>16</v>
      </c>
      <c r="K187" s="2" t="s">
        <v>160</v>
      </c>
      <c r="L187" s="2" t="s">
        <v>69</v>
      </c>
      <c r="M187" s="2" t="str">
        <f t="shared" si="6"/>
        <v>Debit Card</v>
      </c>
      <c r="N187" s="2" t="str">
        <f t="shared" si="7"/>
        <v>Furniture</v>
      </c>
      <c r="O187" s="2" t="str">
        <f t="shared" si="8"/>
        <v>Low Stock</v>
      </c>
    </row>
    <row r="188" spans="1:15" x14ac:dyDescent="0.3">
      <c r="A188" s="5">
        <v>45670</v>
      </c>
      <c r="B188" s="2" t="s">
        <v>591</v>
      </c>
      <c r="C188" s="2" t="s">
        <v>592</v>
      </c>
      <c r="D188" s="2" t="s">
        <v>14</v>
      </c>
      <c r="E188" s="2" t="s">
        <v>15</v>
      </c>
      <c r="F188" s="2">
        <v>40</v>
      </c>
      <c r="G188" s="7">
        <v>101.95</v>
      </c>
      <c r="H188" s="7">
        <v>3466.3</v>
      </c>
      <c r="I188" s="2">
        <v>15</v>
      </c>
      <c r="J188" s="2" t="s">
        <v>24</v>
      </c>
      <c r="K188" s="2" t="s">
        <v>36</v>
      </c>
      <c r="L188" s="2" t="s">
        <v>27</v>
      </c>
      <c r="M188" s="2" t="str">
        <f t="shared" si="6"/>
        <v>Cash</v>
      </c>
      <c r="N188" s="2" t="str">
        <f t="shared" si="7"/>
        <v>Peripherals</v>
      </c>
      <c r="O188" s="2" t="str">
        <f t="shared" si="8"/>
        <v>High Stock</v>
      </c>
    </row>
    <row r="189" spans="1:15" x14ac:dyDescent="0.3">
      <c r="A189" s="5">
        <v>45599</v>
      </c>
      <c r="B189" s="2" t="s">
        <v>594</v>
      </c>
      <c r="C189" s="2" t="s">
        <v>595</v>
      </c>
      <c r="D189" s="2" t="s">
        <v>14</v>
      </c>
      <c r="E189" s="2" t="s">
        <v>15</v>
      </c>
      <c r="F189" s="2">
        <v>37</v>
      </c>
      <c r="G189" s="7">
        <v>70.95</v>
      </c>
      <c r="H189" s="7">
        <v>2493.89</v>
      </c>
      <c r="I189" s="2">
        <v>5</v>
      </c>
      <c r="J189" s="2" t="s">
        <v>24</v>
      </c>
      <c r="K189" s="2" t="s">
        <v>41</v>
      </c>
      <c r="L189" s="1" t="s">
        <v>2347</v>
      </c>
      <c r="M189" s="1" t="str">
        <f t="shared" si="6"/>
        <v>Online Payment</v>
      </c>
      <c r="N189" s="2" t="str">
        <f t="shared" si="7"/>
        <v>Peripherals</v>
      </c>
      <c r="O189" s="1" t="str">
        <f t="shared" si="8"/>
        <v>High Stock</v>
      </c>
    </row>
    <row r="190" spans="1:15" x14ac:dyDescent="0.3">
      <c r="A190" s="5">
        <v>45946</v>
      </c>
      <c r="B190" s="2" t="s">
        <v>597</v>
      </c>
      <c r="C190" s="2" t="s">
        <v>598</v>
      </c>
      <c r="D190" s="2" t="s">
        <v>45</v>
      </c>
      <c r="E190" s="2" t="s">
        <v>23</v>
      </c>
      <c r="F190" s="2">
        <v>26</v>
      </c>
      <c r="G190" s="7">
        <v>184.86</v>
      </c>
      <c r="H190" s="7">
        <v>4806.3599999999997</v>
      </c>
      <c r="I190" s="2">
        <v>0</v>
      </c>
      <c r="J190" s="2" t="s">
        <v>16</v>
      </c>
      <c r="K190" s="2" t="s">
        <v>91</v>
      </c>
      <c r="L190" s="2" t="s">
        <v>49</v>
      </c>
      <c r="M190" s="2" t="str">
        <f t="shared" si="6"/>
        <v>Check</v>
      </c>
      <c r="N190" s="2" t="str">
        <f t="shared" si="7"/>
        <v>Accessories</v>
      </c>
      <c r="O190" s="2" t="str">
        <f t="shared" si="8"/>
        <v>High Stock</v>
      </c>
    </row>
    <row r="191" spans="1:15" x14ac:dyDescent="0.3">
      <c r="A191" s="5">
        <v>45784</v>
      </c>
      <c r="B191" s="2" t="s">
        <v>600</v>
      </c>
      <c r="C191" s="2" t="s">
        <v>601</v>
      </c>
      <c r="D191" s="1" t="s">
        <v>95</v>
      </c>
      <c r="E191" s="2" t="s">
        <v>35</v>
      </c>
      <c r="F191" s="2">
        <v>44</v>
      </c>
      <c r="G191" s="7">
        <v>298.56</v>
      </c>
      <c r="H191" s="7">
        <v>13136.64</v>
      </c>
      <c r="I191" s="2">
        <v>0</v>
      </c>
      <c r="J191" s="2" t="s">
        <v>53</v>
      </c>
      <c r="K191" s="2" t="s">
        <v>54</v>
      </c>
      <c r="L191" s="2" t="s">
        <v>27</v>
      </c>
      <c r="M191" s="2" t="str">
        <f t="shared" si="6"/>
        <v>Cash</v>
      </c>
      <c r="N191" s="2" t="str">
        <f t="shared" si="7"/>
        <v>Electronics</v>
      </c>
      <c r="O191" s="2" t="str">
        <f t="shared" si="8"/>
        <v>High Stock</v>
      </c>
    </row>
    <row r="192" spans="1:15" x14ac:dyDescent="0.3">
      <c r="A192" s="5">
        <v>45755</v>
      </c>
      <c r="B192" s="2" t="s">
        <v>603</v>
      </c>
      <c r="C192" s="2" t="s">
        <v>604</v>
      </c>
      <c r="D192" s="1" t="s">
        <v>95</v>
      </c>
      <c r="E192" s="2" t="s">
        <v>35</v>
      </c>
      <c r="F192" s="2">
        <v>49</v>
      </c>
      <c r="G192" s="7">
        <v>1057.0999999999999</v>
      </c>
      <c r="H192" s="7">
        <v>44028.22</v>
      </c>
      <c r="I192" s="2">
        <v>15</v>
      </c>
      <c r="J192" s="2" t="s">
        <v>46</v>
      </c>
      <c r="K192" s="2" t="s">
        <v>244</v>
      </c>
      <c r="L192" s="2" t="s">
        <v>27</v>
      </c>
      <c r="M192" s="2" t="str">
        <f t="shared" si="6"/>
        <v>Cash</v>
      </c>
      <c r="N192" s="2" t="str">
        <f t="shared" si="7"/>
        <v>Electronics</v>
      </c>
      <c r="O192" s="2" t="str">
        <f t="shared" si="8"/>
        <v>High Stock</v>
      </c>
    </row>
    <row r="193" spans="1:15" x14ac:dyDescent="0.3">
      <c r="A193" s="5">
        <v>45706</v>
      </c>
      <c r="B193" s="2" t="s">
        <v>606</v>
      </c>
      <c r="C193" s="2" t="s">
        <v>607</v>
      </c>
      <c r="D193" s="2" t="s">
        <v>63</v>
      </c>
      <c r="E193" s="2" t="s">
        <v>15</v>
      </c>
      <c r="F193" s="2">
        <v>28</v>
      </c>
      <c r="G193" s="7">
        <v>57.94</v>
      </c>
      <c r="H193" s="7">
        <v>1297.8599999999999</v>
      </c>
      <c r="I193" s="2">
        <v>20</v>
      </c>
      <c r="J193" s="2" t="s">
        <v>46</v>
      </c>
      <c r="K193" s="2" t="s">
        <v>124</v>
      </c>
      <c r="L193" s="2" t="s">
        <v>31</v>
      </c>
      <c r="M193" s="2" t="str">
        <f t="shared" si="6"/>
        <v>Credit Card</v>
      </c>
      <c r="N193" s="2" t="str">
        <f t="shared" si="7"/>
        <v>Peripherals</v>
      </c>
      <c r="O193" s="2" t="str">
        <f t="shared" si="8"/>
        <v>High Stock</v>
      </c>
    </row>
    <row r="194" spans="1:15" x14ac:dyDescent="0.3">
      <c r="A194" s="5">
        <v>45799</v>
      </c>
      <c r="B194" s="2" t="s">
        <v>609</v>
      </c>
      <c r="C194" s="2" t="s">
        <v>610</v>
      </c>
      <c r="D194" s="1" t="s">
        <v>95</v>
      </c>
      <c r="E194" s="2" t="s">
        <v>35</v>
      </c>
      <c r="F194" s="2">
        <v>27</v>
      </c>
      <c r="G194" s="7">
        <v>339.73</v>
      </c>
      <c r="H194" s="7">
        <v>9172.7099999999991</v>
      </c>
      <c r="I194" s="2">
        <v>0</v>
      </c>
      <c r="J194" s="2" t="s">
        <v>53</v>
      </c>
      <c r="K194" s="2" t="s">
        <v>141</v>
      </c>
      <c r="L194" s="2" t="s">
        <v>27</v>
      </c>
      <c r="M194" s="2" t="str">
        <f t="shared" si="6"/>
        <v>Cash</v>
      </c>
      <c r="N194" s="2" t="str">
        <f t="shared" si="7"/>
        <v>Electronics</v>
      </c>
      <c r="O194" s="2" t="str">
        <f t="shared" si="8"/>
        <v>High Stock</v>
      </c>
    </row>
    <row r="195" spans="1:15" x14ac:dyDescent="0.3">
      <c r="A195" s="5">
        <v>46075</v>
      </c>
      <c r="B195" s="2" t="s">
        <v>612</v>
      </c>
      <c r="C195" s="2" t="s">
        <v>273</v>
      </c>
      <c r="D195" s="2" t="s">
        <v>99</v>
      </c>
      <c r="E195" s="2" t="s">
        <v>23</v>
      </c>
      <c r="F195" s="2">
        <v>14</v>
      </c>
      <c r="G195" s="7">
        <v>24.9</v>
      </c>
      <c r="H195" s="7">
        <v>331.17</v>
      </c>
      <c r="I195" s="2">
        <v>5</v>
      </c>
      <c r="J195" s="2" t="s">
        <v>46</v>
      </c>
      <c r="K195" s="2" t="s">
        <v>244</v>
      </c>
      <c r="L195" s="2" t="s">
        <v>49</v>
      </c>
      <c r="M195" s="2" t="str">
        <f t="shared" ref="M195:M258" si="9">TRIM(L195)</f>
        <v>Check</v>
      </c>
      <c r="N195" s="2" t="str">
        <f t="shared" ref="N195:N258" si="10">PROPER(E195)</f>
        <v>Accessories</v>
      </c>
      <c r="O195" s="2" t="str">
        <f t="shared" ref="O195:O258" si="11">IF(F195&gt;15,"High Stock","Low Stock")</f>
        <v>Low Stock</v>
      </c>
    </row>
    <row r="196" spans="1:15" x14ac:dyDescent="0.3">
      <c r="A196" s="5">
        <v>45852</v>
      </c>
      <c r="B196" s="2" t="s">
        <v>614</v>
      </c>
      <c r="C196" s="2" t="s">
        <v>615</v>
      </c>
      <c r="D196" s="2" t="s">
        <v>45</v>
      </c>
      <c r="E196" s="2" t="s">
        <v>23</v>
      </c>
      <c r="F196" s="2">
        <v>4</v>
      </c>
      <c r="G196" s="7">
        <v>32.840000000000003</v>
      </c>
      <c r="H196" s="7">
        <v>124.79</v>
      </c>
      <c r="I196" s="2">
        <v>5</v>
      </c>
      <c r="J196" s="2" t="s">
        <v>24</v>
      </c>
      <c r="K196" s="2" t="s">
        <v>104</v>
      </c>
      <c r="L196" s="1" t="s">
        <v>2347</v>
      </c>
      <c r="M196" s="1" t="str">
        <f t="shared" si="9"/>
        <v>Online Payment</v>
      </c>
      <c r="N196" s="2" t="str">
        <f t="shared" si="10"/>
        <v>Accessories</v>
      </c>
      <c r="O196" s="1" t="str">
        <f t="shared" si="11"/>
        <v>Low Stock</v>
      </c>
    </row>
    <row r="197" spans="1:15" x14ac:dyDescent="0.3">
      <c r="A197" s="5">
        <v>45955</v>
      </c>
      <c r="B197" s="2" t="s">
        <v>617</v>
      </c>
      <c r="C197" s="2" t="s">
        <v>618</v>
      </c>
      <c r="D197" s="2" t="s">
        <v>123</v>
      </c>
      <c r="E197" s="2" t="s">
        <v>15</v>
      </c>
      <c r="F197" s="2">
        <v>27</v>
      </c>
      <c r="G197" s="7">
        <v>23.16</v>
      </c>
      <c r="H197" s="7">
        <v>625.32000000000005</v>
      </c>
      <c r="I197" s="2">
        <v>0</v>
      </c>
      <c r="J197" s="2" t="s">
        <v>46</v>
      </c>
      <c r="K197" s="2" t="s">
        <v>78</v>
      </c>
      <c r="L197" s="2" t="s">
        <v>31</v>
      </c>
      <c r="M197" s="2" t="str">
        <f t="shared" si="9"/>
        <v>Credit Card</v>
      </c>
      <c r="N197" s="2" t="str">
        <f t="shared" si="10"/>
        <v>Peripherals</v>
      </c>
      <c r="O197" s="2" t="str">
        <f t="shared" si="11"/>
        <v>High Stock</v>
      </c>
    </row>
    <row r="198" spans="1:15" x14ac:dyDescent="0.3">
      <c r="A198" s="5">
        <v>46273</v>
      </c>
      <c r="B198" s="2" t="s">
        <v>620</v>
      </c>
      <c r="C198" s="2" t="s">
        <v>621</v>
      </c>
      <c r="D198" s="2" t="s">
        <v>99</v>
      </c>
      <c r="E198" s="2" t="s">
        <v>23</v>
      </c>
      <c r="F198" s="2">
        <v>12</v>
      </c>
      <c r="G198" s="7">
        <v>19.43</v>
      </c>
      <c r="H198" s="7">
        <v>221.5</v>
      </c>
      <c r="I198" s="2">
        <v>5</v>
      </c>
      <c r="J198" s="2" t="s">
        <v>24</v>
      </c>
      <c r="K198" s="2" t="s">
        <v>25</v>
      </c>
      <c r="L198" s="2" t="s">
        <v>31</v>
      </c>
      <c r="M198" s="2" t="str">
        <f t="shared" si="9"/>
        <v>Credit Card</v>
      </c>
      <c r="N198" s="2" t="str">
        <f t="shared" si="10"/>
        <v>Accessories</v>
      </c>
      <c r="O198" s="2" t="str">
        <f t="shared" si="11"/>
        <v>Low Stock</v>
      </c>
    </row>
    <row r="199" spans="1:15" x14ac:dyDescent="0.3">
      <c r="A199" s="5">
        <v>45705</v>
      </c>
      <c r="B199" s="2" t="s">
        <v>623</v>
      </c>
      <c r="C199" s="2" t="s">
        <v>546</v>
      </c>
      <c r="D199" s="2" t="s">
        <v>82</v>
      </c>
      <c r="E199" s="2" t="s">
        <v>73</v>
      </c>
      <c r="F199" s="2">
        <v>19</v>
      </c>
      <c r="G199" s="7">
        <v>720.79</v>
      </c>
      <c r="H199" s="7">
        <v>11640.76</v>
      </c>
      <c r="I199" s="2">
        <v>15</v>
      </c>
      <c r="J199" s="2" t="s">
        <v>24</v>
      </c>
      <c r="K199" s="2" t="s">
        <v>59</v>
      </c>
      <c r="L199" s="2" t="s">
        <v>31</v>
      </c>
      <c r="M199" s="2" t="str">
        <f t="shared" si="9"/>
        <v>Credit Card</v>
      </c>
      <c r="N199" s="2" t="str">
        <f t="shared" si="10"/>
        <v>Furniture</v>
      </c>
      <c r="O199" s="2" t="str">
        <f t="shared" si="11"/>
        <v>High Stock</v>
      </c>
    </row>
    <row r="200" spans="1:15" x14ac:dyDescent="0.3">
      <c r="A200" s="5">
        <v>45666</v>
      </c>
      <c r="B200" s="2" t="s">
        <v>624</v>
      </c>
      <c r="C200" s="2" t="s">
        <v>625</v>
      </c>
      <c r="D200" s="2" t="s">
        <v>22</v>
      </c>
      <c r="E200" s="2" t="s">
        <v>23</v>
      </c>
      <c r="F200" s="2">
        <v>25</v>
      </c>
      <c r="G200" s="7">
        <v>27.22</v>
      </c>
      <c r="H200" s="7">
        <v>680.5</v>
      </c>
      <c r="I200" s="2">
        <v>0</v>
      </c>
      <c r="J200" s="2" t="s">
        <v>24</v>
      </c>
      <c r="K200" s="2" t="s">
        <v>104</v>
      </c>
      <c r="L200" s="2" t="s">
        <v>31</v>
      </c>
      <c r="M200" s="2" t="str">
        <f t="shared" si="9"/>
        <v>Credit Card</v>
      </c>
      <c r="N200" s="2" t="str">
        <f t="shared" si="10"/>
        <v>Accessories</v>
      </c>
      <c r="O200" s="2" t="str">
        <f t="shared" si="11"/>
        <v>High Stock</v>
      </c>
    </row>
    <row r="201" spans="1:15" x14ac:dyDescent="0.3">
      <c r="A201" s="5">
        <v>45713</v>
      </c>
      <c r="B201" s="2" t="s">
        <v>627</v>
      </c>
      <c r="C201" s="2" t="s">
        <v>628</v>
      </c>
      <c r="D201" s="2" t="s">
        <v>45</v>
      </c>
      <c r="E201" s="2" t="s">
        <v>23</v>
      </c>
      <c r="F201" s="2">
        <v>14</v>
      </c>
      <c r="G201" s="7">
        <v>95.46</v>
      </c>
      <c r="H201" s="7">
        <v>1269.6199999999999</v>
      </c>
      <c r="I201" s="2">
        <v>5</v>
      </c>
      <c r="J201" s="2" t="s">
        <v>24</v>
      </c>
      <c r="K201" s="2" t="s">
        <v>41</v>
      </c>
      <c r="L201" s="2" t="s">
        <v>27</v>
      </c>
      <c r="M201" s="2" t="str">
        <f t="shared" si="9"/>
        <v>Cash</v>
      </c>
      <c r="N201" s="2" t="str">
        <f t="shared" si="10"/>
        <v>Accessories</v>
      </c>
      <c r="O201" s="2" t="str">
        <f t="shared" si="11"/>
        <v>Low Stock</v>
      </c>
    </row>
    <row r="202" spans="1:15" x14ac:dyDescent="0.3">
      <c r="A202" s="5">
        <v>45795</v>
      </c>
      <c r="B202" s="2" t="s">
        <v>630</v>
      </c>
      <c r="C202" s="2" t="s">
        <v>631</v>
      </c>
      <c r="D202" s="2" t="s">
        <v>82</v>
      </c>
      <c r="E202" s="2" t="s">
        <v>73</v>
      </c>
      <c r="F202" s="2">
        <v>43</v>
      </c>
      <c r="G202" s="7">
        <v>505.66</v>
      </c>
      <c r="H202" s="7">
        <v>20656.21</v>
      </c>
      <c r="I202" s="2">
        <v>5</v>
      </c>
      <c r="J202" s="2" t="s">
        <v>16</v>
      </c>
      <c r="K202" s="2" t="s">
        <v>160</v>
      </c>
      <c r="L202" s="1" t="s">
        <v>2347</v>
      </c>
      <c r="M202" s="1" t="str">
        <f t="shared" si="9"/>
        <v>Online Payment</v>
      </c>
      <c r="N202" s="2" t="str">
        <f t="shared" si="10"/>
        <v>Furniture</v>
      </c>
      <c r="O202" s="1" t="str">
        <f t="shared" si="11"/>
        <v>High Stock</v>
      </c>
    </row>
    <row r="203" spans="1:15" x14ac:dyDescent="0.3">
      <c r="A203" s="5">
        <v>45740</v>
      </c>
      <c r="B203" s="2" t="s">
        <v>632</v>
      </c>
      <c r="C203" s="2" t="s">
        <v>511</v>
      </c>
      <c r="D203" s="2" t="s">
        <v>52</v>
      </c>
      <c r="E203" s="2" t="s">
        <v>35</v>
      </c>
      <c r="F203" s="2">
        <v>24</v>
      </c>
      <c r="G203" s="7">
        <v>257.92</v>
      </c>
      <c r="H203" s="7">
        <v>5571.07</v>
      </c>
      <c r="I203" s="2">
        <v>10</v>
      </c>
      <c r="J203" s="2" t="s">
        <v>16</v>
      </c>
      <c r="K203" s="2" t="s">
        <v>91</v>
      </c>
      <c r="L203" s="1" t="s">
        <v>2347</v>
      </c>
      <c r="M203" s="1" t="str">
        <f t="shared" si="9"/>
        <v>Online Payment</v>
      </c>
      <c r="N203" s="2" t="str">
        <f t="shared" si="10"/>
        <v>Electronics</v>
      </c>
      <c r="O203" s="1" t="str">
        <f t="shared" si="11"/>
        <v>High Stock</v>
      </c>
    </row>
    <row r="204" spans="1:15" x14ac:dyDescent="0.3">
      <c r="A204" s="5">
        <v>45852</v>
      </c>
      <c r="B204" s="2" t="s">
        <v>633</v>
      </c>
      <c r="C204" s="2" t="s">
        <v>634</v>
      </c>
      <c r="D204" s="2" t="s">
        <v>90</v>
      </c>
      <c r="E204" s="2" t="s">
        <v>23</v>
      </c>
      <c r="F204" s="2">
        <v>4</v>
      </c>
      <c r="G204" s="7">
        <v>38.56</v>
      </c>
      <c r="H204" s="7">
        <v>154.24</v>
      </c>
      <c r="I204" s="2">
        <v>0</v>
      </c>
      <c r="J204" s="2" t="s">
        <v>24</v>
      </c>
      <c r="K204" s="2" t="s">
        <v>41</v>
      </c>
      <c r="L204" s="2" t="s">
        <v>49</v>
      </c>
      <c r="M204" s="2" t="str">
        <f t="shared" si="9"/>
        <v>Check</v>
      </c>
      <c r="N204" s="2" t="str">
        <f t="shared" si="10"/>
        <v>Accessories</v>
      </c>
      <c r="O204" s="2" t="str">
        <f t="shared" si="11"/>
        <v>Low Stock</v>
      </c>
    </row>
    <row r="205" spans="1:15" x14ac:dyDescent="0.3">
      <c r="A205" s="5">
        <v>46221</v>
      </c>
      <c r="B205" s="2" t="s">
        <v>635</v>
      </c>
      <c r="C205" s="2" t="s">
        <v>636</v>
      </c>
      <c r="D205" s="2" t="s">
        <v>52</v>
      </c>
      <c r="E205" s="2" t="s">
        <v>35</v>
      </c>
      <c r="F205" s="2">
        <v>14</v>
      </c>
      <c r="G205" s="7">
        <v>329.22</v>
      </c>
      <c r="H205" s="7">
        <v>3687.26</v>
      </c>
      <c r="I205" s="2">
        <v>20</v>
      </c>
      <c r="J205" s="2" t="s">
        <v>53</v>
      </c>
      <c r="K205" s="2" t="s">
        <v>67</v>
      </c>
      <c r="L205" s="2" t="s">
        <v>49</v>
      </c>
      <c r="M205" s="2" t="str">
        <f t="shared" si="9"/>
        <v>Check</v>
      </c>
      <c r="N205" s="2" t="str">
        <f t="shared" si="10"/>
        <v>Electronics</v>
      </c>
      <c r="O205" s="2" t="str">
        <f t="shared" si="11"/>
        <v>Low Stock</v>
      </c>
    </row>
    <row r="206" spans="1:15" x14ac:dyDescent="0.3">
      <c r="A206" s="5">
        <v>46214</v>
      </c>
      <c r="B206" s="2" t="s">
        <v>638</v>
      </c>
      <c r="C206" s="2" t="s">
        <v>44</v>
      </c>
      <c r="D206" s="1" t="s">
        <v>95</v>
      </c>
      <c r="E206" s="2" t="s">
        <v>35</v>
      </c>
      <c r="F206" s="2">
        <v>21</v>
      </c>
      <c r="G206" s="7">
        <v>412.1</v>
      </c>
      <c r="H206" s="7">
        <v>7788.69</v>
      </c>
      <c r="I206" s="2">
        <v>10</v>
      </c>
      <c r="J206" s="2" t="s">
        <v>24</v>
      </c>
      <c r="K206" s="2" t="s">
        <v>59</v>
      </c>
      <c r="L206" s="2" t="s">
        <v>49</v>
      </c>
      <c r="M206" s="2" t="str">
        <f t="shared" si="9"/>
        <v>Check</v>
      </c>
      <c r="N206" s="2" t="str">
        <f t="shared" si="10"/>
        <v>Electronics</v>
      </c>
      <c r="O206" s="2" t="str">
        <f t="shared" si="11"/>
        <v>High Stock</v>
      </c>
    </row>
    <row r="207" spans="1:15" x14ac:dyDescent="0.3">
      <c r="A207" s="5">
        <v>45649</v>
      </c>
      <c r="B207" s="2" t="s">
        <v>640</v>
      </c>
      <c r="C207" s="2" t="s">
        <v>641</v>
      </c>
      <c r="D207" s="2" t="s">
        <v>14</v>
      </c>
      <c r="E207" s="2" t="s">
        <v>15</v>
      </c>
      <c r="F207" s="2">
        <v>22</v>
      </c>
      <c r="G207" s="7">
        <v>55.03</v>
      </c>
      <c r="H207" s="7">
        <v>968.53</v>
      </c>
      <c r="I207" s="2">
        <v>20</v>
      </c>
      <c r="J207" s="2" t="s">
        <v>16</v>
      </c>
      <c r="K207" s="2" t="s">
        <v>74</v>
      </c>
      <c r="L207" s="2" t="s">
        <v>49</v>
      </c>
      <c r="M207" s="2" t="str">
        <f t="shared" si="9"/>
        <v>Check</v>
      </c>
      <c r="N207" s="2" t="str">
        <f t="shared" si="10"/>
        <v>Peripherals</v>
      </c>
      <c r="O207" s="2" t="str">
        <f t="shared" si="11"/>
        <v>High Stock</v>
      </c>
    </row>
    <row r="208" spans="1:15" x14ac:dyDescent="0.3">
      <c r="A208" s="5">
        <v>45711</v>
      </c>
      <c r="B208" s="2" t="s">
        <v>643</v>
      </c>
      <c r="C208" s="2" t="s">
        <v>644</v>
      </c>
      <c r="D208" s="2" t="s">
        <v>14</v>
      </c>
      <c r="E208" s="2" t="s">
        <v>15</v>
      </c>
      <c r="F208" s="2">
        <v>50</v>
      </c>
      <c r="G208" s="7">
        <v>82.8</v>
      </c>
      <c r="H208" s="7">
        <v>4140</v>
      </c>
      <c r="I208" s="2">
        <v>0</v>
      </c>
      <c r="J208" s="2" t="s">
        <v>24</v>
      </c>
      <c r="K208" s="2" t="s">
        <v>25</v>
      </c>
      <c r="L208" s="2" t="s">
        <v>69</v>
      </c>
      <c r="M208" s="2" t="str">
        <f t="shared" si="9"/>
        <v>Debit Card</v>
      </c>
      <c r="N208" s="2" t="str">
        <f t="shared" si="10"/>
        <v>Peripherals</v>
      </c>
      <c r="O208" s="2" t="str">
        <f t="shared" si="11"/>
        <v>High Stock</v>
      </c>
    </row>
    <row r="209" spans="1:15" x14ac:dyDescent="0.3">
      <c r="A209" s="5">
        <v>45729</v>
      </c>
      <c r="B209" s="2" t="s">
        <v>646</v>
      </c>
      <c r="C209" s="2" t="s">
        <v>647</v>
      </c>
      <c r="D209" s="2" t="s">
        <v>40</v>
      </c>
      <c r="E209" s="2" t="s">
        <v>23</v>
      </c>
      <c r="F209" s="2">
        <v>36</v>
      </c>
      <c r="G209" s="7">
        <v>36.5</v>
      </c>
      <c r="H209" s="7">
        <v>1051.2</v>
      </c>
      <c r="I209" s="2">
        <v>20</v>
      </c>
      <c r="J209" s="2" t="s">
        <v>24</v>
      </c>
      <c r="K209" s="2" t="s">
        <v>104</v>
      </c>
      <c r="L209" s="2" t="s">
        <v>27</v>
      </c>
      <c r="M209" s="2" t="str">
        <f t="shared" si="9"/>
        <v>Cash</v>
      </c>
      <c r="N209" s="2" t="str">
        <f t="shared" si="10"/>
        <v>Accessories</v>
      </c>
      <c r="O209" s="2" t="str">
        <f t="shared" si="11"/>
        <v>High Stock</v>
      </c>
    </row>
    <row r="210" spans="1:15" x14ac:dyDescent="0.3">
      <c r="A210" s="5">
        <v>45722</v>
      </c>
      <c r="B210" s="2" t="s">
        <v>649</v>
      </c>
      <c r="C210" s="2" t="s">
        <v>650</v>
      </c>
      <c r="D210" s="2" t="s">
        <v>22</v>
      </c>
      <c r="E210" s="2" t="s">
        <v>23</v>
      </c>
      <c r="F210" s="2">
        <v>34</v>
      </c>
      <c r="G210" s="7">
        <v>20.04</v>
      </c>
      <c r="H210" s="7">
        <v>681.36</v>
      </c>
      <c r="I210" s="2">
        <v>0</v>
      </c>
      <c r="J210" s="2" t="s">
        <v>24</v>
      </c>
      <c r="K210" s="2" t="s">
        <v>104</v>
      </c>
      <c r="L210" s="2" t="s">
        <v>69</v>
      </c>
      <c r="M210" s="2" t="str">
        <f t="shared" si="9"/>
        <v>Debit Card</v>
      </c>
      <c r="N210" s="2" t="str">
        <f t="shared" si="10"/>
        <v>Accessories</v>
      </c>
      <c r="O210" s="2" t="str">
        <f t="shared" si="11"/>
        <v>High Stock</v>
      </c>
    </row>
    <row r="211" spans="1:15" x14ac:dyDescent="0.3">
      <c r="A211" s="5">
        <v>45987</v>
      </c>
      <c r="B211" s="2" t="s">
        <v>652</v>
      </c>
      <c r="C211" s="2" t="s">
        <v>653</v>
      </c>
      <c r="D211" s="2" t="s">
        <v>90</v>
      </c>
      <c r="E211" s="2" t="s">
        <v>23</v>
      </c>
      <c r="F211" s="2">
        <v>14</v>
      </c>
      <c r="G211" s="7">
        <v>44.34</v>
      </c>
      <c r="H211" s="7">
        <v>620.76</v>
      </c>
      <c r="I211" s="2">
        <v>0</v>
      </c>
      <c r="J211" s="2" t="s">
        <v>24</v>
      </c>
      <c r="K211" s="2" t="s">
        <v>59</v>
      </c>
      <c r="L211" s="2" t="s">
        <v>27</v>
      </c>
      <c r="M211" s="2" t="str">
        <f t="shared" si="9"/>
        <v>Cash</v>
      </c>
      <c r="N211" s="2" t="str">
        <f t="shared" si="10"/>
        <v>Accessories</v>
      </c>
      <c r="O211" s="2" t="str">
        <f t="shared" si="11"/>
        <v>Low Stock</v>
      </c>
    </row>
    <row r="212" spans="1:15" x14ac:dyDescent="0.3">
      <c r="A212" s="5">
        <v>45907</v>
      </c>
      <c r="B212" s="2" t="s">
        <v>655</v>
      </c>
      <c r="C212" s="2" t="s">
        <v>656</v>
      </c>
      <c r="D212" s="2" t="s">
        <v>103</v>
      </c>
      <c r="E212" s="2" t="s">
        <v>35</v>
      </c>
      <c r="F212" s="2">
        <v>16</v>
      </c>
      <c r="G212" s="7">
        <v>519.89</v>
      </c>
      <c r="H212" s="7">
        <v>7486.42</v>
      </c>
      <c r="I212" s="2">
        <v>10</v>
      </c>
      <c r="J212" s="2" t="s">
        <v>16</v>
      </c>
      <c r="K212" s="2" t="s">
        <v>160</v>
      </c>
      <c r="L212" s="2" t="s">
        <v>31</v>
      </c>
      <c r="M212" s="2" t="str">
        <f t="shared" si="9"/>
        <v>Credit Card</v>
      </c>
      <c r="N212" s="2" t="str">
        <f t="shared" si="10"/>
        <v>Electronics</v>
      </c>
      <c r="O212" s="2" t="str">
        <f t="shared" si="11"/>
        <v>High Stock</v>
      </c>
    </row>
    <row r="213" spans="1:15" x14ac:dyDescent="0.3">
      <c r="A213" s="5">
        <v>45928</v>
      </c>
      <c r="B213" s="2" t="s">
        <v>658</v>
      </c>
      <c r="C213" s="2" t="s">
        <v>659</v>
      </c>
      <c r="D213" s="2" t="s">
        <v>103</v>
      </c>
      <c r="E213" s="2" t="s">
        <v>35</v>
      </c>
      <c r="F213" s="2">
        <v>42</v>
      </c>
      <c r="G213" s="7">
        <v>558.97</v>
      </c>
      <c r="H213" s="7">
        <v>19955.23</v>
      </c>
      <c r="I213" s="2">
        <v>15</v>
      </c>
      <c r="J213" s="2" t="s">
        <v>53</v>
      </c>
      <c r="K213" s="2" t="s">
        <v>141</v>
      </c>
      <c r="L213" s="2" t="s">
        <v>31</v>
      </c>
      <c r="M213" s="2" t="str">
        <f t="shared" si="9"/>
        <v>Credit Card</v>
      </c>
      <c r="N213" s="2" t="str">
        <f t="shared" si="10"/>
        <v>Electronics</v>
      </c>
      <c r="O213" s="2" t="str">
        <f t="shared" si="11"/>
        <v>High Stock</v>
      </c>
    </row>
    <row r="214" spans="1:15" x14ac:dyDescent="0.3">
      <c r="A214" s="5">
        <v>46249</v>
      </c>
      <c r="B214" s="2" t="s">
        <v>661</v>
      </c>
      <c r="C214" s="2" t="s">
        <v>662</v>
      </c>
      <c r="D214" s="2" t="s">
        <v>34</v>
      </c>
      <c r="E214" s="2" t="s">
        <v>35</v>
      </c>
      <c r="F214" s="2">
        <v>16</v>
      </c>
      <c r="G214" s="7">
        <v>509.05</v>
      </c>
      <c r="H214" s="7">
        <v>7737.56</v>
      </c>
      <c r="I214" s="2">
        <v>5</v>
      </c>
      <c r="J214" s="2" t="s">
        <v>24</v>
      </c>
      <c r="K214" s="2" t="s">
        <v>59</v>
      </c>
      <c r="L214" s="2" t="s">
        <v>69</v>
      </c>
      <c r="M214" s="2" t="str">
        <f t="shared" si="9"/>
        <v>Debit Card</v>
      </c>
      <c r="N214" s="2" t="str">
        <f t="shared" si="10"/>
        <v>Electronics</v>
      </c>
      <c r="O214" s="2" t="str">
        <f t="shared" si="11"/>
        <v>High Stock</v>
      </c>
    </row>
    <row r="215" spans="1:15" x14ac:dyDescent="0.3">
      <c r="A215" s="5">
        <v>45822</v>
      </c>
      <c r="B215" s="2" t="s">
        <v>664</v>
      </c>
      <c r="C215" s="2" t="s">
        <v>665</v>
      </c>
      <c r="D215" s="2" t="s">
        <v>72</v>
      </c>
      <c r="E215" s="2" t="s">
        <v>73</v>
      </c>
      <c r="F215" s="2">
        <v>32</v>
      </c>
      <c r="G215" s="7">
        <v>354.88</v>
      </c>
      <c r="H215" s="7">
        <v>10220.540000000001</v>
      </c>
      <c r="I215" s="2">
        <v>10</v>
      </c>
      <c r="J215" s="2" t="s">
        <v>16</v>
      </c>
      <c r="K215" s="2" t="s">
        <v>111</v>
      </c>
      <c r="L215" s="2" t="s">
        <v>31</v>
      </c>
      <c r="M215" s="2" t="str">
        <f t="shared" si="9"/>
        <v>Credit Card</v>
      </c>
      <c r="N215" s="2" t="str">
        <f t="shared" si="10"/>
        <v>Furniture</v>
      </c>
      <c r="O215" s="2" t="str">
        <f t="shared" si="11"/>
        <v>High Stock</v>
      </c>
    </row>
    <row r="216" spans="1:15" x14ac:dyDescent="0.3">
      <c r="A216" s="5">
        <v>45958</v>
      </c>
      <c r="B216" s="2" t="s">
        <v>667</v>
      </c>
      <c r="C216" s="2" t="s">
        <v>356</v>
      </c>
      <c r="D216" s="2" t="s">
        <v>22</v>
      </c>
      <c r="E216" s="2" t="s">
        <v>23</v>
      </c>
      <c r="F216" s="2">
        <v>35</v>
      </c>
      <c r="G216" s="7">
        <v>38.75</v>
      </c>
      <c r="H216" s="7">
        <v>1152.81</v>
      </c>
      <c r="I216" s="2">
        <v>15</v>
      </c>
      <c r="J216" s="2" t="s">
        <v>24</v>
      </c>
      <c r="K216" s="2" t="s">
        <v>41</v>
      </c>
      <c r="L216" s="2" t="s">
        <v>31</v>
      </c>
      <c r="M216" s="2" t="str">
        <f t="shared" si="9"/>
        <v>Credit Card</v>
      </c>
      <c r="N216" s="2" t="str">
        <f t="shared" si="10"/>
        <v>Accessories</v>
      </c>
      <c r="O216" s="2" t="str">
        <f t="shared" si="11"/>
        <v>High Stock</v>
      </c>
    </row>
    <row r="217" spans="1:15" x14ac:dyDescent="0.3">
      <c r="A217" s="5">
        <v>46055</v>
      </c>
      <c r="B217" s="2" t="s">
        <v>668</v>
      </c>
      <c r="C217" s="2" t="s">
        <v>669</v>
      </c>
      <c r="D217" s="2" t="s">
        <v>40</v>
      </c>
      <c r="E217" s="2" t="s">
        <v>23</v>
      </c>
      <c r="F217" s="2">
        <v>42</v>
      </c>
      <c r="G217" s="7">
        <v>65.62</v>
      </c>
      <c r="H217" s="7">
        <v>2480.44</v>
      </c>
      <c r="I217" s="2">
        <v>10</v>
      </c>
      <c r="J217" s="2" t="s">
        <v>53</v>
      </c>
      <c r="K217" s="2" t="s">
        <v>67</v>
      </c>
      <c r="L217" s="2" t="s">
        <v>27</v>
      </c>
      <c r="M217" s="2" t="str">
        <f t="shared" si="9"/>
        <v>Cash</v>
      </c>
      <c r="N217" s="2" t="str">
        <f t="shared" si="10"/>
        <v>Accessories</v>
      </c>
      <c r="O217" s="2" t="str">
        <f t="shared" si="11"/>
        <v>High Stock</v>
      </c>
    </row>
    <row r="218" spans="1:15" x14ac:dyDescent="0.3">
      <c r="A218" s="5">
        <v>46279</v>
      </c>
      <c r="B218" s="2" t="s">
        <v>671</v>
      </c>
      <c r="C218" s="2" t="s">
        <v>672</v>
      </c>
      <c r="D218" s="2" t="s">
        <v>82</v>
      </c>
      <c r="E218" s="2" t="s">
        <v>73</v>
      </c>
      <c r="F218" s="2">
        <v>29</v>
      </c>
      <c r="G218" s="7">
        <v>680.47</v>
      </c>
      <c r="H218" s="7">
        <v>17760.27</v>
      </c>
      <c r="I218" s="2">
        <v>10</v>
      </c>
      <c r="J218" s="2" t="s">
        <v>46</v>
      </c>
      <c r="K218" s="2" t="s">
        <v>78</v>
      </c>
      <c r="L218" s="2" t="s">
        <v>49</v>
      </c>
      <c r="M218" s="2" t="str">
        <f t="shared" si="9"/>
        <v>Check</v>
      </c>
      <c r="N218" s="2" t="str">
        <f t="shared" si="10"/>
        <v>Furniture</v>
      </c>
      <c r="O218" s="2" t="str">
        <f t="shared" si="11"/>
        <v>High Stock</v>
      </c>
    </row>
    <row r="219" spans="1:15" x14ac:dyDescent="0.3">
      <c r="A219" s="5">
        <v>46008</v>
      </c>
      <c r="B219" s="2" t="s">
        <v>674</v>
      </c>
      <c r="C219" s="2" t="s">
        <v>675</v>
      </c>
      <c r="D219" s="2" t="s">
        <v>99</v>
      </c>
      <c r="E219" s="2" t="s">
        <v>23</v>
      </c>
      <c r="F219" s="2">
        <v>30</v>
      </c>
      <c r="G219" s="7">
        <v>25.51</v>
      </c>
      <c r="H219" s="7">
        <v>688.77</v>
      </c>
      <c r="I219" s="2">
        <v>10</v>
      </c>
      <c r="J219" s="2" t="s">
        <v>53</v>
      </c>
      <c r="K219" s="2" t="s">
        <v>54</v>
      </c>
      <c r="L219" s="1" t="s">
        <v>2347</v>
      </c>
      <c r="M219" s="1" t="str">
        <f t="shared" si="9"/>
        <v>Online Payment</v>
      </c>
      <c r="N219" s="2" t="str">
        <f t="shared" si="10"/>
        <v>Accessories</v>
      </c>
      <c r="O219" s="1" t="str">
        <f t="shared" si="11"/>
        <v>High Stock</v>
      </c>
    </row>
    <row r="220" spans="1:15" x14ac:dyDescent="0.3">
      <c r="A220" s="5">
        <v>45958</v>
      </c>
      <c r="B220" s="2" t="s">
        <v>676</v>
      </c>
      <c r="C220" s="2" t="s">
        <v>541</v>
      </c>
      <c r="D220" s="2" t="s">
        <v>99</v>
      </c>
      <c r="E220" s="2" t="s">
        <v>23</v>
      </c>
      <c r="F220" s="2">
        <v>23</v>
      </c>
      <c r="G220" s="7">
        <v>27.52</v>
      </c>
      <c r="H220" s="7">
        <v>601.30999999999995</v>
      </c>
      <c r="I220" s="2">
        <v>5</v>
      </c>
      <c r="J220" s="2" t="s">
        <v>16</v>
      </c>
      <c r="K220" s="2" t="s">
        <v>160</v>
      </c>
      <c r="L220" s="2" t="s">
        <v>69</v>
      </c>
      <c r="M220" s="2" t="str">
        <f t="shared" si="9"/>
        <v>Debit Card</v>
      </c>
      <c r="N220" s="2" t="str">
        <f t="shared" si="10"/>
        <v>Accessories</v>
      </c>
      <c r="O220" s="2" t="str">
        <f t="shared" si="11"/>
        <v>High Stock</v>
      </c>
    </row>
    <row r="221" spans="1:15" x14ac:dyDescent="0.3">
      <c r="A221" s="5">
        <v>46093</v>
      </c>
      <c r="B221" s="2" t="s">
        <v>677</v>
      </c>
      <c r="C221" s="2" t="s">
        <v>478</v>
      </c>
      <c r="D221" s="2" t="s">
        <v>90</v>
      </c>
      <c r="E221" s="2" t="s">
        <v>23</v>
      </c>
      <c r="F221" s="2">
        <v>25</v>
      </c>
      <c r="G221" s="7">
        <v>39.950000000000003</v>
      </c>
      <c r="H221" s="7">
        <v>898.88</v>
      </c>
      <c r="I221" s="2">
        <v>10</v>
      </c>
      <c r="J221" s="2" t="s">
        <v>53</v>
      </c>
      <c r="K221" s="2" t="s">
        <v>54</v>
      </c>
      <c r="L221" s="2" t="s">
        <v>49</v>
      </c>
      <c r="M221" s="2" t="str">
        <f t="shared" si="9"/>
        <v>Check</v>
      </c>
      <c r="N221" s="2" t="str">
        <f t="shared" si="10"/>
        <v>Accessories</v>
      </c>
      <c r="O221" s="2" t="str">
        <f t="shared" si="11"/>
        <v>High Stock</v>
      </c>
    </row>
    <row r="222" spans="1:15" x14ac:dyDescent="0.3">
      <c r="A222" s="5">
        <v>45903</v>
      </c>
      <c r="B222" s="2" t="s">
        <v>679</v>
      </c>
      <c r="C222" s="2" t="s">
        <v>680</v>
      </c>
      <c r="D222" s="2" t="s">
        <v>45</v>
      </c>
      <c r="E222" s="2" t="s">
        <v>23</v>
      </c>
      <c r="F222" s="2">
        <v>50</v>
      </c>
      <c r="G222" s="7">
        <v>60.71</v>
      </c>
      <c r="H222" s="7">
        <v>2731.95</v>
      </c>
      <c r="I222" s="2">
        <v>10</v>
      </c>
      <c r="J222" s="2" t="s">
        <v>24</v>
      </c>
      <c r="K222" s="2" t="s">
        <v>41</v>
      </c>
      <c r="L222" s="2" t="s">
        <v>49</v>
      </c>
      <c r="M222" s="2" t="str">
        <f t="shared" si="9"/>
        <v>Check</v>
      </c>
      <c r="N222" s="2" t="str">
        <f t="shared" si="10"/>
        <v>Accessories</v>
      </c>
      <c r="O222" s="2" t="str">
        <f t="shared" si="11"/>
        <v>High Stock</v>
      </c>
    </row>
    <row r="223" spans="1:15" x14ac:dyDescent="0.3">
      <c r="A223" s="5">
        <v>46130</v>
      </c>
      <c r="B223" s="2" t="s">
        <v>682</v>
      </c>
      <c r="C223" s="2" t="s">
        <v>683</v>
      </c>
      <c r="D223" s="2" t="s">
        <v>103</v>
      </c>
      <c r="E223" s="2" t="s">
        <v>35</v>
      </c>
      <c r="F223" s="2">
        <v>9</v>
      </c>
      <c r="G223" s="7">
        <v>347.72</v>
      </c>
      <c r="H223" s="7">
        <v>2973.01</v>
      </c>
      <c r="I223" s="2">
        <v>5</v>
      </c>
      <c r="J223" s="2" t="s">
        <v>16</v>
      </c>
      <c r="K223" s="2" t="s">
        <v>160</v>
      </c>
      <c r="L223" s="2" t="s">
        <v>49</v>
      </c>
      <c r="M223" s="2" t="str">
        <f t="shared" si="9"/>
        <v>Check</v>
      </c>
      <c r="N223" s="2" t="str">
        <f t="shared" si="10"/>
        <v>Electronics</v>
      </c>
      <c r="O223" s="2" t="str">
        <f t="shared" si="11"/>
        <v>Low Stock</v>
      </c>
    </row>
    <row r="224" spans="1:15" x14ac:dyDescent="0.3">
      <c r="A224" s="5">
        <v>45924</v>
      </c>
      <c r="B224" s="2" t="s">
        <v>685</v>
      </c>
      <c r="C224" s="2" t="s">
        <v>686</v>
      </c>
      <c r="D224" s="2" t="s">
        <v>40</v>
      </c>
      <c r="E224" s="2" t="s">
        <v>23</v>
      </c>
      <c r="F224" s="2">
        <v>23</v>
      </c>
      <c r="G224" s="7">
        <v>52.28</v>
      </c>
      <c r="H224" s="7">
        <v>1142.32</v>
      </c>
      <c r="I224" s="2">
        <v>5</v>
      </c>
      <c r="J224" s="2" t="s">
        <v>16</v>
      </c>
      <c r="K224" s="2" t="s">
        <v>91</v>
      </c>
      <c r="L224" s="1" t="s">
        <v>2347</v>
      </c>
      <c r="M224" s="1" t="str">
        <f t="shared" si="9"/>
        <v>Online Payment</v>
      </c>
      <c r="N224" s="2" t="str">
        <f t="shared" si="10"/>
        <v>Accessories</v>
      </c>
      <c r="O224" s="1" t="str">
        <f t="shared" si="11"/>
        <v>High Stock</v>
      </c>
    </row>
    <row r="225" spans="1:15" x14ac:dyDescent="0.3">
      <c r="A225" s="5">
        <v>46259</v>
      </c>
      <c r="B225" s="2" t="s">
        <v>688</v>
      </c>
      <c r="C225" s="2" t="s">
        <v>689</v>
      </c>
      <c r="D225" s="2" t="s">
        <v>45</v>
      </c>
      <c r="E225" s="2" t="s">
        <v>23</v>
      </c>
      <c r="F225" s="2">
        <v>10</v>
      </c>
      <c r="G225" s="7">
        <v>54.28</v>
      </c>
      <c r="H225" s="7">
        <v>488.52</v>
      </c>
      <c r="I225" s="2">
        <v>10</v>
      </c>
      <c r="J225" s="2" t="s">
        <v>24</v>
      </c>
      <c r="K225" s="2" t="s">
        <v>104</v>
      </c>
      <c r="L225" s="2" t="s">
        <v>27</v>
      </c>
      <c r="M225" s="2" t="str">
        <f t="shared" si="9"/>
        <v>Cash</v>
      </c>
      <c r="N225" s="2" t="str">
        <f t="shared" si="10"/>
        <v>Accessories</v>
      </c>
      <c r="O225" s="2" t="str">
        <f t="shared" si="11"/>
        <v>Low Stock</v>
      </c>
    </row>
    <row r="226" spans="1:15" x14ac:dyDescent="0.3">
      <c r="A226" s="5">
        <v>46217</v>
      </c>
      <c r="B226" s="2" t="s">
        <v>691</v>
      </c>
      <c r="C226" s="2" t="s">
        <v>692</v>
      </c>
      <c r="D226" s="2" t="s">
        <v>82</v>
      </c>
      <c r="E226" s="2" t="s">
        <v>73</v>
      </c>
      <c r="F226" s="2">
        <v>35</v>
      </c>
      <c r="G226" s="7">
        <v>524.15</v>
      </c>
      <c r="H226" s="7">
        <v>14676.2</v>
      </c>
      <c r="I226" s="2">
        <v>20</v>
      </c>
      <c r="J226" s="2" t="s">
        <v>16</v>
      </c>
      <c r="K226" s="2" t="s">
        <v>74</v>
      </c>
      <c r="L226" s="2" t="s">
        <v>69</v>
      </c>
      <c r="M226" s="2" t="str">
        <f t="shared" si="9"/>
        <v>Debit Card</v>
      </c>
      <c r="N226" s="2" t="str">
        <f t="shared" si="10"/>
        <v>Furniture</v>
      </c>
      <c r="O226" s="2" t="str">
        <f t="shared" si="11"/>
        <v>High Stock</v>
      </c>
    </row>
    <row r="227" spans="1:15" x14ac:dyDescent="0.3">
      <c r="A227" s="5">
        <v>45732</v>
      </c>
      <c r="B227" s="2" t="s">
        <v>694</v>
      </c>
      <c r="C227" s="2" t="s">
        <v>695</v>
      </c>
      <c r="D227" s="2" t="s">
        <v>103</v>
      </c>
      <c r="E227" s="2" t="s">
        <v>35</v>
      </c>
      <c r="F227" s="2">
        <v>47</v>
      </c>
      <c r="G227" s="7">
        <v>581.71</v>
      </c>
      <c r="H227" s="7">
        <v>25973.35</v>
      </c>
      <c r="I227" s="2">
        <v>5</v>
      </c>
      <c r="J227" s="2" t="s">
        <v>53</v>
      </c>
      <c r="K227" s="2" t="s">
        <v>54</v>
      </c>
      <c r="L227" s="2" t="s">
        <v>27</v>
      </c>
      <c r="M227" s="2" t="str">
        <f t="shared" si="9"/>
        <v>Cash</v>
      </c>
      <c r="N227" s="2" t="str">
        <f t="shared" si="10"/>
        <v>Electronics</v>
      </c>
      <c r="O227" s="2" t="str">
        <f t="shared" si="11"/>
        <v>High Stock</v>
      </c>
    </row>
    <row r="228" spans="1:15" x14ac:dyDescent="0.3">
      <c r="A228" s="5">
        <v>45939</v>
      </c>
      <c r="B228" s="2" t="s">
        <v>696</v>
      </c>
      <c r="C228" s="2" t="s">
        <v>697</v>
      </c>
      <c r="D228" s="2" t="s">
        <v>99</v>
      </c>
      <c r="E228" s="2" t="s">
        <v>23</v>
      </c>
      <c r="F228" s="2">
        <v>15</v>
      </c>
      <c r="G228" s="7">
        <v>21.06</v>
      </c>
      <c r="H228" s="7">
        <v>300.10000000000002</v>
      </c>
      <c r="I228" s="2">
        <v>5</v>
      </c>
      <c r="J228" s="2" t="s">
        <v>53</v>
      </c>
      <c r="K228" s="2" t="s">
        <v>54</v>
      </c>
      <c r="L228" s="2" t="s">
        <v>27</v>
      </c>
      <c r="M228" s="2" t="str">
        <f t="shared" si="9"/>
        <v>Cash</v>
      </c>
      <c r="N228" s="2" t="str">
        <f t="shared" si="10"/>
        <v>Accessories</v>
      </c>
      <c r="O228" s="2" t="str">
        <f t="shared" si="11"/>
        <v>Low Stock</v>
      </c>
    </row>
    <row r="229" spans="1:15" x14ac:dyDescent="0.3">
      <c r="A229" s="5">
        <v>45590</v>
      </c>
      <c r="B229" s="2" t="s">
        <v>699</v>
      </c>
      <c r="C229" s="2" t="s">
        <v>700</v>
      </c>
      <c r="D229" s="2" t="s">
        <v>99</v>
      </c>
      <c r="E229" s="2" t="s">
        <v>23</v>
      </c>
      <c r="F229" s="2">
        <v>42</v>
      </c>
      <c r="G229" s="7">
        <v>20.85</v>
      </c>
      <c r="H229" s="7">
        <v>788.13</v>
      </c>
      <c r="I229" s="2">
        <v>10</v>
      </c>
      <c r="J229" s="2" t="s">
        <v>53</v>
      </c>
      <c r="K229" s="2" t="s">
        <v>134</v>
      </c>
      <c r="L229" s="2" t="s">
        <v>69</v>
      </c>
      <c r="M229" s="2" t="str">
        <f t="shared" si="9"/>
        <v>Debit Card</v>
      </c>
      <c r="N229" s="2" t="str">
        <f t="shared" si="10"/>
        <v>Accessories</v>
      </c>
      <c r="O229" s="2" t="str">
        <f t="shared" si="11"/>
        <v>High Stock</v>
      </c>
    </row>
    <row r="230" spans="1:15" x14ac:dyDescent="0.3">
      <c r="A230" s="5">
        <v>46259</v>
      </c>
      <c r="B230" s="2" t="s">
        <v>702</v>
      </c>
      <c r="C230" s="2" t="s">
        <v>703</v>
      </c>
      <c r="D230" s="2" t="s">
        <v>22</v>
      </c>
      <c r="E230" s="2" t="s">
        <v>23</v>
      </c>
      <c r="F230" s="2">
        <v>45</v>
      </c>
      <c r="G230" s="7">
        <v>32.85</v>
      </c>
      <c r="H230" s="7">
        <v>1256.51</v>
      </c>
      <c r="I230" s="2">
        <v>15</v>
      </c>
      <c r="J230" s="2" t="s">
        <v>53</v>
      </c>
      <c r="K230" s="2" t="s">
        <v>54</v>
      </c>
      <c r="L230" s="2" t="s">
        <v>27</v>
      </c>
      <c r="M230" s="2" t="str">
        <f t="shared" si="9"/>
        <v>Cash</v>
      </c>
      <c r="N230" s="2" t="str">
        <f t="shared" si="10"/>
        <v>Accessories</v>
      </c>
      <c r="O230" s="2" t="str">
        <f t="shared" si="11"/>
        <v>High Stock</v>
      </c>
    </row>
    <row r="231" spans="1:15" x14ac:dyDescent="0.3">
      <c r="A231" s="5">
        <v>46169</v>
      </c>
      <c r="B231" s="2" t="s">
        <v>704</v>
      </c>
      <c r="C231" s="2" t="s">
        <v>705</v>
      </c>
      <c r="D231" s="2" t="s">
        <v>72</v>
      </c>
      <c r="E231" s="2" t="s">
        <v>73</v>
      </c>
      <c r="F231" s="2">
        <v>27</v>
      </c>
      <c r="G231" s="7">
        <v>220.68</v>
      </c>
      <c r="H231" s="7">
        <v>5660.44</v>
      </c>
      <c r="I231" s="2">
        <v>5</v>
      </c>
      <c r="J231" s="2" t="s">
        <v>24</v>
      </c>
      <c r="K231" s="2" t="s">
        <v>41</v>
      </c>
      <c r="L231" s="2" t="s">
        <v>31</v>
      </c>
      <c r="M231" s="2" t="str">
        <f t="shared" si="9"/>
        <v>Credit Card</v>
      </c>
      <c r="N231" s="2" t="str">
        <f t="shared" si="10"/>
        <v>Furniture</v>
      </c>
      <c r="O231" s="2" t="str">
        <f t="shared" si="11"/>
        <v>High Stock</v>
      </c>
    </row>
    <row r="232" spans="1:15" x14ac:dyDescent="0.3">
      <c r="A232" s="5">
        <v>46023</v>
      </c>
      <c r="B232" s="2" t="s">
        <v>706</v>
      </c>
      <c r="C232" s="2" t="s">
        <v>707</v>
      </c>
      <c r="D232" s="2" t="s">
        <v>103</v>
      </c>
      <c r="E232" s="2" t="s">
        <v>35</v>
      </c>
      <c r="F232" s="2">
        <v>44</v>
      </c>
      <c r="G232" s="7">
        <v>322.31</v>
      </c>
      <c r="H232" s="7">
        <v>12054.39</v>
      </c>
      <c r="I232" s="2">
        <v>15</v>
      </c>
      <c r="J232" s="2" t="s">
        <v>53</v>
      </c>
      <c r="K232" s="2" t="s">
        <v>134</v>
      </c>
      <c r="L232" s="1" t="s">
        <v>2347</v>
      </c>
      <c r="M232" s="1" t="str">
        <f t="shared" si="9"/>
        <v>Online Payment</v>
      </c>
      <c r="N232" s="2" t="str">
        <f t="shared" si="10"/>
        <v>Electronics</v>
      </c>
      <c r="O232" s="1" t="str">
        <f t="shared" si="11"/>
        <v>High Stock</v>
      </c>
    </row>
    <row r="233" spans="1:15" x14ac:dyDescent="0.3">
      <c r="A233" s="5">
        <v>45830</v>
      </c>
      <c r="B233" s="2" t="s">
        <v>709</v>
      </c>
      <c r="C233" s="2" t="s">
        <v>710</v>
      </c>
      <c r="D233" s="2" t="s">
        <v>34</v>
      </c>
      <c r="E233" s="2" t="s">
        <v>35</v>
      </c>
      <c r="F233" s="2">
        <v>5</v>
      </c>
      <c r="G233" s="7">
        <v>726.08</v>
      </c>
      <c r="H233" s="7">
        <v>3448.88</v>
      </c>
      <c r="I233" s="2">
        <v>5</v>
      </c>
      <c r="J233" s="2" t="s">
        <v>16</v>
      </c>
      <c r="K233" s="2" t="s">
        <v>91</v>
      </c>
      <c r="L233" s="2" t="s">
        <v>49</v>
      </c>
      <c r="M233" s="2" t="str">
        <f t="shared" si="9"/>
        <v>Check</v>
      </c>
      <c r="N233" s="2" t="str">
        <f t="shared" si="10"/>
        <v>Electronics</v>
      </c>
      <c r="O233" s="2" t="str">
        <f t="shared" si="11"/>
        <v>Low Stock</v>
      </c>
    </row>
    <row r="234" spans="1:15" x14ac:dyDescent="0.3">
      <c r="A234" s="5">
        <v>45995</v>
      </c>
      <c r="B234" s="2" t="s">
        <v>712</v>
      </c>
      <c r="C234" s="2" t="s">
        <v>713</v>
      </c>
      <c r="D234" s="2" t="s">
        <v>82</v>
      </c>
      <c r="E234" s="2" t="s">
        <v>73</v>
      </c>
      <c r="F234" s="2">
        <v>44</v>
      </c>
      <c r="G234" s="7">
        <v>356</v>
      </c>
      <c r="H234" s="7">
        <v>14097.6</v>
      </c>
      <c r="I234" s="2">
        <v>10</v>
      </c>
      <c r="J234" s="2" t="s">
        <v>24</v>
      </c>
      <c r="K234" s="2" t="s">
        <v>41</v>
      </c>
      <c r="L234" s="2" t="s">
        <v>27</v>
      </c>
      <c r="M234" s="2" t="str">
        <f t="shared" si="9"/>
        <v>Cash</v>
      </c>
      <c r="N234" s="2" t="str">
        <f t="shared" si="10"/>
        <v>Furniture</v>
      </c>
      <c r="O234" s="2" t="str">
        <f t="shared" si="11"/>
        <v>High Stock</v>
      </c>
    </row>
    <row r="235" spans="1:15" x14ac:dyDescent="0.3">
      <c r="A235" s="5">
        <v>45978</v>
      </c>
      <c r="B235" s="2" t="s">
        <v>715</v>
      </c>
      <c r="C235" s="2" t="s">
        <v>716</v>
      </c>
      <c r="D235" s="2" t="s">
        <v>99</v>
      </c>
      <c r="E235" s="2" t="s">
        <v>23</v>
      </c>
      <c r="F235" s="2">
        <v>38</v>
      </c>
      <c r="G235" s="7">
        <v>16.5</v>
      </c>
      <c r="H235" s="7">
        <v>627</v>
      </c>
      <c r="I235" s="2">
        <v>0</v>
      </c>
      <c r="J235" s="2" t="s">
        <v>24</v>
      </c>
      <c r="K235" s="2" t="s">
        <v>41</v>
      </c>
      <c r="L235" s="1" t="s">
        <v>2347</v>
      </c>
      <c r="M235" s="1" t="str">
        <f t="shared" si="9"/>
        <v>Online Payment</v>
      </c>
      <c r="N235" s="2" t="str">
        <f t="shared" si="10"/>
        <v>Accessories</v>
      </c>
      <c r="O235" s="1" t="str">
        <f t="shared" si="11"/>
        <v>High Stock</v>
      </c>
    </row>
    <row r="236" spans="1:15" x14ac:dyDescent="0.3">
      <c r="A236" s="5">
        <v>45659</v>
      </c>
      <c r="B236" s="2" t="s">
        <v>718</v>
      </c>
      <c r="C236" s="2" t="s">
        <v>719</v>
      </c>
      <c r="D236" s="2" t="s">
        <v>52</v>
      </c>
      <c r="E236" s="2" t="s">
        <v>35</v>
      </c>
      <c r="F236" s="2">
        <v>42</v>
      </c>
      <c r="G236" s="7">
        <v>327.45</v>
      </c>
      <c r="H236" s="7">
        <v>12377.61</v>
      </c>
      <c r="I236" s="2">
        <v>10</v>
      </c>
      <c r="J236" s="2" t="s">
        <v>16</v>
      </c>
      <c r="K236" s="2" t="s">
        <v>17</v>
      </c>
      <c r="L236" s="2" t="s">
        <v>69</v>
      </c>
      <c r="M236" s="2" t="str">
        <f t="shared" si="9"/>
        <v>Debit Card</v>
      </c>
      <c r="N236" s="2" t="str">
        <f t="shared" si="10"/>
        <v>Electronics</v>
      </c>
      <c r="O236" s="2" t="str">
        <f t="shared" si="11"/>
        <v>High Stock</v>
      </c>
    </row>
    <row r="237" spans="1:15" x14ac:dyDescent="0.3">
      <c r="A237" s="5">
        <v>45902</v>
      </c>
      <c r="B237" s="2" t="s">
        <v>721</v>
      </c>
      <c r="C237" s="2" t="s">
        <v>722</v>
      </c>
      <c r="D237" s="2" t="s">
        <v>99</v>
      </c>
      <c r="E237" s="2" t="s">
        <v>23</v>
      </c>
      <c r="F237" s="2">
        <v>26</v>
      </c>
      <c r="G237" s="7">
        <v>29.56</v>
      </c>
      <c r="H237" s="7">
        <v>691.7</v>
      </c>
      <c r="I237" s="2">
        <v>10</v>
      </c>
      <c r="J237" s="2" t="s">
        <v>16</v>
      </c>
      <c r="K237" s="2" t="s">
        <v>160</v>
      </c>
      <c r="L237" s="2" t="s">
        <v>27</v>
      </c>
      <c r="M237" s="2" t="str">
        <f t="shared" si="9"/>
        <v>Cash</v>
      </c>
      <c r="N237" s="2" t="str">
        <f t="shared" si="10"/>
        <v>Accessories</v>
      </c>
      <c r="O237" s="2" t="str">
        <f t="shared" si="11"/>
        <v>High Stock</v>
      </c>
    </row>
    <row r="238" spans="1:15" x14ac:dyDescent="0.3">
      <c r="A238" s="5">
        <v>45831</v>
      </c>
      <c r="B238" s="2" t="s">
        <v>724</v>
      </c>
      <c r="C238" s="2" t="s">
        <v>725</v>
      </c>
      <c r="D238" s="1" t="s">
        <v>95</v>
      </c>
      <c r="E238" s="2" t="s">
        <v>35</v>
      </c>
      <c r="F238" s="2">
        <v>23</v>
      </c>
      <c r="G238" s="7">
        <v>1098.1500000000001</v>
      </c>
      <c r="H238" s="7">
        <v>23994.58</v>
      </c>
      <c r="I238" s="2">
        <v>5</v>
      </c>
      <c r="J238" s="2" t="s">
        <v>24</v>
      </c>
      <c r="K238" s="2" t="s">
        <v>36</v>
      </c>
      <c r="L238" s="2" t="s">
        <v>27</v>
      </c>
      <c r="M238" s="2" t="str">
        <f t="shared" si="9"/>
        <v>Cash</v>
      </c>
      <c r="N238" s="2" t="str">
        <f t="shared" si="10"/>
        <v>Electronics</v>
      </c>
      <c r="O238" s="2" t="str">
        <f t="shared" si="11"/>
        <v>High Stock</v>
      </c>
    </row>
    <row r="239" spans="1:15" x14ac:dyDescent="0.3">
      <c r="A239" s="5">
        <v>45752</v>
      </c>
      <c r="B239" s="2" t="s">
        <v>727</v>
      </c>
      <c r="C239" s="2" t="s">
        <v>728</v>
      </c>
      <c r="D239" s="2" t="s">
        <v>40</v>
      </c>
      <c r="E239" s="2" t="s">
        <v>23</v>
      </c>
      <c r="F239" s="2">
        <v>33</v>
      </c>
      <c r="G239" s="7">
        <v>73.66</v>
      </c>
      <c r="H239" s="7">
        <v>2187.6999999999998</v>
      </c>
      <c r="I239" s="2">
        <v>10</v>
      </c>
      <c r="J239" s="2" t="s">
        <v>46</v>
      </c>
      <c r="K239" s="2" t="s">
        <v>83</v>
      </c>
      <c r="L239" s="2" t="s">
        <v>69</v>
      </c>
      <c r="M239" s="2" t="str">
        <f t="shared" si="9"/>
        <v>Debit Card</v>
      </c>
      <c r="N239" s="2" t="str">
        <f t="shared" si="10"/>
        <v>Accessories</v>
      </c>
      <c r="O239" s="2" t="str">
        <f t="shared" si="11"/>
        <v>High Stock</v>
      </c>
    </row>
    <row r="240" spans="1:15" x14ac:dyDescent="0.3">
      <c r="A240" s="5">
        <v>45798</v>
      </c>
      <c r="B240" s="2" t="s">
        <v>730</v>
      </c>
      <c r="C240" s="2" t="s">
        <v>731</v>
      </c>
      <c r="D240" s="2" t="s">
        <v>40</v>
      </c>
      <c r="E240" s="2" t="s">
        <v>23</v>
      </c>
      <c r="F240" s="2">
        <v>18</v>
      </c>
      <c r="G240" s="7">
        <v>55.18</v>
      </c>
      <c r="H240" s="7">
        <v>844.25</v>
      </c>
      <c r="I240" s="2">
        <v>15</v>
      </c>
      <c r="J240" s="2" t="s">
        <v>46</v>
      </c>
      <c r="K240" s="2" t="s">
        <v>124</v>
      </c>
      <c r="L240" s="2" t="s">
        <v>31</v>
      </c>
      <c r="M240" s="2" t="str">
        <f t="shared" si="9"/>
        <v>Credit Card</v>
      </c>
      <c r="N240" s="2" t="str">
        <f t="shared" si="10"/>
        <v>Accessories</v>
      </c>
      <c r="O240" s="2" t="str">
        <f t="shared" si="11"/>
        <v>High Stock</v>
      </c>
    </row>
    <row r="241" spans="1:15" x14ac:dyDescent="0.3">
      <c r="A241" s="5">
        <v>46240</v>
      </c>
      <c r="B241" s="2" t="s">
        <v>733</v>
      </c>
      <c r="C241" s="2" t="s">
        <v>137</v>
      </c>
      <c r="D241" s="2" t="s">
        <v>52</v>
      </c>
      <c r="E241" s="2" t="s">
        <v>35</v>
      </c>
      <c r="F241" s="2">
        <v>15</v>
      </c>
      <c r="G241" s="7">
        <v>294.58999999999997</v>
      </c>
      <c r="H241" s="7">
        <v>3976.96</v>
      </c>
      <c r="I241" s="2">
        <v>10</v>
      </c>
      <c r="J241" s="2" t="s">
        <v>16</v>
      </c>
      <c r="K241" s="2" t="s">
        <v>111</v>
      </c>
      <c r="L241" s="2" t="s">
        <v>69</v>
      </c>
      <c r="M241" s="2" t="str">
        <f t="shared" si="9"/>
        <v>Debit Card</v>
      </c>
      <c r="N241" s="2" t="str">
        <f t="shared" si="10"/>
        <v>Electronics</v>
      </c>
      <c r="O241" s="2" t="str">
        <f t="shared" si="11"/>
        <v>Low Stock</v>
      </c>
    </row>
    <row r="242" spans="1:15" x14ac:dyDescent="0.3">
      <c r="A242" s="5">
        <v>46073</v>
      </c>
      <c r="B242" s="2" t="s">
        <v>735</v>
      </c>
      <c r="C242" s="2" t="s">
        <v>330</v>
      </c>
      <c r="D242" s="2" t="s">
        <v>40</v>
      </c>
      <c r="E242" s="2" t="s">
        <v>23</v>
      </c>
      <c r="F242" s="2">
        <v>28</v>
      </c>
      <c r="G242" s="7">
        <v>49.1</v>
      </c>
      <c r="H242" s="7">
        <v>1374.8</v>
      </c>
      <c r="I242" s="2">
        <v>0</v>
      </c>
      <c r="J242" s="2" t="s">
        <v>16</v>
      </c>
      <c r="K242" s="2" t="s">
        <v>74</v>
      </c>
      <c r="L242" s="2" t="s">
        <v>27</v>
      </c>
      <c r="M242" s="2" t="str">
        <f t="shared" si="9"/>
        <v>Cash</v>
      </c>
      <c r="N242" s="2" t="str">
        <f t="shared" si="10"/>
        <v>Accessories</v>
      </c>
      <c r="O242" s="2" t="str">
        <f t="shared" si="11"/>
        <v>High Stock</v>
      </c>
    </row>
    <row r="243" spans="1:15" x14ac:dyDescent="0.3">
      <c r="A243" s="5">
        <v>46179</v>
      </c>
      <c r="B243" s="2" t="s">
        <v>737</v>
      </c>
      <c r="C243" s="2" t="s">
        <v>738</v>
      </c>
      <c r="D243" s="2" t="s">
        <v>82</v>
      </c>
      <c r="E243" s="2" t="s">
        <v>73</v>
      </c>
      <c r="F243" s="2">
        <v>26</v>
      </c>
      <c r="G243" s="7">
        <v>565.84</v>
      </c>
      <c r="H243" s="7">
        <v>14711.84</v>
      </c>
      <c r="I243" s="2">
        <v>0</v>
      </c>
      <c r="J243" s="2" t="s">
        <v>24</v>
      </c>
      <c r="K243" s="2" t="s">
        <v>41</v>
      </c>
      <c r="L243" s="2" t="s">
        <v>27</v>
      </c>
      <c r="M243" s="2" t="str">
        <f t="shared" si="9"/>
        <v>Cash</v>
      </c>
      <c r="N243" s="2" t="str">
        <f t="shared" si="10"/>
        <v>Furniture</v>
      </c>
      <c r="O243" s="2" t="str">
        <f t="shared" si="11"/>
        <v>High Stock</v>
      </c>
    </row>
    <row r="244" spans="1:15" x14ac:dyDescent="0.3">
      <c r="A244" s="5">
        <v>45930</v>
      </c>
      <c r="B244" s="2" t="s">
        <v>740</v>
      </c>
      <c r="C244" s="2" t="s">
        <v>741</v>
      </c>
      <c r="D244" s="2" t="s">
        <v>103</v>
      </c>
      <c r="E244" s="2" t="s">
        <v>35</v>
      </c>
      <c r="F244" s="2">
        <v>38</v>
      </c>
      <c r="G244" s="7">
        <v>256.58</v>
      </c>
      <c r="H244" s="7">
        <v>8775.0400000000009</v>
      </c>
      <c r="I244" s="2">
        <v>10</v>
      </c>
      <c r="J244" s="2" t="s">
        <v>46</v>
      </c>
      <c r="K244" s="2" t="s">
        <v>78</v>
      </c>
      <c r="L244" s="2" t="s">
        <v>31</v>
      </c>
      <c r="M244" s="2" t="str">
        <f t="shared" si="9"/>
        <v>Credit Card</v>
      </c>
      <c r="N244" s="2" t="str">
        <f t="shared" si="10"/>
        <v>Electronics</v>
      </c>
      <c r="O244" s="2" t="str">
        <f t="shared" si="11"/>
        <v>High Stock</v>
      </c>
    </row>
    <row r="245" spans="1:15" x14ac:dyDescent="0.3">
      <c r="A245" s="5">
        <v>45612</v>
      </c>
      <c r="B245" s="2" t="s">
        <v>743</v>
      </c>
      <c r="C245" s="2" t="s">
        <v>744</v>
      </c>
      <c r="D245" s="1" t="s">
        <v>95</v>
      </c>
      <c r="E245" s="2" t="s">
        <v>35</v>
      </c>
      <c r="F245" s="2">
        <v>26</v>
      </c>
      <c r="G245" s="7">
        <v>289.13</v>
      </c>
      <c r="H245" s="7">
        <v>6765.64</v>
      </c>
      <c r="I245" s="2">
        <v>10</v>
      </c>
      <c r="J245" s="2" t="s">
        <v>53</v>
      </c>
      <c r="K245" s="2" t="s">
        <v>67</v>
      </c>
      <c r="L245" s="1" t="s">
        <v>2347</v>
      </c>
      <c r="M245" s="1" t="str">
        <f t="shared" si="9"/>
        <v>Online Payment</v>
      </c>
      <c r="N245" s="2" t="str">
        <f t="shared" si="10"/>
        <v>Electronics</v>
      </c>
      <c r="O245" s="1" t="str">
        <f t="shared" si="11"/>
        <v>High Stock</v>
      </c>
    </row>
    <row r="246" spans="1:15" x14ac:dyDescent="0.3">
      <c r="A246" s="5">
        <v>45928</v>
      </c>
      <c r="B246" s="2" t="s">
        <v>746</v>
      </c>
      <c r="C246" s="2" t="s">
        <v>747</v>
      </c>
      <c r="D246" s="2" t="s">
        <v>82</v>
      </c>
      <c r="E246" s="2" t="s">
        <v>73</v>
      </c>
      <c r="F246" s="2">
        <v>26</v>
      </c>
      <c r="G246" s="7">
        <v>450.69</v>
      </c>
      <c r="H246" s="7">
        <v>10546.15</v>
      </c>
      <c r="I246" s="2">
        <v>10</v>
      </c>
      <c r="J246" s="2" t="s">
        <v>53</v>
      </c>
      <c r="K246" s="2" t="s">
        <v>54</v>
      </c>
      <c r="L246" s="2" t="s">
        <v>69</v>
      </c>
      <c r="M246" s="2" t="str">
        <f t="shared" si="9"/>
        <v>Debit Card</v>
      </c>
      <c r="N246" s="2" t="str">
        <f t="shared" si="10"/>
        <v>Furniture</v>
      </c>
      <c r="O246" s="2" t="str">
        <f t="shared" si="11"/>
        <v>High Stock</v>
      </c>
    </row>
    <row r="247" spans="1:15" x14ac:dyDescent="0.3">
      <c r="A247" s="5">
        <v>45952</v>
      </c>
      <c r="B247" s="2" t="s">
        <v>748</v>
      </c>
      <c r="C247" s="2" t="s">
        <v>749</v>
      </c>
      <c r="D247" s="2" t="s">
        <v>90</v>
      </c>
      <c r="E247" s="2" t="s">
        <v>23</v>
      </c>
      <c r="F247" s="2">
        <v>9</v>
      </c>
      <c r="G247" s="7">
        <v>43.94</v>
      </c>
      <c r="H247" s="7">
        <v>395.46</v>
      </c>
      <c r="I247" s="2">
        <v>0</v>
      </c>
      <c r="J247" s="2" t="s">
        <v>53</v>
      </c>
      <c r="K247" s="2" t="s">
        <v>134</v>
      </c>
      <c r="L247" s="1" t="s">
        <v>2347</v>
      </c>
      <c r="M247" s="1" t="str">
        <f t="shared" si="9"/>
        <v>Online Payment</v>
      </c>
      <c r="N247" s="2" t="str">
        <f t="shared" si="10"/>
        <v>Accessories</v>
      </c>
      <c r="O247" s="1" t="str">
        <f t="shared" si="11"/>
        <v>Low Stock</v>
      </c>
    </row>
    <row r="248" spans="1:15" x14ac:dyDescent="0.3">
      <c r="A248" s="5">
        <v>46012</v>
      </c>
      <c r="B248" s="2" t="s">
        <v>751</v>
      </c>
      <c r="C248" s="2" t="s">
        <v>752</v>
      </c>
      <c r="D248" s="2" t="s">
        <v>34</v>
      </c>
      <c r="E248" s="2" t="s">
        <v>35</v>
      </c>
      <c r="F248" s="2">
        <v>28</v>
      </c>
      <c r="G248" s="7">
        <v>895.15</v>
      </c>
      <c r="H248" s="7">
        <v>25064.2</v>
      </c>
      <c r="I248" s="2">
        <v>0</v>
      </c>
      <c r="J248" s="2" t="s">
        <v>46</v>
      </c>
      <c r="K248" s="2" t="s">
        <v>124</v>
      </c>
      <c r="L248" s="2" t="s">
        <v>31</v>
      </c>
      <c r="M248" s="2" t="str">
        <f t="shared" si="9"/>
        <v>Credit Card</v>
      </c>
      <c r="N248" s="2" t="str">
        <f t="shared" si="10"/>
        <v>Electronics</v>
      </c>
      <c r="O248" s="2" t="str">
        <f t="shared" si="11"/>
        <v>High Stock</v>
      </c>
    </row>
    <row r="249" spans="1:15" x14ac:dyDescent="0.3">
      <c r="A249" s="5">
        <v>45938</v>
      </c>
      <c r="B249" s="2" t="s">
        <v>753</v>
      </c>
      <c r="C249" s="2" t="s">
        <v>754</v>
      </c>
      <c r="D249" s="2" t="s">
        <v>52</v>
      </c>
      <c r="E249" s="2" t="s">
        <v>35</v>
      </c>
      <c r="F249" s="2">
        <v>32</v>
      </c>
      <c r="G249" s="7">
        <v>293.62</v>
      </c>
      <c r="H249" s="7">
        <v>9395.84</v>
      </c>
      <c r="I249" s="2">
        <v>0</v>
      </c>
      <c r="J249" s="2" t="s">
        <v>53</v>
      </c>
      <c r="K249" s="2" t="s">
        <v>170</v>
      </c>
      <c r="L249" s="2" t="s">
        <v>49</v>
      </c>
      <c r="M249" s="2" t="str">
        <f t="shared" si="9"/>
        <v>Check</v>
      </c>
      <c r="N249" s="2" t="str">
        <f t="shared" si="10"/>
        <v>Electronics</v>
      </c>
      <c r="O249" s="2" t="str">
        <f t="shared" si="11"/>
        <v>High Stock</v>
      </c>
    </row>
    <row r="250" spans="1:15" x14ac:dyDescent="0.3">
      <c r="A250" s="5">
        <v>46016</v>
      </c>
      <c r="B250" s="2" t="s">
        <v>756</v>
      </c>
      <c r="C250" s="2" t="s">
        <v>757</v>
      </c>
      <c r="D250" s="2" t="s">
        <v>123</v>
      </c>
      <c r="E250" s="2" t="s">
        <v>15</v>
      </c>
      <c r="F250" s="2">
        <v>35</v>
      </c>
      <c r="G250" s="7">
        <v>28.89</v>
      </c>
      <c r="H250" s="7">
        <v>1011.15</v>
      </c>
      <c r="I250" s="2">
        <v>0</v>
      </c>
      <c r="J250" s="2" t="s">
        <v>24</v>
      </c>
      <c r="K250" s="2" t="s">
        <v>104</v>
      </c>
      <c r="L250" s="2" t="s">
        <v>49</v>
      </c>
      <c r="M250" s="2" t="str">
        <f t="shared" si="9"/>
        <v>Check</v>
      </c>
      <c r="N250" s="2" t="str">
        <f t="shared" si="10"/>
        <v>Peripherals</v>
      </c>
      <c r="O250" s="2" t="str">
        <f t="shared" si="11"/>
        <v>High Stock</v>
      </c>
    </row>
    <row r="251" spans="1:15" x14ac:dyDescent="0.3">
      <c r="A251" s="5">
        <v>46121</v>
      </c>
      <c r="B251" s="2" t="s">
        <v>759</v>
      </c>
      <c r="C251" s="2" t="s">
        <v>760</v>
      </c>
      <c r="D251" s="2" t="s">
        <v>34</v>
      </c>
      <c r="E251" s="2" t="s">
        <v>35</v>
      </c>
      <c r="F251" s="2">
        <v>49</v>
      </c>
      <c r="G251" s="7">
        <v>564.42999999999995</v>
      </c>
      <c r="H251" s="7">
        <v>27657.07</v>
      </c>
      <c r="I251" s="2">
        <v>0</v>
      </c>
      <c r="J251" s="2" t="s">
        <v>24</v>
      </c>
      <c r="K251" s="2" t="s">
        <v>59</v>
      </c>
      <c r="L251" s="1" t="s">
        <v>2347</v>
      </c>
      <c r="M251" s="1" t="str">
        <f t="shared" si="9"/>
        <v>Online Payment</v>
      </c>
      <c r="N251" s="2" t="str">
        <f t="shared" si="10"/>
        <v>Electronics</v>
      </c>
      <c r="O251" s="1" t="str">
        <f t="shared" si="11"/>
        <v>High Stock</v>
      </c>
    </row>
    <row r="252" spans="1:15" x14ac:dyDescent="0.3">
      <c r="A252" s="5">
        <v>46160</v>
      </c>
      <c r="B252" s="2" t="s">
        <v>762</v>
      </c>
      <c r="C252" s="2" t="s">
        <v>763</v>
      </c>
      <c r="D252" s="2" t="s">
        <v>123</v>
      </c>
      <c r="E252" s="2" t="s">
        <v>15</v>
      </c>
      <c r="F252" s="2">
        <v>50</v>
      </c>
      <c r="G252" s="7">
        <v>20.6</v>
      </c>
      <c r="H252" s="7">
        <v>1030</v>
      </c>
      <c r="I252" s="2">
        <v>0</v>
      </c>
      <c r="J252" s="2" t="s">
        <v>24</v>
      </c>
      <c r="K252" s="2" t="s">
        <v>104</v>
      </c>
      <c r="L252" s="2" t="s">
        <v>69</v>
      </c>
      <c r="M252" s="2" t="str">
        <f t="shared" si="9"/>
        <v>Debit Card</v>
      </c>
      <c r="N252" s="2" t="str">
        <f t="shared" si="10"/>
        <v>Peripherals</v>
      </c>
      <c r="O252" s="2" t="str">
        <f t="shared" si="11"/>
        <v>High Stock</v>
      </c>
    </row>
    <row r="253" spans="1:15" x14ac:dyDescent="0.3">
      <c r="A253" s="5">
        <v>45883</v>
      </c>
      <c r="B253" s="2" t="s">
        <v>765</v>
      </c>
      <c r="C253" s="2" t="s">
        <v>490</v>
      </c>
      <c r="D253" s="2" t="s">
        <v>63</v>
      </c>
      <c r="E253" s="2" t="s">
        <v>15</v>
      </c>
      <c r="F253" s="2">
        <v>35</v>
      </c>
      <c r="G253" s="7">
        <v>64.849999999999994</v>
      </c>
      <c r="H253" s="7">
        <v>2156.2600000000002</v>
      </c>
      <c r="I253" s="2">
        <v>5</v>
      </c>
      <c r="J253" s="2" t="s">
        <v>46</v>
      </c>
      <c r="K253" s="2" t="s">
        <v>124</v>
      </c>
      <c r="L253" s="2" t="s">
        <v>27</v>
      </c>
      <c r="M253" s="2" t="str">
        <f t="shared" si="9"/>
        <v>Cash</v>
      </c>
      <c r="N253" s="2" t="str">
        <f t="shared" si="10"/>
        <v>Peripherals</v>
      </c>
      <c r="O253" s="2" t="str">
        <f t="shared" si="11"/>
        <v>High Stock</v>
      </c>
    </row>
    <row r="254" spans="1:15" x14ac:dyDescent="0.3">
      <c r="A254" s="5">
        <v>45858</v>
      </c>
      <c r="B254" s="2" t="s">
        <v>767</v>
      </c>
      <c r="C254" s="2" t="s">
        <v>768</v>
      </c>
      <c r="D254" s="2" t="s">
        <v>34</v>
      </c>
      <c r="E254" s="2" t="s">
        <v>35</v>
      </c>
      <c r="F254" s="2">
        <v>7</v>
      </c>
      <c r="G254" s="7">
        <v>610.32000000000005</v>
      </c>
      <c r="H254" s="7">
        <v>4272.24</v>
      </c>
      <c r="I254" s="2">
        <v>0</v>
      </c>
      <c r="J254" s="2" t="s">
        <v>46</v>
      </c>
      <c r="K254" s="2" t="s">
        <v>124</v>
      </c>
      <c r="L254" s="1" t="s">
        <v>2347</v>
      </c>
      <c r="M254" s="1" t="str">
        <f t="shared" si="9"/>
        <v>Online Payment</v>
      </c>
      <c r="N254" s="2" t="str">
        <f t="shared" si="10"/>
        <v>Electronics</v>
      </c>
      <c r="O254" s="1" t="str">
        <f t="shared" si="11"/>
        <v>Low Stock</v>
      </c>
    </row>
    <row r="255" spans="1:15" x14ac:dyDescent="0.3">
      <c r="A255" s="5">
        <v>45842</v>
      </c>
      <c r="B255" s="2" t="s">
        <v>769</v>
      </c>
      <c r="C255" s="2" t="s">
        <v>770</v>
      </c>
      <c r="D255" s="1" t="s">
        <v>95</v>
      </c>
      <c r="E255" s="2" t="s">
        <v>35</v>
      </c>
      <c r="F255" s="2">
        <v>19</v>
      </c>
      <c r="G255" s="7">
        <v>278.63</v>
      </c>
      <c r="H255" s="7">
        <v>4499.87</v>
      </c>
      <c r="I255" s="2">
        <v>15</v>
      </c>
      <c r="J255" s="2" t="s">
        <v>16</v>
      </c>
      <c r="K255" s="2" t="s">
        <v>17</v>
      </c>
      <c r="L255" s="2" t="s">
        <v>27</v>
      </c>
      <c r="M255" s="2" t="str">
        <f t="shared" si="9"/>
        <v>Cash</v>
      </c>
      <c r="N255" s="2" t="str">
        <f t="shared" si="10"/>
        <v>Electronics</v>
      </c>
      <c r="O255" s="2" t="str">
        <f t="shared" si="11"/>
        <v>High Stock</v>
      </c>
    </row>
    <row r="256" spans="1:15" x14ac:dyDescent="0.3">
      <c r="A256" s="5">
        <v>45612</v>
      </c>
      <c r="B256" s="2" t="s">
        <v>772</v>
      </c>
      <c r="C256" s="2" t="s">
        <v>773</v>
      </c>
      <c r="D256" s="1" t="s">
        <v>95</v>
      </c>
      <c r="E256" s="2" t="s">
        <v>35</v>
      </c>
      <c r="F256" s="2">
        <v>38</v>
      </c>
      <c r="G256" s="7">
        <v>423.76</v>
      </c>
      <c r="H256" s="7">
        <v>16102.88</v>
      </c>
      <c r="I256" s="2">
        <v>0</v>
      </c>
      <c r="J256" s="2" t="s">
        <v>16</v>
      </c>
      <c r="K256" s="2" t="s">
        <v>160</v>
      </c>
      <c r="L256" s="1" t="s">
        <v>2347</v>
      </c>
      <c r="M256" s="1" t="str">
        <f t="shared" si="9"/>
        <v>Online Payment</v>
      </c>
      <c r="N256" s="2" t="str">
        <f t="shared" si="10"/>
        <v>Electronics</v>
      </c>
      <c r="O256" s="1" t="str">
        <f t="shared" si="11"/>
        <v>High Stock</v>
      </c>
    </row>
    <row r="257" spans="1:15" x14ac:dyDescent="0.3">
      <c r="A257" s="5">
        <v>46051</v>
      </c>
      <c r="B257" s="2" t="s">
        <v>774</v>
      </c>
      <c r="C257" s="2" t="s">
        <v>775</v>
      </c>
      <c r="D257" s="2" t="s">
        <v>72</v>
      </c>
      <c r="E257" s="2" t="s">
        <v>73</v>
      </c>
      <c r="F257" s="2">
        <v>13</v>
      </c>
      <c r="G257" s="7">
        <v>348.28</v>
      </c>
      <c r="H257" s="7">
        <v>4074.88</v>
      </c>
      <c r="I257" s="2">
        <v>10</v>
      </c>
      <c r="J257" s="2" t="s">
        <v>24</v>
      </c>
      <c r="K257" s="2" t="s">
        <v>59</v>
      </c>
      <c r="L257" s="2" t="s">
        <v>27</v>
      </c>
      <c r="M257" s="2" t="str">
        <f t="shared" si="9"/>
        <v>Cash</v>
      </c>
      <c r="N257" s="2" t="str">
        <f t="shared" si="10"/>
        <v>Furniture</v>
      </c>
      <c r="O257" s="2" t="str">
        <f t="shared" si="11"/>
        <v>Low Stock</v>
      </c>
    </row>
    <row r="258" spans="1:15" x14ac:dyDescent="0.3">
      <c r="A258" s="5">
        <v>46292</v>
      </c>
      <c r="B258" s="2" t="s">
        <v>777</v>
      </c>
      <c r="C258" s="2" t="s">
        <v>778</v>
      </c>
      <c r="D258" s="2" t="s">
        <v>103</v>
      </c>
      <c r="E258" s="2" t="s">
        <v>35</v>
      </c>
      <c r="F258" s="2">
        <v>28</v>
      </c>
      <c r="G258" s="7">
        <v>436.51</v>
      </c>
      <c r="H258" s="7">
        <v>11000.05</v>
      </c>
      <c r="I258" s="2">
        <v>10</v>
      </c>
      <c r="J258" s="2" t="s">
        <v>46</v>
      </c>
      <c r="K258" s="2" t="s">
        <v>83</v>
      </c>
      <c r="L258" s="1" t="s">
        <v>2347</v>
      </c>
      <c r="M258" s="1" t="str">
        <f t="shared" si="9"/>
        <v>Online Payment</v>
      </c>
      <c r="N258" s="2" t="str">
        <f t="shared" si="10"/>
        <v>Electronics</v>
      </c>
      <c r="O258" s="1" t="str">
        <f t="shared" si="11"/>
        <v>High Stock</v>
      </c>
    </row>
    <row r="259" spans="1:15" x14ac:dyDescent="0.3">
      <c r="A259" s="5">
        <v>46302</v>
      </c>
      <c r="B259" s="2" t="s">
        <v>780</v>
      </c>
      <c r="C259" s="2" t="s">
        <v>781</v>
      </c>
      <c r="D259" s="1" t="s">
        <v>95</v>
      </c>
      <c r="E259" s="2" t="s">
        <v>35</v>
      </c>
      <c r="F259" s="2">
        <v>46</v>
      </c>
      <c r="G259" s="7">
        <v>496.41</v>
      </c>
      <c r="H259" s="7">
        <v>18267.89</v>
      </c>
      <c r="I259" s="2">
        <v>20</v>
      </c>
      <c r="J259" s="2" t="s">
        <v>16</v>
      </c>
      <c r="K259" s="2" t="s">
        <v>17</v>
      </c>
      <c r="L259" s="2" t="s">
        <v>31</v>
      </c>
      <c r="M259" s="2" t="str">
        <f t="shared" ref="M259:M322" si="12">TRIM(L259)</f>
        <v>Credit Card</v>
      </c>
      <c r="N259" s="2" t="str">
        <f t="shared" ref="N259:N322" si="13">PROPER(E259)</f>
        <v>Electronics</v>
      </c>
      <c r="O259" s="2" t="str">
        <f t="shared" ref="O259:O322" si="14">IF(F259&gt;15,"High Stock","Low Stock")</f>
        <v>High Stock</v>
      </c>
    </row>
    <row r="260" spans="1:15" x14ac:dyDescent="0.3">
      <c r="A260" s="5">
        <v>45670</v>
      </c>
      <c r="B260" s="2" t="s">
        <v>783</v>
      </c>
      <c r="C260" s="2" t="s">
        <v>784</v>
      </c>
      <c r="D260" s="2" t="s">
        <v>14</v>
      </c>
      <c r="E260" s="2" t="s">
        <v>15</v>
      </c>
      <c r="F260" s="2">
        <v>21</v>
      </c>
      <c r="G260" s="7">
        <v>113.63</v>
      </c>
      <c r="H260" s="7">
        <v>2386.23</v>
      </c>
      <c r="I260" s="2">
        <v>0</v>
      </c>
      <c r="J260" s="2" t="s">
        <v>24</v>
      </c>
      <c r="K260" s="2" t="s">
        <v>41</v>
      </c>
      <c r="L260" s="1" t="s">
        <v>2347</v>
      </c>
      <c r="M260" s="1" t="str">
        <f t="shared" si="12"/>
        <v>Online Payment</v>
      </c>
      <c r="N260" s="2" t="str">
        <f t="shared" si="13"/>
        <v>Peripherals</v>
      </c>
      <c r="O260" s="1" t="str">
        <f t="shared" si="14"/>
        <v>High Stock</v>
      </c>
    </row>
    <row r="261" spans="1:15" x14ac:dyDescent="0.3">
      <c r="A261" s="5">
        <v>46090</v>
      </c>
      <c r="B261" s="2" t="s">
        <v>785</v>
      </c>
      <c r="C261" s="2" t="s">
        <v>786</v>
      </c>
      <c r="D261" s="2" t="s">
        <v>14</v>
      </c>
      <c r="E261" s="2" t="s">
        <v>15</v>
      </c>
      <c r="F261" s="2">
        <v>14</v>
      </c>
      <c r="G261" s="7">
        <v>99.27</v>
      </c>
      <c r="H261" s="7">
        <v>1320.29</v>
      </c>
      <c r="I261" s="2">
        <v>5</v>
      </c>
      <c r="J261" s="2" t="s">
        <v>46</v>
      </c>
      <c r="K261" s="2" t="s">
        <v>83</v>
      </c>
      <c r="L261" s="2" t="s">
        <v>31</v>
      </c>
      <c r="M261" s="2" t="str">
        <f t="shared" si="12"/>
        <v>Credit Card</v>
      </c>
      <c r="N261" s="2" t="str">
        <f t="shared" si="13"/>
        <v>Peripherals</v>
      </c>
      <c r="O261" s="2" t="str">
        <f t="shared" si="14"/>
        <v>Low Stock</v>
      </c>
    </row>
    <row r="262" spans="1:15" x14ac:dyDescent="0.3">
      <c r="A262" s="5">
        <v>46196</v>
      </c>
      <c r="B262" s="2" t="s">
        <v>788</v>
      </c>
      <c r="C262" s="2" t="s">
        <v>789</v>
      </c>
      <c r="D262" s="2" t="s">
        <v>72</v>
      </c>
      <c r="E262" s="2" t="s">
        <v>73</v>
      </c>
      <c r="F262" s="2">
        <v>17</v>
      </c>
      <c r="G262" s="7">
        <v>361.05</v>
      </c>
      <c r="H262" s="7">
        <v>5830.96</v>
      </c>
      <c r="I262" s="2">
        <v>5</v>
      </c>
      <c r="J262" s="2" t="s">
        <v>53</v>
      </c>
      <c r="K262" s="2" t="s">
        <v>54</v>
      </c>
      <c r="L262" s="2" t="s">
        <v>49</v>
      </c>
      <c r="M262" s="2" t="str">
        <f t="shared" si="12"/>
        <v>Check</v>
      </c>
      <c r="N262" s="2" t="str">
        <f t="shared" si="13"/>
        <v>Furniture</v>
      </c>
      <c r="O262" s="2" t="str">
        <f t="shared" si="14"/>
        <v>High Stock</v>
      </c>
    </row>
    <row r="263" spans="1:15" x14ac:dyDescent="0.3">
      <c r="A263" s="5">
        <v>46030</v>
      </c>
      <c r="B263" s="2" t="s">
        <v>791</v>
      </c>
      <c r="C263" s="2" t="s">
        <v>514</v>
      </c>
      <c r="D263" s="1" t="s">
        <v>95</v>
      </c>
      <c r="E263" s="2" t="s">
        <v>35</v>
      </c>
      <c r="F263" s="2">
        <v>22</v>
      </c>
      <c r="G263" s="7">
        <v>918.39</v>
      </c>
      <c r="H263" s="7">
        <v>16163.66</v>
      </c>
      <c r="I263" s="2">
        <v>20</v>
      </c>
      <c r="J263" s="2" t="s">
        <v>53</v>
      </c>
      <c r="K263" s="2" t="s">
        <v>134</v>
      </c>
      <c r="L263" s="2" t="s">
        <v>27</v>
      </c>
      <c r="M263" s="2" t="str">
        <f t="shared" si="12"/>
        <v>Cash</v>
      </c>
      <c r="N263" s="2" t="str">
        <f t="shared" si="13"/>
        <v>Electronics</v>
      </c>
      <c r="O263" s="2" t="str">
        <f t="shared" si="14"/>
        <v>High Stock</v>
      </c>
    </row>
    <row r="264" spans="1:15" x14ac:dyDescent="0.3">
      <c r="A264" s="5">
        <v>45746</v>
      </c>
      <c r="B264" s="2" t="s">
        <v>792</v>
      </c>
      <c r="C264" s="2" t="s">
        <v>793</v>
      </c>
      <c r="D264" s="2" t="s">
        <v>103</v>
      </c>
      <c r="E264" s="2" t="s">
        <v>35</v>
      </c>
      <c r="F264" s="2">
        <v>39</v>
      </c>
      <c r="G264" s="7">
        <v>361.77</v>
      </c>
      <c r="H264" s="7">
        <v>11992.68</v>
      </c>
      <c r="I264" s="2">
        <v>15</v>
      </c>
      <c r="J264" s="2" t="s">
        <v>46</v>
      </c>
      <c r="K264" s="2" t="s">
        <v>124</v>
      </c>
      <c r="L264" s="2" t="s">
        <v>49</v>
      </c>
      <c r="M264" s="2" t="str">
        <f t="shared" si="12"/>
        <v>Check</v>
      </c>
      <c r="N264" s="2" t="str">
        <f t="shared" si="13"/>
        <v>Electronics</v>
      </c>
      <c r="O264" s="2" t="str">
        <f t="shared" si="14"/>
        <v>High Stock</v>
      </c>
    </row>
    <row r="265" spans="1:15" x14ac:dyDescent="0.3">
      <c r="A265" s="5">
        <v>45768</v>
      </c>
      <c r="B265" s="2" t="s">
        <v>794</v>
      </c>
      <c r="C265" s="2" t="s">
        <v>795</v>
      </c>
      <c r="D265" s="2" t="s">
        <v>40</v>
      </c>
      <c r="E265" s="2" t="s">
        <v>23</v>
      </c>
      <c r="F265" s="2">
        <v>40</v>
      </c>
      <c r="G265" s="7">
        <v>37.270000000000003</v>
      </c>
      <c r="H265" s="7">
        <v>1490.8</v>
      </c>
      <c r="I265" s="2">
        <v>0</v>
      </c>
      <c r="J265" s="2" t="s">
        <v>24</v>
      </c>
      <c r="K265" s="2" t="s">
        <v>25</v>
      </c>
      <c r="L265" s="1" t="s">
        <v>2347</v>
      </c>
      <c r="M265" s="1" t="str">
        <f t="shared" si="12"/>
        <v>Online Payment</v>
      </c>
      <c r="N265" s="2" t="str">
        <f t="shared" si="13"/>
        <v>Accessories</v>
      </c>
      <c r="O265" s="1" t="str">
        <f t="shared" si="14"/>
        <v>High Stock</v>
      </c>
    </row>
    <row r="266" spans="1:15" x14ac:dyDescent="0.3">
      <c r="A266" s="5">
        <v>46214</v>
      </c>
      <c r="B266" s="2" t="s">
        <v>796</v>
      </c>
      <c r="C266" s="2" t="s">
        <v>797</v>
      </c>
      <c r="D266" s="1" t="s">
        <v>95</v>
      </c>
      <c r="E266" s="2" t="s">
        <v>35</v>
      </c>
      <c r="F266" s="2">
        <v>16</v>
      </c>
      <c r="G266" s="7">
        <v>442.42</v>
      </c>
      <c r="H266" s="7">
        <v>6724.78</v>
      </c>
      <c r="I266" s="2">
        <v>5</v>
      </c>
      <c r="J266" s="2" t="s">
        <v>16</v>
      </c>
      <c r="K266" s="2" t="s">
        <v>111</v>
      </c>
      <c r="L266" s="2" t="s">
        <v>27</v>
      </c>
      <c r="M266" s="2" t="str">
        <f t="shared" si="12"/>
        <v>Cash</v>
      </c>
      <c r="N266" s="2" t="str">
        <f t="shared" si="13"/>
        <v>Electronics</v>
      </c>
      <c r="O266" s="2" t="str">
        <f t="shared" si="14"/>
        <v>High Stock</v>
      </c>
    </row>
    <row r="267" spans="1:15" x14ac:dyDescent="0.3">
      <c r="A267" s="5">
        <v>45722</v>
      </c>
      <c r="B267" s="2" t="s">
        <v>798</v>
      </c>
      <c r="C267" s="2" t="s">
        <v>799</v>
      </c>
      <c r="D267" s="2" t="s">
        <v>45</v>
      </c>
      <c r="E267" s="2" t="s">
        <v>23</v>
      </c>
      <c r="F267" s="2">
        <v>36</v>
      </c>
      <c r="G267" s="7">
        <v>49.37</v>
      </c>
      <c r="H267" s="7">
        <v>1777.32</v>
      </c>
      <c r="I267" s="2">
        <v>0</v>
      </c>
      <c r="J267" s="2" t="s">
        <v>24</v>
      </c>
      <c r="K267" s="2" t="s">
        <v>25</v>
      </c>
      <c r="L267" s="2" t="s">
        <v>31</v>
      </c>
      <c r="M267" s="2" t="str">
        <f t="shared" si="12"/>
        <v>Credit Card</v>
      </c>
      <c r="N267" s="2" t="str">
        <f t="shared" si="13"/>
        <v>Accessories</v>
      </c>
      <c r="O267" s="2" t="str">
        <f t="shared" si="14"/>
        <v>High Stock</v>
      </c>
    </row>
    <row r="268" spans="1:15" x14ac:dyDescent="0.3">
      <c r="A268" s="5">
        <v>45965</v>
      </c>
      <c r="B268" s="2" t="s">
        <v>800</v>
      </c>
      <c r="C268" s="2" t="s">
        <v>801</v>
      </c>
      <c r="D268" s="2" t="s">
        <v>34</v>
      </c>
      <c r="E268" s="2" t="s">
        <v>35</v>
      </c>
      <c r="F268" s="2">
        <v>15</v>
      </c>
      <c r="G268" s="7">
        <v>727.01</v>
      </c>
      <c r="H268" s="7">
        <v>9269.3799999999992</v>
      </c>
      <c r="I268" s="2">
        <v>15</v>
      </c>
      <c r="J268" s="2" t="s">
        <v>53</v>
      </c>
      <c r="K268" s="2" t="s">
        <v>170</v>
      </c>
      <c r="L268" s="2" t="s">
        <v>31</v>
      </c>
      <c r="M268" s="2" t="str">
        <f t="shared" si="12"/>
        <v>Credit Card</v>
      </c>
      <c r="N268" s="2" t="str">
        <f t="shared" si="13"/>
        <v>Electronics</v>
      </c>
      <c r="O268" s="2" t="str">
        <f t="shared" si="14"/>
        <v>Low Stock</v>
      </c>
    </row>
    <row r="269" spans="1:15" x14ac:dyDescent="0.3">
      <c r="A269" s="5">
        <v>46255</v>
      </c>
      <c r="B269" s="2" t="s">
        <v>803</v>
      </c>
      <c r="C269" s="2" t="s">
        <v>804</v>
      </c>
      <c r="D269" s="2" t="s">
        <v>14</v>
      </c>
      <c r="E269" s="2" t="s">
        <v>15</v>
      </c>
      <c r="F269" s="2">
        <v>3</v>
      </c>
      <c r="G269" s="7">
        <v>53.83</v>
      </c>
      <c r="H269" s="7">
        <v>153.41999999999999</v>
      </c>
      <c r="I269" s="2">
        <v>5</v>
      </c>
      <c r="J269" s="2" t="s">
        <v>53</v>
      </c>
      <c r="K269" s="2" t="s">
        <v>141</v>
      </c>
      <c r="L269" s="2" t="s">
        <v>49</v>
      </c>
      <c r="M269" s="2" t="str">
        <f t="shared" si="12"/>
        <v>Check</v>
      </c>
      <c r="N269" s="2" t="str">
        <f t="shared" si="13"/>
        <v>Peripherals</v>
      </c>
      <c r="O269" s="2" t="str">
        <f t="shared" si="14"/>
        <v>Low Stock</v>
      </c>
    </row>
    <row r="270" spans="1:15" x14ac:dyDescent="0.3">
      <c r="A270" s="5">
        <v>45653</v>
      </c>
      <c r="B270" s="2" t="s">
        <v>806</v>
      </c>
      <c r="C270" s="2" t="s">
        <v>153</v>
      </c>
      <c r="D270" s="2" t="s">
        <v>82</v>
      </c>
      <c r="E270" s="2" t="s">
        <v>73</v>
      </c>
      <c r="F270" s="2">
        <v>34</v>
      </c>
      <c r="G270" s="7">
        <v>773.52</v>
      </c>
      <c r="H270" s="7">
        <v>23669.71</v>
      </c>
      <c r="I270" s="2">
        <v>10</v>
      </c>
      <c r="J270" s="2" t="s">
        <v>24</v>
      </c>
      <c r="K270" s="2" t="s">
        <v>36</v>
      </c>
      <c r="L270" s="1" t="s">
        <v>2347</v>
      </c>
      <c r="M270" s="1" t="str">
        <f t="shared" si="12"/>
        <v>Online Payment</v>
      </c>
      <c r="N270" s="2" t="str">
        <f t="shared" si="13"/>
        <v>Furniture</v>
      </c>
      <c r="O270" s="1" t="str">
        <f t="shared" si="14"/>
        <v>High Stock</v>
      </c>
    </row>
    <row r="271" spans="1:15" x14ac:dyDescent="0.3">
      <c r="A271" s="5">
        <v>45924</v>
      </c>
      <c r="B271" s="2" t="s">
        <v>808</v>
      </c>
      <c r="C271" s="2" t="s">
        <v>809</v>
      </c>
      <c r="D271" s="2" t="s">
        <v>82</v>
      </c>
      <c r="E271" s="2" t="s">
        <v>73</v>
      </c>
      <c r="F271" s="2">
        <v>34</v>
      </c>
      <c r="G271" s="7">
        <v>648.09</v>
      </c>
      <c r="H271" s="7">
        <v>20933.310000000001</v>
      </c>
      <c r="I271" s="2">
        <v>5</v>
      </c>
      <c r="J271" s="2" t="s">
        <v>24</v>
      </c>
      <c r="K271" s="2" t="s">
        <v>41</v>
      </c>
      <c r="L271" s="2" t="s">
        <v>31</v>
      </c>
      <c r="M271" s="2" t="str">
        <f t="shared" si="12"/>
        <v>Credit Card</v>
      </c>
      <c r="N271" s="2" t="str">
        <f t="shared" si="13"/>
        <v>Furniture</v>
      </c>
      <c r="O271" s="2" t="str">
        <f t="shared" si="14"/>
        <v>High Stock</v>
      </c>
    </row>
    <row r="272" spans="1:15" x14ac:dyDescent="0.3">
      <c r="A272" s="5">
        <v>46268</v>
      </c>
      <c r="B272" s="2" t="s">
        <v>810</v>
      </c>
      <c r="C272" s="2" t="s">
        <v>811</v>
      </c>
      <c r="D272" s="2" t="s">
        <v>45</v>
      </c>
      <c r="E272" s="2" t="s">
        <v>23</v>
      </c>
      <c r="F272" s="2">
        <v>23</v>
      </c>
      <c r="G272" s="7">
        <v>50.13</v>
      </c>
      <c r="H272" s="7">
        <v>1095.3399999999999</v>
      </c>
      <c r="I272" s="2">
        <v>5</v>
      </c>
      <c r="J272" s="2" t="s">
        <v>46</v>
      </c>
      <c r="K272" s="2" t="s">
        <v>78</v>
      </c>
      <c r="L272" s="2" t="s">
        <v>69</v>
      </c>
      <c r="M272" s="2" t="str">
        <f t="shared" si="12"/>
        <v>Debit Card</v>
      </c>
      <c r="N272" s="2" t="str">
        <f t="shared" si="13"/>
        <v>Accessories</v>
      </c>
      <c r="O272" s="2" t="str">
        <f t="shared" si="14"/>
        <v>High Stock</v>
      </c>
    </row>
    <row r="273" spans="1:15" x14ac:dyDescent="0.3">
      <c r="A273" s="5">
        <v>45809</v>
      </c>
      <c r="B273" s="2" t="s">
        <v>813</v>
      </c>
      <c r="C273" s="2" t="s">
        <v>814</v>
      </c>
      <c r="D273" s="2" t="s">
        <v>90</v>
      </c>
      <c r="E273" s="2" t="s">
        <v>23</v>
      </c>
      <c r="F273" s="2">
        <v>25</v>
      </c>
      <c r="G273" s="7">
        <v>23.18</v>
      </c>
      <c r="H273" s="7">
        <v>579.5</v>
      </c>
      <c r="I273" s="2">
        <v>0</v>
      </c>
      <c r="J273" s="2" t="s">
        <v>53</v>
      </c>
      <c r="K273" s="2" t="s">
        <v>54</v>
      </c>
      <c r="L273" s="2" t="s">
        <v>49</v>
      </c>
      <c r="M273" s="2" t="str">
        <f t="shared" si="12"/>
        <v>Check</v>
      </c>
      <c r="N273" s="2" t="str">
        <f t="shared" si="13"/>
        <v>Accessories</v>
      </c>
      <c r="O273" s="2" t="str">
        <f t="shared" si="14"/>
        <v>High Stock</v>
      </c>
    </row>
    <row r="274" spans="1:15" x14ac:dyDescent="0.3">
      <c r="A274" s="5">
        <v>45692</v>
      </c>
      <c r="B274" s="2" t="s">
        <v>816</v>
      </c>
      <c r="C274" s="2" t="s">
        <v>680</v>
      </c>
      <c r="D274" s="1" t="s">
        <v>95</v>
      </c>
      <c r="E274" s="2" t="s">
        <v>35</v>
      </c>
      <c r="F274" s="2">
        <v>47</v>
      </c>
      <c r="G274" s="7">
        <v>238.87</v>
      </c>
      <c r="H274" s="7">
        <v>10665.55</v>
      </c>
      <c r="I274" s="2">
        <v>5</v>
      </c>
      <c r="J274" s="2" t="s">
        <v>53</v>
      </c>
      <c r="K274" s="2" t="s">
        <v>134</v>
      </c>
      <c r="L274" s="2" t="s">
        <v>31</v>
      </c>
      <c r="M274" s="2" t="str">
        <f t="shared" si="12"/>
        <v>Credit Card</v>
      </c>
      <c r="N274" s="2" t="str">
        <f t="shared" si="13"/>
        <v>Electronics</v>
      </c>
      <c r="O274" s="2" t="str">
        <f t="shared" si="14"/>
        <v>High Stock</v>
      </c>
    </row>
    <row r="275" spans="1:15" x14ac:dyDescent="0.3">
      <c r="A275" s="5">
        <v>46095</v>
      </c>
      <c r="B275" s="2" t="s">
        <v>818</v>
      </c>
      <c r="C275" s="2" t="s">
        <v>604</v>
      </c>
      <c r="D275" s="2" t="s">
        <v>103</v>
      </c>
      <c r="E275" s="2" t="s">
        <v>35</v>
      </c>
      <c r="F275" s="2">
        <v>44</v>
      </c>
      <c r="G275" s="7">
        <v>359.23</v>
      </c>
      <c r="H275" s="7">
        <v>13435.2</v>
      </c>
      <c r="I275" s="2">
        <v>15</v>
      </c>
      <c r="J275" s="2" t="s">
        <v>53</v>
      </c>
      <c r="K275" s="2" t="s">
        <v>170</v>
      </c>
      <c r="L275" s="1" t="s">
        <v>2347</v>
      </c>
      <c r="M275" s="1" t="str">
        <f t="shared" si="12"/>
        <v>Online Payment</v>
      </c>
      <c r="N275" s="2" t="str">
        <f t="shared" si="13"/>
        <v>Electronics</v>
      </c>
      <c r="O275" s="1" t="str">
        <f t="shared" si="14"/>
        <v>High Stock</v>
      </c>
    </row>
    <row r="276" spans="1:15" x14ac:dyDescent="0.3">
      <c r="A276" s="5">
        <v>45761</v>
      </c>
      <c r="B276" s="2" t="s">
        <v>819</v>
      </c>
      <c r="C276" s="2" t="s">
        <v>820</v>
      </c>
      <c r="D276" s="2" t="s">
        <v>82</v>
      </c>
      <c r="E276" s="2" t="s">
        <v>73</v>
      </c>
      <c r="F276" s="2">
        <v>29</v>
      </c>
      <c r="G276" s="7">
        <v>550.74</v>
      </c>
      <c r="H276" s="7">
        <v>14374.31</v>
      </c>
      <c r="I276" s="2">
        <v>10</v>
      </c>
      <c r="J276" s="2" t="s">
        <v>16</v>
      </c>
      <c r="K276" s="2" t="s">
        <v>160</v>
      </c>
      <c r="L276" s="2" t="s">
        <v>31</v>
      </c>
      <c r="M276" s="2" t="str">
        <f t="shared" si="12"/>
        <v>Credit Card</v>
      </c>
      <c r="N276" s="2" t="str">
        <f t="shared" si="13"/>
        <v>Furniture</v>
      </c>
      <c r="O276" s="2" t="str">
        <f t="shared" si="14"/>
        <v>High Stock</v>
      </c>
    </row>
    <row r="277" spans="1:15" x14ac:dyDescent="0.3">
      <c r="A277" s="5">
        <v>46284</v>
      </c>
      <c r="B277" s="2" t="s">
        <v>822</v>
      </c>
      <c r="C277" s="2" t="s">
        <v>823</v>
      </c>
      <c r="D277" s="2" t="s">
        <v>90</v>
      </c>
      <c r="E277" s="2" t="s">
        <v>23</v>
      </c>
      <c r="F277" s="2">
        <v>20</v>
      </c>
      <c r="G277" s="7">
        <v>15.8</v>
      </c>
      <c r="H277" s="7">
        <v>316</v>
      </c>
      <c r="I277" s="2">
        <v>0</v>
      </c>
      <c r="J277" s="2" t="s">
        <v>16</v>
      </c>
      <c r="K277" s="2" t="s">
        <v>111</v>
      </c>
      <c r="L277" s="2" t="s">
        <v>69</v>
      </c>
      <c r="M277" s="2" t="str">
        <f t="shared" si="12"/>
        <v>Debit Card</v>
      </c>
      <c r="N277" s="2" t="str">
        <f t="shared" si="13"/>
        <v>Accessories</v>
      </c>
      <c r="O277" s="2" t="str">
        <f t="shared" si="14"/>
        <v>High Stock</v>
      </c>
    </row>
    <row r="278" spans="1:15" x14ac:dyDescent="0.3">
      <c r="A278" s="5">
        <v>46040</v>
      </c>
      <c r="B278" s="2" t="s">
        <v>824</v>
      </c>
      <c r="C278" s="2" t="s">
        <v>825</v>
      </c>
      <c r="D278" s="2" t="s">
        <v>90</v>
      </c>
      <c r="E278" s="2" t="s">
        <v>23</v>
      </c>
      <c r="F278" s="2">
        <v>43</v>
      </c>
      <c r="G278" s="7">
        <v>18.829999999999998</v>
      </c>
      <c r="H278" s="7">
        <v>688.24</v>
      </c>
      <c r="I278" s="2">
        <v>15</v>
      </c>
      <c r="J278" s="2" t="s">
        <v>53</v>
      </c>
      <c r="K278" s="2" t="s">
        <v>141</v>
      </c>
      <c r="L278" s="2" t="s">
        <v>31</v>
      </c>
      <c r="M278" s="2" t="str">
        <f t="shared" si="12"/>
        <v>Credit Card</v>
      </c>
      <c r="N278" s="2" t="str">
        <f t="shared" si="13"/>
        <v>Accessories</v>
      </c>
      <c r="O278" s="2" t="str">
        <f t="shared" si="14"/>
        <v>High Stock</v>
      </c>
    </row>
    <row r="279" spans="1:15" x14ac:dyDescent="0.3">
      <c r="A279" s="5">
        <v>46021</v>
      </c>
      <c r="B279" s="2" t="s">
        <v>826</v>
      </c>
      <c r="C279" s="2" t="s">
        <v>827</v>
      </c>
      <c r="D279" s="2" t="s">
        <v>52</v>
      </c>
      <c r="E279" s="2" t="s">
        <v>35</v>
      </c>
      <c r="F279" s="2">
        <v>7</v>
      </c>
      <c r="G279" s="7">
        <v>254.45</v>
      </c>
      <c r="H279" s="7">
        <v>1692.09</v>
      </c>
      <c r="I279" s="2">
        <v>5</v>
      </c>
      <c r="J279" s="2" t="s">
        <v>24</v>
      </c>
      <c r="K279" s="2" t="s">
        <v>104</v>
      </c>
      <c r="L279" s="2" t="s">
        <v>31</v>
      </c>
      <c r="M279" s="2" t="str">
        <f t="shared" si="12"/>
        <v>Credit Card</v>
      </c>
      <c r="N279" s="2" t="str">
        <f t="shared" si="13"/>
        <v>Electronics</v>
      </c>
      <c r="O279" s="2" t="str">
        <f t="shared" si="14"/>
        <v>Low Stock</v>
      </c>
    </row>
    <row r="280" spans="1:15" x14ac:dyDescent="0.3">
      <c r="A280" s="5">
        <v>45861</v>
      </c>
      <c r="B280" s="2" t="s">
        <v>828</v>
      </c>
      <c r="C280" s="2" t="s">
        <v>829</v>
      </c>
      <c r="D280" s="2" t="s">
        <v>22</v>
      </c>
      <c r="E280" s="2" t="s">
        <v>23</v>
      </c>
      <c r="F280" s="2">
        <v>17</v>
      </c>
      <c r="G280" s="7">
        <v>15.97</v>
      </c>
      <c r="H280" s="7">
        <v>244.34</v>
      </c>
      <c r="I280" s="2">
        <v>10</v>
      </c>
      <c r="J280" s="2" t="s">
        <v>16</v>
      </c>
      <c r="K280" s="2" t="s">
        <v>91</v>
      </c>
      <c r="L280" s="2" t="s">
        <v>69</v>
      </c>
      <c r="M280" s="2" t="str">
        <f t="shared" si="12"/>
        <v>Debit Card</v>
      </c>
      <c r="N280" s="2" t="str">
        <f t="shared" si="13"/>
        <v>Accessories</v>
      </c>
      <c r="O280" s="2" t="str">
        <f t="shared" si="14"/>
        <v>High Stock</v>
      </c>
    </row>
    <row r="281" spans="1:15" x14ac:dyDescent="0.3">
      <c r="A281" s="5">
        <v>46146</v>
      </c>
      <c r="B281" s="2" t="s">
        <v>831</v>
      </c>
      <c r="C281" s="2" t="s">
        <v>832</v>
      </c>
      <c r="D281" s="2" t="s">
        <v>72</v>
      </c>
      <c r="E281" s="2" t="s">
        <v>73</v>
      </c>
      <c r="F281" s="2">
        <v>22</v>
      </c>
      <c r="G281" s="7">
        <v>463.26</v>
      </c>
      <c r="H281" s="7">
        <v>10191.719999999999</v>
      </c>
      <c r="I281" s="2">
        <v>0</v>
      </c>
      <c r="J281" s="2" t="s">
        <v>46</v>
      </c>
      <c r="K281" s="2" t="s">
        <v>83</v>
      </c>
      <c r="L281" s="2" t="s">
        <v>31</v>
      </c>
      <c r="M281" s="2" t="str">
        <f t="shared" si="12"/>
        <v>Credit Card</v>
      </c>
      <c r="N281" s="2" t="str">
        <f t="shared" si="13"/>
        <v>Furniture</v>
      </c>
      <c r="O281" s="2" t="str">
        <f t="shared" si="14"/>
        <v>High Stock</v>
      </c>
    </row>
    <row r="282" spans="1:15" x14ac:dyDescent="0.3">
      <c r="A282" s="5">
        <v>45838</v>
      </c>
      <c r="B282" s="2" t="s">
        <v>834</v>
      </c>
      <c r="C282" s="2" t="s">
        <v>835</v>
      </c>
      <c r="D282" s="2" t="s">
        <v>123</v>
      </c>
      <c r="E282" s="2" t="s">
        <v>15</v>
      </c>
      <c r="F282" s="2">
        <v>29</v>
      </c>
      <c r="G282" s="7">
        <v>25.35</v>
      </c>
      <c r="H282" s="7">
        <v>661.64</v>
      </c>
      <c r="I282" s="2">
        <v>10</v>
      </c>
      <c r="J282" s="2" t="s">
        <v>16</v>
      </c>
      <c r="K282" s="2" t="s">
        <v>17</v>
      </c>
      <c r="L282" s="2" t="s">
        <v>49</v>
      </c>
      <c r="M282" s="2" t="str">
        <f t="shared" si="12"/>
        <v>Check</v>
      </c>
      <c r="N282" s="2" t="str">
        <f t="shared" si="13"/>
        <v>Peripherals</v>
      </c>
      <c r="O282" s="2" t="str">
        <f t="shared" si="14"/>
        <v>High Stock</v>
      </c>
    </row>
    <row r="283" spans="1:15" x14ac:dyDescent="0.3">
      <c r="A283" s="5">
        <v>46138</v>
      </c>
      <c r="B283" s="2" t="s">
        <v>837</v>
      </c>
      <c r="C283" s="2" t="s">
        <v>838</v>
      </c>
      <c r="D283" s="2" t="s">
        <v>63</v>
      </c>
      <c r="E283" s="2" t="s">
        <v>15</v>
      </c>
      <c r="F283" s="2">
        <v>6</v>
      </c>
      <c r="G283" s="7">
        <v>68.040000000000006</v>
      </c>
      <c r="H283" s="7">
        <v>326.58999999999997</v>
      </c>
      <c r="I283" s="2">
        <v>20</v>
      </c>
      <c r="J283" s="2" t="s">
        <v>24</v>
      </c>
      <c r="K283" s="2" t="s">
        <v>104</v>
      </c>
      <c r="L283" s="2" t="s">
        <v>69</v>
      </c>
      <c r="M283" s="2" t="str">
        <f t="shared" si="12"/>
        <v>Debit Card</v>
      </c>
      <c r="N283" s="2" t="str">
        <f t="shared" si="13"/>
        <v>Peripherals</v>
      </c>
      <c r="O283" s="2" t="str">
        <f t="shared" si="14"/>
        <v>Low Stock</v>
      </c>
    </row>
    <row r="284" spans="1:15" x14ac:dyDescent="0.3">
      <c r="A284" s="5">
        <v>45652</v>
      </c>
      <c r="B284" s="2" t="s">
        <v>840</v>
      </c>
      <c r="C284" s="2" t="s">
        <v>841</v>
      </c>
      <c r="D284" s="2" t="s">
        <v>52</v>
      </c>
      <c r="E284" s="2" t="s">
        <v>35</v>
      </c>
      <c r="F284" s="2">
        <v>24</v>
      </c>
      <c r="G284" s="7">
        <v>230.19</v>
      </c>
      <c r="H284" s="7">
        <v>5524.56</v>
      </c>
      <c r="I284" s="2">
        <v>0</v>
      </c>
      <c r="J284" s="2" t="s">
        <v>16</v>
      </c>
      <c r="K284" s="2" t="s">
        <v>160</v>
      </c>
      <c r="L284" s="2" t="s">
        <v>69</v>
      </c>
      <c r="M284" s="2" t="str">
        <f t="shared" si="12"/>
        <v>Debit Card</v>
      </c>
      <c r="N284" s="2" t="str">
        <f t="shared" si="13"/>
        <v>Electronics</v>
      </c>
      <c r="O284" s="2" t="str">
        <f t="shared" si="14"/>
        <v>High Stock</v>
      </c>
    </row>
    <row r="285" spans="1:15" x14ac:dyDescent="0.3">
      <c r="A285" s="5">
        <v>45930</v>
      </c>
      <c r="B285" s="2" t="s">
        <v>843</v>
      </c>
      <c r="C285" s="2" t="s">
        <v>844</v>
      </c>
      <c r="D285" s="2" t="s">
        <v>99</v>
      </c>
      <c r="E285" s="2" t="s">
        <v>23</v>
      </c>
      <c r="F285" s="2">
        <v>1</v>
      </c>
      <c r="G285" s="7">
        <v>27.9</v>
      </c>
      <c r="H285" s="7">
        <v>27.9</v>
      </c>
      <c r="I285" s="2">
        <v>0</v>
      </c>
      <c r="J285" s="2" t="s">
        <v>46</v>
      </c>
      <c r="K285" s="2" t="s">
        <v>244</v>
      </c>
      <c r="L285" s="2" t="s">
        <v>31</v>
      </c>
      <c r="M285" s="2" t="str">
        <f t="shared" si="12"/>
        <v>Credit Card</v>
      </c>
      <c r="N285" s="2" t="str">
        <f t="shared" si="13"/>
        <v>Accessories</v>
      </c>
      <c r="O285" s="2" t="str">
        <f t="shared" si="14"/>
        <v>Low Stock</v>
      </c>
    </row>
    <row r="286" spans="1:15" x14ac:dyDescent="0.3">
      <c r="A286" s="5">
        <v>45978</v>
      </c>
      <c r="B286" s="2" t="s">
        <v>845</v>
      </c>
      <c r="C286" s="2" t="s">
        <v>760</v>
      </c>
      <c r="D286" s="2" t="s">
        <v>22</v>
      </c>
      <c r="E286" s="2" t="s">
        <v>23</v>
      </c>
      <c r="F286" s="2">
        <v>42</v>
      </c>
      <c r="G286" s="7">
        <v>15.8</v>
      </c>
      <c r="H286" s="7">
        <v>530.88</v>
      </c>
      <c r="I286" s="2">
        <v>20</v>
      </c>
      <c r="J286" s="2" t="s">
        <v>24</v>
      </c>
      <c r="K286" s="2" t="s">
        <v>59</v>
      </c>
      <c r="L286" s="2" t="s">
        <v>49</v>
      </c>
      <c r="M286" s="2" t="str">
        <f t="shared" si="12"/>
        <v>Check</v>
      </c>
      <c r="N286" s="2" t="str">
        <f t="shared" si="13"/>
        <v>Accessories</v>
      </c>
      <c r="O286" s="2" t="str">
        <f t="shared" si="14"/>
        <v>High Stock</v>
      </c>
    </row>
    <row r="287" spans="1:15" x14ac:dyDescent="0.3">
      <c r="A287" s="5">
        <v>46027</v>
      </c>
      <c r="B287" s="2" t="s">
        <v>846</v>
      </c>
      <c r="C287" s="2" t="s">
        <v>847</v>
      </c>
      <c r="D287" s="1" t="s">
        <v>95</v>
      </c>
      <c r="E287" s="2" t="s">
        <v>35</v>
      </c>
      <c r="F287" s="2">
        <v>8</v>
      </c>
      <c r="G287" s="7">
        <v>1174.54</v>
      </c>
      <c r="H287" s="7">
        <v>7986.87</v>
      </c>
      <c r="I287" s="2">
        <v>15</v>
      </c>
      <c r="J287" s="2" t="s">
        <v>24</v>
      </c>
      <c r="K287" s="2" t="s">
        <v>25</v>
      </c>
      <c r="L287" s="2" t="s">
        <v>31</v>
      </c>
      <c r="M287" s="2" t="str">
        <f t="shared" si="12"/>
        <v>Credit Card</v>
      </c>
      <c r="N287" s="2" t="str">
        <f t="shared" si="13"/>
        <v>Electronics</v>
      </c>
      <c r="O287" s="2" t="str">
        <f t="shared" si="14"/>
        <v>Low Stock</v>
      </c>
    </row>
    <row r="288" spans="1:15" x14ac:dyDescent="0.3">
      <c r="A288" s="5">
        <v>45892</v>
      </c>
      <c r="B288" s="2" t="s">
        <v>849</v>
      </c>
      <c r="C288" s="2" t="s">
        <v>850</v>
      </c>
      <c r="D288" s="2" t="s">
        <v>40</v>
      </c>
      <c r="E288" s="2" t="s">
        <v>23</v>
      </c>
      <c r="F288" s="2">
        <v>21</v>
      </c>
      <c r="G288" s="7">
        <v>62.6</v>
      </c>
      <c r="H288" s="7">
        <v>1314.6</v>
      </c>
      <c r="I288" s="2">
        <v>0</v>
      </c>
      <c r="J288" s="2" t="s">
        <v>16</v>
      </c>
      <c r="K288" s="2" t="s">
        <v>160</v>
      </c>
      <c r="L288" s="1" t="s">
        <v>2347</v>
      </c>
      <c r="M288" s="1" t="str">
        <f t="shared" si="12"/>
        <v>Online Payment</v>
      </c>
      <c r="N288" s="2" t="str">
        <f t="shared" si="13"/>
        <v>Accessories</v>
      </c>
      <c r="O288" s="1" t="str">
        <f t="shared" si="14"/>
        <v>High Stock</v>
      </c>
    </row>
    <row r="289" spans="1:15" x14ac:dyDescent="0.3">
      <c r="A289" s="5">
        <v>46208</v>
      </c>
      <c r="B289" s="2" t="s">
        <v>852</v>
      </c>
      <c r="C289" s="2" t="s">
        <v>853</v>
      </c>
      <c r="D289" s="1" t="s">
        <v>95</v>
      </c>
      <c r="E289" s="2" t="s">
        <v>35</v>
      </c>
      <c r="F289" s="2">
        <v>41</v>
      </c>
      <c r="G289" s="7">
        <v>1104.3599999999999</v>
      </c>
      <c r="H289" s="7">
        <v>45278.76</v>
      </c>
      <c r="I289" s="2">
        <v>0</v>
      </c>
      <c r="J289" s="2" t="s">
        <v>16</v>
      </c>
      <c r="K289" s="2" t="s">
        <v>74</v>
      </c>
      <c r="L289" s="1" t="s">
        <v>2347</v>
      </c>
      <c r="M289" s="1" t="str">
        <f t="shared" si="12"/>
        <v>Online Payment</v>
      </c>
      <c r="N289" s="2" t="str">
        <f t="shared" si="13"/>
        <v>Electronics</v>
      </c>
      <c r="O289" s="1" t="str">
        <f t="shared" si="14"/>
        <v>High Stock</v>
      </c>
    </row>
    <row r="290" spans="1:15" x14ac:dyDescent="0.3">
      <c r="A290" s="5">
        <v>45597</v>
      </c>
      <c r="B290" s="2" t="s">
        <v>855</v>
      </c>
      <c r="C290" s="2" t="s">
        <v>856</v>
      </c>
      <c r="D290" s="2" t="s">
        <v>22</v>
      </c>
      <c r="E290" s="2" t="s">
        <v>23</v>
      </c>
      <c r="F290" s="2">
        <v>28</v>
      </c>
      <c r="G290" s="7">
        <v>20.100000000000001</v>
      </c>
      <c r="H290" s="7">
        <v>506.52</v>
      </c>
      <c r="I290" s="2">
        <v>10</v>
      </c>
      <c r="J290" s="2" t="s">
        <v>46</v>
      </c>
      <c r="K290" s="2" t="s">
        <v>83</v>
      </c>
      <c r="L290" s="2" t="s">
        <v>27</v>
      </c>
      <c r="M290" s="2" t="str">
        <f t="shared" si="12"/>
        <v>Cash</v>
      </c>
      <c r="N290" s="2" t="str">
        <f t="shared" si="13"/>
        <v>Accessories</v>
      </c>
      <c r="O290" s="2" t="str">
        <f t="shared" si="14"/>
        <v>High Stock</v>
      </c>
    </row>
    <row r="291" spans="1:15" x14ac:dyDescent="0.3">
      <c r="A291" s="5">
        <v>46274</v>
      </c>
      <c r="B291" s="2" t="s">
        <v>858</v>
      </c>
      <c r="C291" s="2" t="s">
        <v>859</v>
      </c>
      <c r="D291" s="1" t="s">
        <v>95</v>
      </c>
      <c r="E291" s="2" t="s">
        <v>35</v>
      </c>
      <c r="F291" s="2">
        <v>48</v>
      </c>
      <c r="G291" s="7">
        <v>1072.57</v>
      </c>
      <c r="H291" s="7">
        <v>43760.86</v>
      </c>
      <c r="I291" s="2">
        <v>15</v>
      </c>
      <c r="J291" s="2" t="s">
        <v>46</v>
      </c>
      <c r="K291" s="2" t="s">
        <v>78</v>
      </c>
      <c r="L291" s="1" t="s">
        <v>2347</v>
      </c>
      <c r="M291" s="1" t="str">
        <f t="shared" si="12"/>
        <v>Online Payment</v>
      </c>
      <c r="N291" s="2" t="str">
        <f t="shared" si="13"/>
        <v>Electronics</v>
      </c>
      <c r="O291" s="1" t="str">
        <f t="shared" si="14"/>
        <v>High Stock</v>
      </c>
    </row>
    <row r="292" spans="1:15" x14ac:dyDescent="0.3">
      <c r="A292" s="5">
        <v>46190</v>
      </c>
      <c r="B292" s="2" t="s">
        <v>861</v>
      </c>
      <c r="C292" s="2" t="s">
        <v>862</v>
      </c>
      <c r="D292" s="2" t="s">
        <v>52</v>
      </c>
      <c r="E292" s="2" t="s">
        <v>35</v>
      </c>
      <c r="F292" s="2">
        <v>34</v>
      </c>
      <c r="G292" s="7">
        <v>271.64</v>
      </c>
      <c r="H292" s="7">
        <v>9235.76</v>
      </c>
      <c r="I292" s="2">
        <v>0</v>
      </c>
      <c r="J292" s="2" t="s">
        <v>46</v>
      </c>
      <c r="K292" s="2" t="s">
        <v>78</v>
      </c>
      <c r="L292" s="2" t="s">
        <v>69</v>
      </c>
      <c r="M292" s="2" t="str">
        <f t="shared" si="12"/>
        <v>Debit Card</v>
      </c>
      <c r="N292" s="2" t="str">
        <f t="shared" si="13"/>
        <v>Electronics</v>
      </c>
      <c r="O292" s="2" t="str">
        <f t="shared" si="14"/>
        <v>High Stock</v>
      </c>
    </row>
    <row r="293" spans="1:15" x14ac:dyDescent="0.3">
      <c r="A293" s="5">
        <v>45897</v>
      </c>
      <c r="B293" s="2" t="s">
        <v>864</v>
      </c>
      <c r="C293" s="2" t="s">
        <v>865</v>
      </c>
      <c r="D293" s="2" t="s">
        <v>82</v>
      </c>
      <c r="E293" s="2" t="s">
        <v>73</v>
      </c>
      <c r="F293" s="2">
        <v>6</v>
      </c>
      <c r="G293" s="7">
        <v>424.29</v>
      </c>
      <c r="H293" s="7">
        <v>2036.59</v>
      </c>
      <c r="I293" s="2">
        <v>20</v>
      </c>
      <c r="J293" s="2" t="s">
        <v>24</v>
      </c>
      <c r="K293" s="2" t="s">
        <v>36</v>
      </c>
      <c r="L293" s="2" t="s">
        <v>31</v>
      </c>
      <c r="M293" s="2" t="str">
        <f t="shared" si="12"/>
        <v>Credit Card</v>
      </c>
      <c r="N293" s="2" t="str">
        <f t="shared" si="13"/>
        <v>Furniture</v>
      </c>
      <c r="O293" s="2" t="str">
        <f t="shared" si="14"/>
        <v>Low Stock</v>
      </c>
    </row>
    <row r="294" spans="1:15" x14ac:dyDescent="0.3">
      <c r="A294" s="5">
        <v>45912</v>
      </c>
      <c r="B294" s="2" t="s">
        <v>866</v>
      </c>
      <c r="C294" s="2" t="s">
        <v>153</v>
      </c>
      <c r="D294" s="2" t="s">
        <v>34</v>
      </c>
      <c r="E294" s="2" t="s">
        <v>35</v>
      </c>
      <c r="F294" s="2">
        <v>4</v>
      </c>
      <c r="G294" s="7">
        <v>801.65</v>
      </c>
      <c r="H294" s="7">
        <v>2885.94</v>
      </c>
      <c r="I294" s="2">
        <v>10</v>
      </c>
      <c r="J294" s="2" t="s">
        <v>53</v>
      </c>
      <c r="K294" s="2" t="s">
        <v>141</v>
      </c>
      <c r="L294" s="2" t="s">
        <v>27</v>
      </c>
      <c r="M294" s="2" t="str">
        <f t="shared" si="12"/>
        <v>Cash</v>
      </c>
      <c r="N294" s="2" t="str">
        <f t="shared" si="13"/>
        <v>Electronics</v>
      </c>
      <c r="O294" s="2" t="str">
        <f t="shared" si="14"/>
        <v>Low Stock</v>
      </c>
    </row>
    <row r="295" spans="1:15" x14ac:dyDescent="0.3">
      <c r="A295" s="5">
        <v>46097</v>
      </c>
      <c r="B295" s="2" t="s">
        <v>867</v>
      </c>
      <c r="C295" s="2" t="s">
        <v>868</v>
      </c>
      <c r="D295" s="2" t="s">
        <v>52</v>
      </c>
      <c r="E295" s="2" t="s">
        <v>35</v>
      </c>
      <c r="F295" s="2">
        <v>45</v>
      </c>
      <c r="G295" s="7">
        <v>137.80000000000001</v>
      </c>
      <c r="H295" s="7">
        <v>6201</v>
      </c>
      <c r="I295" s="2">
        <v>0</v>
      </c>
      <c r="J295" s="2" t="s">
        <v>16</v>
      </c>
      <c r="K295" s="2" t="s">
        <v>160</v>
      </c>
      <c r="L295" s="2" t="s">
        <v>49</v>
      </c>
      <c r="M295" s="2" t="str">
        <f t="shared" si="12"/>
        <v>Check</v>
      </c>
      <c r="N295" s="2" t="str">
        <f t="shared" si="13"/>
        <v>Electronics</v>
      </c>
      <c r="O295" s="2" t="str">
        <f t="shared" si="14"/>
        <v>High Stock</v>
      </c>
    </row>
    <row r="296" spans="1:15" x14ac:dyDescent="0.3">
      <c r="A296" s="5">
        <v>46045</v>
      </c>
      <c r="B296" s="2" t="s">
        <v>869</v>
      </c>
      <c r="C296" s="2" t="s">
        <v>870</v>
      </c>
      <c r="D296" s="2" t="s">
        <v>40</v>
      </c>
      <c r="E296" s="2" t="s">
        <v>23</v>
      </c>
      <c r="F296" s="2">
        <v>11</v>
      </c>
      <c r="G296" s="7">
        <v>68.28</v>
      </c>
      <c r="H296" s="7">
        <v>638.41999999999996</v>
      </c>
      <c r="I296" s="2">
        <v>15</v>
      </c>
      <c r="J296" s="2" t="s">
        <v>24</v>
      </c>
      <c r="K296" s="2" t="s">
        <v>36</v>
      </c>
      <c r="L296" s="2" t="s">
        <v>49</v>
      </c>
      <c r="M296" s="2" t="str">
        <f t="shared" si="12"/>
        <v>Check</v>
      </c>
      <c r="N296" s="2" t="str">
        <f t="shared" si="13"/>
        <v>Accessories</v>
      </c>
      <c r="O296" s="2" t="str">
        <f t="shared" si="14"/>
        <v>Low Stock</v>
      </c>
    </row>
    <row r="297" spans="1:15" x14ac:dyDescent="0.3">
      <c r="A297" s="5">
        <v>46038</v>
      </c>
      <c r="B297" s="2" t="s">
        <v>871</v>
      </c>
      <c r="C297" s="2" t="s">
        <v>872</v>
      </c>
      <c r="D297" s="2" t="s">
        <v>72</v>
      </c>
      <c r="E297" s="2" t="s">
        <v>73</v>
      </c>
      <c r="F297" s="2">
        <v>4</v>
      </c>
      <c r="G297" s="7">
        <v>406.94</v>
      </c>
      <c r="H297" s="7">
        <v>1627.76</v>
      </c>
      <c r="I297" s="2">
        <v>0</v>
      </c>
      <c r="J297" s="2" t="s">
        <v>24</v>
      </c>
      <c r="K297" s="2" t="s">
        <v>104</v>
      </c>
      <c r="L297" s="1" t="s">
        <v>2347</v>
      </c>
      <c r="M297" s="1" t="str">
        <f t="shared" si="12"/>
        <v>Online Payment</v>
      </c>
      <c r="N297" s="2" t="str">
        <f t="shared" si="13"/>
        <v>Furniture</v>
      </c>
      <c r="O297" s="1" t="str">
        <f t="shared" si="14"/>
        <v>Low Stock</v>
      </c>
    </row>
    <row r="298" spans="1:15" x14ac:dyDescent="0.3">
      <c r="A298" s="5">
        <v>45804</v>
      </c>
      <c r="B298" s="2" t="s">
        <v>874</v>
      </c>
      <c r="C298" s="2" t="s">
        <v>875</v>
      </c>
      <c r="D298" s="1" t="s">
        <v>95</v>
      </c>
      <c r="E298" s="2" t="s">
        <v>35</v>
      </c>
      <c r="F298" s="2">
        <v>32</v>
      </c>
      <c r="G298" s="7">
        <v>320.99</v>
      </c>
      <c r="H298" s="7">
        <v>10271.68</v>
      </c>
      <c r="I298" s="2">
        <v>0</v>
      </c>
      <c r="J298" s="2" t="s">
        <v>46</v>
      </c>
      <c r="K298" s="2" t="s">
        <v>124</v>
      </c>
      <c r="L298" s="2" t="s">
        <v>27</v>
      </c>
      <c r="M298" s="2" t="str">
        <f t="shared" si="12"/>
        <v>Cash</v>
      </c>
      <c r="N298" s="2" t="str">
        <f t="shared" si="13"/>
        <v>Electronics</v>
      </c>
      <c r="O298" s="2" t="str">
        <f t="shared" si="14"/>
        <v>High Stock</v>
      </c>
    </row>
    <row r="299" spans="1:15" x14ac:dyDescent="0.3">
      <c r="A299" s="5">
        <v>45599</v>
      </c>
      <c r="B299" s="2" t="s">
        <v>876</v>
      </c>
      <c r="C299" s="2" t="s">
        <v>877</v>
      </c>
      <c r="D299" s="2" t="s">
        <v>34</v>
      </c>
      <c r="E299" s="2" t="s">
        <v>35</v>
      </c>
      <c r="F299" s="2">
        <v>49</v>
      </c>
      <c r="G299" s="7">
        <v>725.05</v>
      </c>
      <c r="H299" s="7">
        <v>33751.08</v>
      </c>
      <c r="I299" s="2">
        <v>5</v>
      </c>
      <c r="J299" s="2" t="s">
        <v>16</v>
      </c>
      <c r="K299" s="2" t="s">
        <v>74</v>
      </c>
      <c r="L299" s="1" t="s">
        <v>2347</v>
      </c>
      <c r="M299" s="1" t="str">
        <f t="shared" si="12"/>
        <v>Online Payment</v>
      </c>
      <c r="N299" s="2" t="str">
        <f t="shared" si="13"/>
        <v>Electronics</v>
      </c>
      <c r="O299" s="1" t="str">
        <f t="shared" si="14"/>
        <v>High Stock</v>
      </c>
    </row>
    <row r="300" spans="1:15" x14ac:dyDescent="0.3">
      <c r="A300" s="5">
        <v>45754</v>
      </c>
      <c r="B300" s="2" t="s">
        <v>878</v>
      </c>
      <c r="C300" s="2" t="s">
        <v>879</v>
      </c>
      <c r="D300" s="2" t="s">
        <v>99</v>
      </c>
      <c r="E300" s="2" t="s">
        <v>23</v>
      </c>
      <c r="F300" s="2">
        <v>6</v>
      </c>
      <c r="G300" s="7">
        <v>12.3</v>
      </c>
      <c r="H300" s="7">
        <v>62.73</v>
      </c>
      <c r="I300" s="2">
        <v>15</v>
      </c>
      <c r="J300" s="2" t="s">
        <v>24</v>
      </c>
      <c r="K300" s="2" t="s">
        <v>41</v>
      </c>
      <c r="L300" s="2" t="s">
        <v>69</v>
      </c>
      <c r="M300" s="2" t="str">
        <f t="shared" si="12"/>
        <v>Debit Card</v>
      </c>
      <c r="N300" s="2" t="str">
        <f t="shared" si="13"/>
        <v>Accessories</v>
      </c>
      <c r="O300" s="2" t="str">
        <f t="shared" si="14"/>
        <v>Low Stock</v>
      </c>
    </row>
    <row r="301" spans="1:15" x14ac:dyDescent="0.3">
      <c r="A301" s="5">
        <v>45914</v>
      </c>
      <c r="B301" s="2" t="s">
        <v>881</v>
      </c>
      <c r="C301" s="2" t="s">
        <v>882</v>
      </c>
      <c r="D301" s="2" t="s">
        <v>14</v>
      </c>
      <c r="E301" s="2" t="s">
        <v>15</v>
      </c>
      <c r="F301" s="2">
        <v>49</v>
      </c>
      <c r="G301" s="7">
        <v>63.26</v>
      </c>
      <c r="H301" s="7">
        <v>3099.74</v>
      </c>
      <c r="I301" s="2">
        <v>0</v>
      </c>
      <c r="J301" s="2" t="s">
        <v>53</v>
      </c>
      <c r="K301" s="2" t="s">
        <v>54</v>
      </c>
      <c r="L301" s="2" t="s">
        <v>31</v>
      </c>
      <c r="M301" s="2" t="str">
        <f t="shared" si="12"/>
        <v>Credit Card</v>
      </c>
      <c r="N301" s="2" t="str">
        <f t="shared" si="13"/>
        <v>Peripherals</v>
      </c>
      <c r="O301" s="2" t="str">
        <f t="shared" si="14"/>
        <v>High Stock</v>
      </c>
    </row>
    <row r="302" spans="1:15" x14ac:dyDescent="0.3">
      <c r="A302" s="5">
        <v>45854</v>
      </c>
      <c r="B302" s="2" t="s">
        <v>884</v>
      </c>
      <c r="C302" s="2" t="s">
        <v>885</v>
      </c>
      <c r="D302" s="2" t="s">
        <v>63</v>
      </c>
      <c r="E302" s="2" t="s">
        <v>15</v>
      </c>
      <c r="F302" s="2">
        <v>30</v>
      </c>
      <c r="G302" s="7">
        <v>49.53</v>
      </c>
      <c r="H302" s="7">
        <v>1337.31</v>
      </c>
      <c r="I302" s="2">
        <v>10</v>
      </c>
      <c r="J302" s="2" t="s">
        <v>16</v>
      </c>
      <c r="K302" s="2" t="s">
        <v>160</v>
      </c>
      <c r="L302" s="2" t="s">
        <v>31</v>
      </c>
      <c r="M302" s="2" t="str">
        <f t="shared" si="12"/>
        <v>Credit Card</v>
      </c>
      <c r="N302" s="2" t="str">
        <f t="shared" si="13"/>
        <v>Peripherals</v>
      </c>
      <c r="O302" s="2" t="str">
        <f t="shared" si="14"/>
        <v>High Stock</v>
      </c>
    </row>
    <row r="303" spans="1:15" x14ac:dyDescent="0.3">
      <c r="A303" s="5">
        <v>45703</v>
      </c>
      <c r="B303" s="2" t="s">
        <v>887</v>
      </c>
      <c r="C303" s="2" t="s">
        <v>641</v>
      </c>
      <c r="D303" s="2" t="s">
        <v>90</v>
      </c>
      <c r="E303" s="2" t="s">
        <v>23</v>
      </c>
      <c r="F303" s="2">
        <v>12</v>
      </c>
      <c r="G303" s="7">
        <v>19.53</v>
      </c>
      <c r="H303" s="7">
        <v>210.92</v>
      </c>
      <c r="I303" s="2">
        <v>10</v>
      </c>
      <c r="J303" s="2" t="s">
        <v>53</v>
      </c>
      <c r="K303" s="2" t="s">
        <v>67</v>
      </c>
      <c r="L303" s="2" t="s">
        <v>69</v>
      </c>
      <c r="M303" s="2" t="str">
        <f t="shared" si="12"/>
        <v>Debit Card</v>
      </c>
      <c r="N303" s="2" t="str">
        <f t="shared" si="13"/>
        <v>Accessories</v>
      </c>
      <c r="O303" s="2" t="str">
        <f t="shared" si="14"/>
        <v>Low Stock</v>
      </c>
    </row>
    <row r="304" spans="1:15" x14ac:dyDescent="0.3">
      <c r="A304" s="5">
        <v>45574</v>
      </c>
      <c r="B304" s="2" t="s">
        <v>889</v>
      </c>
      <c r="C304" s="2" t="s">
        <v>890</v>
      </c>
      <c r="D304" s="2" t="s">
        <v>14</v>
      </c>
      <c r="E304" s="2" t="s">
        <v>15</v>
      </c>
      <c r="F304" s="2">
        <v>26</v>
      </c>
      <c r="G304" s="7">
        <v>91</v>
      </c>
      <c r="H304" s="7">
        <v>2129.4</v>
      </c>
      <c r="I304" s="2">
        <v>10</v>
      </c>
      <c r="J304" s="2" t="s">
        <v>16</v>
      </c>
      <c r="K304" s="2" t="s">
        <v>17</v>
      </c>
      <c r="L304" s="2" t="s">
        <v>69</v>
      </c>
      <c r="M304" s="2" t="str">
        <f t="shared" si="12"/>
        <v>Debit Card</v>
      </c>
      <c r="N304" s="2" t="str">
        <f t="shared" si="13"/>
        <v>Peripherals</v>
      </c>
      <c r="O304" s="2" t="str">
        <f t="shared" si="14"/>
        <v>High Stock</v>
      </c>
    </row>
    <row r="305" spans="1:15" x14ac:dyDescent="0.3">
      <c r="A305" s="5">
        <v>46254</v>
      </c>
      <c r="B305" s="2" t="s">
        <v>892</v>
      </c>
      <c r="C305" s="2" t="s">
        <v>893</v>
      </c>
      <c r="D305" s="2" t="s">
        <v>22</v>
      </c>
      <c r="E305" s="2" t="s">
        <v>23</v>
      </c>
      <c r="F305" s="2">
        <v>43</v>
      </c>
      <c r="G305" s="7">
        <v>16.190000000000001</v>
      </c>
      <c r="H305" s="7">
        <v>556.94000000000005</v>
      </c>
      <c r="I305" s="2">
        <v>20</v>
      </c>
      <c r="J305" s="2" t="s">
        <v>24</v>
      </c>
      <c r="K305" s="2" t="s">
        <v>59</v>
      </c>
      <c r="L305" s="2" t="s">
        <v>69</v>
      </c>
      <c r="M305" s="2" t="str">
        <f t="shared" si="12"/>
        <v>Debit Card</v>
      </c>
      <c r="N305" s="2" t="str">
        <f t="shared" si="13"/>
        <v>Accessories</v>
      </c>
      <c r="O305" s="2" t="str">
        <f t="shared" si="14"/>
        <v>High Stock</v>
      </c>
    </row>
    <row r="306" spans="1:15" x14ac:dyDescent="0.3">
      <c r="A306" s="5">
        <v>45879</v>
      </c>
      <c r="B306" s="2" t="s">
        <v>894</v>
      </c>
      <c r="C306" s="2" t="s">
        <v>895</v>
      </c>
      <c r="D306" s="2" t="s">
        <v>99</v>
      </c>
      <c r="E306" s="2" t="s">
        <v>23</v>
      </c>
      <c r="F306" s="2">
        <v>25</v>
      </c>
      <c r="G306" s="7">
        <v>11.94</v>
      </c>
      <c r="H306" s="7">
        <v>298.5</v>
      </c>
      <c r="I306" s="2">
        <v>0</v>
      </c>
      <c r="J306" s="2" t="s">
        <v>46</v>
      </c>
      <c r="K306" s="2" t="s">
        <v>124</v>
      </c>
      <c r="L306" s="2" t="s">
        <v>31</v>
      </c>
      <c r="M306" s="2" t="str">
        <f t="shared" si="12"/>
        <v>Credit Card</v>
      </c>
      <c r="N306" s="2" t="str">
        <f t="shared" si="13"/>
        <v>Accessories</v>
      </c>
      <c r="O306" s="2" t="str">
        <f t="shared" si="14"/>
        <v>High Stock</v>
      </c>
    </row>
    <row r="307" spans="1:15" x14ac:dyDescent="0.3">
      <c r="A307" s="5">
        <v>45719</v>
      </c>
      <c r="B307" s="2" t="s">
        <v>896</v>
      </c>
      <c r="C307" s="2" t="s">
        <v>897</v>
      </c>
      <c r="D307" s="2" t="s">
        <v>63</v>
      </c>
      <c r="E307" s="2" t="s">
        <v>15</v>
      </c>
      <c r="F307" s="2">
        <v>35</v>
      </c>
      <c r="G307" s="7">
        <v>35.79</v>
      </c>
      <c r="H307" s="7">
        <v>1190.02</v>
      </c>
      <c r="I307" s="2">
        <v>5</v>
      </c>
      <c r="J307" s="2" t="s">
        <v>24</v>
      </c>
      <c r="K307" s="2" t="s">
        <v>59</v>
      </c>
      <c r="L307" s="2" t="s">
        <v>69</v>
      </c>
      <c r="M307" s="2" t="str">
        <f t="shared" si="12"/>
        <v>Debit Card</v>
      </c>
      <c r="N307" s="2" t="str">
        <f t="shared" si="13"/>
        <v>Peripherals</v>
      </c>
      <c r="O307" s="2" t="str">
        <f t="shared" si="14"/>
        <v>High Stock</v>
      </c>
    </row>
    <row r="308" spans="1:15" x14ac:dyDescent="0.3">
      <c r="A308" s="5">
        <v>45699</v>
      </c>
      <c r="B308" s="2" t="s">
        <v>899</v>
      </c>
      <c r="C308" s="2" t="s">
        <v>900</v>
      </c>
      <c r="D308" s="2" t="s">
        <v>90</v>
      </c>
      <c r="E308" s="2" t="s">
        <v>23</v>
      </c>
      <c r="F308" s="2">
        <v>3</v>
      </c>
      <c r="G308" s="7">
        <v>41.58</v>
      </c>
      <c r="H308" s="7">
        <v>118.5</v>
      </c>
      <c r="I308" s="2">
        <v>5</v>
      </c>
      <c r="J308" s="2" t="s">
        <v>46</v>
      </c>
      <c r="K308" s="2" t="s">
        <v>244</v>
      </c>
      <c r="L308" s="2" t="s">
        <v>49</v>
      </c>
      <c r="M308" s="2" t="str">
        <f t="shared" si="12"/>
        <v>Check</v>
      </c>
      <c r="N308" s="2" t="str">
        <f t="shared" si="13"/>
        <v>Accessories</v>
      </c>
      <c r="O308" s="2" t="str">
        <f t="shared" si="14"/>
        <v>Low Stock</v>
      </c>
    </row>
    <row r="309" spans="1:15" x14ac:dyDescent="0.3">
      <c r="A309" s="5">
        <v>46219</v>
      </c>
      <c r="B309" s="2" t="s">
        <v>902</v>
      </c>
      <c r="C309" s="2" t="s">
        <v>903</v>
      </c>
      <c r="D309" s="2" t="s">
        <v>40</v>
      </c>
      <c r="E309" s="2" t="s">
        <v>23</v>
      </c>
      <c r="F309" s="2">
        <v>12</v>
      </c>
      <c r="G309" s="7">
        <v>31.61</v>
      </c>
      <c r="H309" s="7">
        <v>360.35</v>
      </c>
      <c r="I309" s="2">
        <v>5</v>
      </c>
      <c r="J309" s="2" t="s">
        <v>24</v>
      </c>
      <c r="K309" s="2" t="s">
        <v>41</v>
      </c>
      <c r="L309" s="2" t="s">
        <v>27</v>
      </c>
      <c r="M309" s="2" t="str">
        <f t="shared" si="12"/>
        <v>Cash</v>
      </c>
      <c r="N309" s="2" t="str">
        <f t="shared" si="13"/>
        <v>Accessories</v>
      </c>
      <c r="O309" s="2" t="str">
        <f t="shared" si="14"/>
        <v>Low Stock</v>
      </c>
    </row>
    <row r="310" spans="1:15" x14ac:dyDescent="0.3">
      <c r="A310" s="5">
        <v>45817</v>
      </c>
      <c r="B310" s="2" t="s">
        <v>905</v>
      </c>
      <c r="C310" s="2" t="s">
        <v>906</v>
      </c>
      <c r="D310" s="2" t="s">
        <v>103</v>
      </c>
      <c r="E310" s="2" t="s">
        <v>35</v>
      </c>
      <c r="F310" s="2">
        <v>16</v>
      </c>
      <c r="G310" s="7">
        <v>325.27999999999997</v>
      </c>
      <c r="H310" s="7">
        <v>4684.03</v>
      </c>
      <c r="I310" s="2">
        <v>10</v>
      </c>
      <c r="J310" s="2" t="s">
        <v>46</v>
      </c>
      <c r="K310" s="2" t="s">
        <v>78</v>
      </c>
      <c r="L310" s="2" t="s">
        <v>31</v>
      </c>
      <c r="M310" s="2" t="str">
        <f t="shared" si="12"/>
        <v>Credit Card</v>
      </c>
      <c r="N310" s="2" t="str">
        <f t="shared" si="13"/>
        <v>Electronics</v>
      </c>
      <c r="O310" s="2" t="str">
        <f t="shared" si="14"/>
        <v>High Stock</v>
      </c>
    </row>
    <row r="311" spans="1:15" x14ac:dyDescent="0.3">
      <c r="A311" s="5">
        <v>45726</v>
      </c>
      <c r="B311" s="2" t="s">
        <v>908</v>
      </c>
      <c r="C311" s="2" t="s">
        <v>909</v>
      </c>
      <c r="D311" s="2" t="s">
        <v>82</v>
      </c>
      <c r="E311" s="2" t="s">
        <v>73</v>
      </c>
      <c r="F311" s="2">
        <v>8</v>
      </c>
      <c r="G311" s="7">
        <v>747.73</v>
      </c>
      <c r="H311" s="7">
        <v>5981.84</v>
      </c>
      <c r="I311" s="2">
        <v>0</v>
      </c>
      <c r="J311" s="2" t="s">
        <v>53</v>
      </c>
      <c r="K311" s="2" t="s">
        <v>67</v>
      </c>
      <c r="L311" s="2" t="s">
        <v>27</v>
      </c>
      <c r="M311" s="2" t="str">
        <f t="shared" si="12"/>
        <v>Cash</v>
      </c>
      <c r="N311" s="2" t="str">
        <f t="shared" si="13"/>
        <v>Furniture</v>
      </c>
      <c r="O311" s="2" t="str">
        <f t="shared" si="14"/>
        <v>Low Stock</v>
      </c>
    </row>
    <row r="312" spans="1:15" x14ac:dyDescent="0.3">
      <c r="A312" s="5">
        <v>45891</v>
      </c>
      <c r="B312" s="2" t="s">
        <v>911</v>
      </c>
      <c r="C312" s="2" t="s">
        <v>912</v>
      </c>
      <c r="D312" s="2" t="s">
        <v>82</v>
      </c>
      <c r="E312" s="2" t="s">
        <v>73</v>
      </c>
      <c r="F312" s="2">
        <v>45</v>
      </c>
      <c r="G312" s="7">
        <v>654.98</v>
      </c>
      <c r="H312" s="7">
        <v>28000.400000000001</v>
      </c>
      <c r="I312" s="2">
        <v>5</v>
      </c>
      <c r="J312" s="2" t="s">
        <v>53</v>
      </c>
      <c r="K312" s="2" t="s">
        <v>134</v>
      </c>
      <c r="L312" s="2" t="s">
        <v>49</v>
      </c>
      <c r="M312" s="2" t="str">
        <f t="shared" si="12"/>
        <v>Check</v>
      </c>
      <c r="N312" s="2" t="str">
        <f t="shared" si="13"/>
        <v>Furniture</v>
      </c>
      <c r="O312" s="2" t="str">
        <f t="shared" si="14"/>
        <v>High Stock</v>
      </c>
    </row>
    <row r="313" spans="1:15" x14ac:dyDescent="0.3">
      <c r="A313" s="5">
        <v>45695</v>
      </c>
      <c r="B313" s="2" t="s">
        <v>914</v>
      </c>
      <c r="C313" s="2" t="s">
        <v>703</v>
      </c>
      <c r="D313" s="2" t="s">
        <v>22</v>
      </c>
      <c r="E313" s="2" t="s">
        <v>23</v>
      </c>
      <c r="F313" s="2">
        <v>20</v>
      </c>
      <c r="G313" s="7">
        <v>24.98</v>
      </c>
      <c r="H313" s="7">
        <v>474.62</v>
      </c>
      <c r="I313" s="2">
        <v>5</v>
      </c>
      <c r="J313" s="2" t="s">
        <v>24</v>
      </c>
      <c r="K313" s="2" t="s">
        <v>25</v>
      </c>
      <c r="L313" s="2" t="s">
        <v>49</v>
      </c>
      <c r="M313" s="2" t="str">
        <f t="shared" si="12"/>
        <v>Check</v>
      </c>
      <c r="N313" s="2" t="str">
        <f t="shared" si="13"/>
        <v>Accessories</v>
      </c>
      <c r="O313" s="2" t="str">
        <f t="shared" si="14"/>
        <v>High Stock</v>
      </c>
    </row>
    <row r="314" spans="1:15" x14ac:dyDescent="0.3">
      <c r="A314" s="5">
        <v>45886</v>
      </c>
      <c r="B314" s="2" t="s">
        <v>916</v>
      </c>
      <c r="C314" s="2" t="s">
        <v>917</v>
      </c>
      <c r="D314" s="2" t="s">
        <v>63</v>
      </c>
      <c r="E314" s="2" t="s">
        <v>15</v>
      </c>
      <c r="F314" s="2">
        <v>26</v>
      </c>
      <c r="G314" s="7">
        <v>63.33</v>
      </c>
      <c r="H314" s="7">
        <v>1481.92</v>
      </c>
      <c r="I314" s="2">
        <v>10</v>
      </c>
      <c r="J314" s="2" t="s">
        <v>16</v>
      </c>
      <c r="K314" s="2" t="s">
        <v>160</v>
      </c>
      <c r="L314" s="2" t="s">
        <v>69</v>
      </c>
      <c r="M314" s="2" t="str">
        <f t="shared" si="12"/>
        <v>Debit Card</v>
      </c>
      <c r="N314" s="2" t="str">
        <f t="shared" si="13"/>
        <v>Peripherals</v>
      </c>
      <c r="O314" s="2" t="str">
        <f t="shared" si="14"/>
        <v>High Stock</v>
      </c>
    </row>
    <row r="315" spans="1:15" x14ac:dyDescent="0.3">
      <c r="A315" s="5">
        <v>45936</v>
      </c>
      <c r="B315" s="2" t="s">
        <v>918</v>
      </c>
      <c r="C315" s="2" t="s">
        <v>919</v>
      </c>
      <c r="D315" s="2" t="s">
        <v>40</v>
      </c>
      <c r="E315" s="2" t="s">
        <v>23</v>
      </c>
      <c r="F315" s="2">
        <v>46</v>
      </c>
      <c r="G315" s="7">
        <v>79.64</v>
      </c>
      <c r="H315" s="7">
        <v>3297.1</v>
      </c>
      <c r="I315" s="2">
        <v>10</v>
      </c>
      <c r="J315" s="2" t="s">
        <v>46</v>
      </c>
      <c r="K315" s="2" t="s">
        <v>244</v>
      </c>
      <c r="L315" s="2" t="s">
        <v>27</v>
      </c>
      <c r="M315" s="2" t="str">
        <f t="shared" si="12"/>
        <v>Cash</v>
      </c>
      <c r="N315" s="2" t="str">
        <f t="shared" si="13"/>
        <v>Accessories</v>
      </c>
      <c r="O315" s="2" t="str">
        <f t="shared" si="14"/>
        <v>High Stock</v>
      </c>
    </row>
    <row r="316" spans="1:15" x14ac:dyDescent="0.3">
      <c r="A316" s="5">
        <v>45808</v>
      </c>
      <c r="B316" s="2" t="s">
        <v>921</v>
      </c>
      <c r="C316" s="2" t="s">
        <v>922</v>
      </c>
      <c r="D316" s="2" t="s">
        <v>52</v>
      </c>
      <c r="E316" s="2" t="s">
        <v>35</v>
      </c>
      <c r="F316" s="2">
        <v>12</v>
      </c>
      <c r="G316" s="7">
        <v>289.37</v>
      </c>
      <c r="H316" s="7">
        <v>3125.2</v>
      </c>
      <c r="I316" s="2">
        <v>10</v>
      </c>
      <c r="J316" s="2" t="s">
        <v>16</v>
      </c>
      <c r="K316" s="2" t="s">
        <v>74</v>
      </c>
      <c r="L316" s="2" t="s">
        <v>49</v>
      </c>
      <c r="M316" s="2" t="str">
        <f t="shared" si="12"/>
        <v>Check</v>
      </c>
      <c r="N316" s="2" t="str">
        <f t="shared" si="13"/>
        <v>Electronics</v>
      </c>
      <c r="O316" s="2" t="str">
        <f t="shared" si="14"/>
        <v>Low Stock</v>
      </c>
    </row>
    <row r="317" spans="1:15" x14ac:dyDescent="0.3">
      <c r="A317" s="5">
        <v>46212</v>
      </c>
      <c r="B317" s="2" t="s">
        <v>924</v>
      </c>
      <c r="C317" s="2" t="s">
        <v>925</v>
      </c>
      <c r="D317" s="2" t="s">
        <v>40</v>
      </c>
      <c r="E317" s="2" t="s">
        <v>23</v>
      </c>
      <c r="F317" s="2">
        <v>22</v>
      </c>
      <c r="G317" s="7">
        <v>31.31</v>
      </c>
      <c r="H317" s="7">
        <v>619.94000000000005</v>
      </c>
      <c r="I317" s="2">
        <v>10</v>
      </c>
      <c r="J317" s="2" t="s">
        <v>46</v>
      </c>
      <c r="K317" s="2" t="s">
        <v>244</v>
      </c>
      <c r="L317" s="1" t="s">
        <v>2347</v>
      </c>
      <c r="M317" s="1" t="str">
        <f t="shared" si="12"/>
        <v>Online Payment</v>
      </c>
      <c r="N317" s="2" t="str">
        <f t="shared" si="13"/>
        <v>Accessories</v>
      </c>
      <c r="O317" s="1" t="str">
        <f t="shared" si="14"/>
        <v>High Stock</v>
      </c>
    </row>
    <row r="318" spans="1:15" x14ac:dyDescent="0.3">
      <c r="A318" s="5">
        <v>45915</v>
      </c>
      <c r="B318" s="2" t="s">
        <v>927</v>
      </c>
      <c r="C318" s="2" t="s">
        <v>928</v>
      </c>
      <c r="D318" s="2" t="s">
        <v>14</v>
      </c>
      <c r="E318" s="2" t="s">
        <v>15</v>
      </c>
      <c r="F318" s="2">
        <v>31</v>
      </c>
      <c r="G318" s="7">
        <v>96.35</v>
      </c>
      <c r="H318" s="7">
        <v>2986.85</v>
      </c>
      <c r="I318" s="2">
        <v>0</v>
      </c>
      <c r="J318" s="2" t="s">
        <v>46</v>
      </c>
      <c r="K318" s="2" t="s">
        <v>124</v>
      </c>
      <c r="L318" s="2" t="s">
        <v>69</v>
      </c>
      <c r="M318" s="2" t="str">
        <f t="shared" si="12"/>
        <v>Debit Card</v>
      </c>
      <c r="N318" s="2" t="str">
        <f t="shared" si="13"/>
        <v>Peripherals</v>
      </c>
      <c r="O318" s="2" t="str">
        <f t="shared" si="14"/>
        <v>High Stock</v>
      </c>
    </row>
    <row r="319" spans="1:15" x14ac:dyDescent="0.3">
      <c r="A319" s="5">
        <v>45752</v>
      </c>
      <c r="B319" s="2" t="s">
        <v>930</v>
      </c>
      <c r="C319" s="2" t="s">
        <v>150</v>
      </c>
      <c r="D319" s="2" t="s">
        <v>34</v>
      </c>
      <c r="E319" s="2" t="s">
        <v>35</v>
      </c>
      <c r="F319" s="2">
        <v>9</v>
      </c>
      <c r="G319" s="7">
        <v>426.04</v>
      </c>
      <c r="H319" s="7">
        <v>3834.36</v>
      </c>
      <c r="I319" s="2">
        <v>0</v>
      </c>
      <c r="J319" s="2" t="s">
        <v>16</v>
      </c>
      <c r="K319" s="2" t="s">
        <v>160</v>
      </c>
      <c r="L319" s="2" t="s">
        <v>69</v>
      </c>
      <c r="M319" s="2" t="str">
        <f t="shared" si="12"/>
        <v>Debit Card</v>
      </c>
      <c r="N319" s="2" t="str">
        <f t="shared" si="13"/>
        <v>Electronics</v>
      </c>
      <c r="O319" s="2" t="str">
        <f t="shared" si="14"/>
        <v>Low Stock</v>
      </c>
    </row>
    <row r="320" spans="1:15" x14ac:dyDescent="0.3">
      <c r="A320" s="5">
        <v>45937</v>
      </c>
      <c r="B320" s="2" t="s">
        <v>931</v>
      </c>
      <c r="C320" s="2" t="s">
        <v>932</v>
      </c>
      <c r="D320" s="2" t="s">
        <v>22</v>
      </c>
      <c r="E320" s="2" t="s">
        <v>23</v>
      </c>
      <c r="F320" s="2">
        <v>24</v>
      </c>
      <c r="G320" s="7">
        <v>29.35</v>
      </c>
      <c r="H320" s="7">
        <v>563.52</v>
      </c>
      <c r="I320" s="2">
        <v>20</v>
      </c>
      <c r="J320" s="2" t="s">
        <v>16</v>
      </c>
      <c r="K320" s="2" t="s">
        <v>160</v>
      </c>
      <c r="L320" s="1" t="s">
        <v>2347</v>
      </c>
      <c r="M320" s="1" t="str">
        <f t="shared" si="12"/>
        <v>Online Payment</v>
      </c>
      <c r="N320" s="2" t="str">
        <f t="shared" si="13"/>
        <v>Accessories</v>
      </c>
      <c r="O320" s="1" t="str">
        <f t="shared" si="14"/>
        <v>High Stock</v>
      </c>
    </row>
    <row r="321" spans="1:15" x14ac:dyDescent="0.3">
      <c r="A321" s="5">
        <v>46020</v>
      </c>
      <c r="B321" s="2" t="s">
        <v>934</v>
      </c>
      <c r="C321" s="2" t="s">
        <v>935</v>
      </c>
      <c r="D321" s="2" t="s">
        <v>52</v>
      </c>
      <c r="E321" s="2" t="s">
        <v>35</v>
      </c>
      <c r="F321" s="2">
        <v>30</v>
      </c>
      <c r="G321" s="7">
        <v>203.5</v>
      </c>
      <c r="H321" s="7">
        <v>6105</v>
      </c>
      <c r="I321" s="2">
        <v>0</v>
      </c>
      <c r="J321" s="2" t="s">
        <v>53</v>
      </c>
      <c r="K321" s="2" t="s">
        <v>141</v>
      </c>
      <c r="L321" s="2" t="s">
        <v>49</v>
      </c>
      <c r="M321" s="2" t="str">
        <f t="shared" si="12"/>
        <v>Check</v>
      </c>
      <c r="N321" s="2" t="str">
        <f t="shared" si="13"/>
        <v>Electronics</v>
      </c>
      <c r="O321" s="2" t="str">
        <f t="shared" si="14"/>
        <v>High Stock</v>
      </c>
    </row>
    <row r="322" spans="1:15" x14ac:dyDescent="0.3">
      <c r="A322" s="5">
        <v>46197</v>
      </c>
      <c r="B322" s="2" t="s">
        <v>936</v>
      </c>
      <c r="C322" s="2" t="s">
        <v>166</v>
      </c>
      <c r="D322" s="1" t="s">
        <v>95</v>
      </c>
      <c r="E322" s="2" t="s">
        <v>35</v>
      </c>
      <c r="F322" s="2">
        <v>22</v>
      </c>
      <c r="G322" s="7">
        <v>283.44</v>
      </c>
      <c r="H322" s="7">
        <v>5612.11</v>
      </c>
      <c r="I322" s="2">
        <v>10</v>
      </c>
      <c r="J322" s="2" t="s">
        <v>16</v>
      </c>
      <c r="K322" s="2" t="s">
        <v>111</v>
      </c>
      <c r="L322" s="2" t="s">
        <v>31</v>
      </c>
      <c r="M322" s="2" t="str">
        <f t="shared" si="12"/>
        <v>Credit Card</v>
      </c>
      <c r="N322" s="2" t="str">
        <f t="shared" si="13"/>
        <v>Electronics</v>
      </c>
      <c r="O322" s="2" t="str">
        <f t="shared" si="14"/>
        <v>High Stock</v>
      </c>
    </row>
    <row r="323" spans="1:15" x14ac:dyDescent="0.3">
      <c r="A323" s="5">
        <v>45928</v>
      </c>
      <c r="B323" s="2" t="s">
        <v>938</v>
      </c>
      <c r="C323" s="2" t="s">
        <v>939</v>
      </c>
      <c r="D323" s="2" t="s">
        <v>123</v>
      </c>
      <c r="E323" s="2" t="s">
        <v>15</v>
      </c>
      <c r="F323" s="2">
        <v>15</v>
      </c>
      <c r="G323" s="7">
        <v>42.02</v>
      </c>
      <c r="H323" s="7">
        <v>630.29999999999995</v>
      </c>
      <c r="I323" s="2">
        <v>0</v>
      </c>
      <c r="J323" s="2" t="s">
        <v>46</v>
      </c>
      <c r="K323" s="2" t="s">
        <v>83</v>
      </c>
      <c r="L323" s="2" t="s">
        <v>69</v>
      </c>
      <c r="M323" s="2" t="str">
        <f t="shared" ref="M323:M386" si="15">TRIM(L323)</f>
        <v>Debit Card</v>
      </c>
      <c r="N323" s="2" t="str">
        <f t="shared" ref="N323:N386" si="16">PROPER(E323)</f>
        <v>Peripherals</v>
      </c>
      <c r="O323" s="2" t="str">
        <f t="shared" ref="O323:O386" si="17">IF(F323&gt;15,"High Stock","Low Stock")</f>
        <v>Low Stock</v>
      </c>
    </row>
    <row r="324" spans="1:15" x14ac:dyDescent="0.3">
      <c r="A324" s="5">
        <v>45735</v>
      </c>
      <c r="B324" s="2" t="s">
        <v>940</v>
      </c>
      <c r="C324" s="2" t="s">
        <v>941</v>
      </c>
      <c r="D324" s="2" t="s">
        <v>123</v>
      </c>
      <c r="E324" s="2" t="s">
        <v>15</v>
      </c>
      <c r="F324" s="2">
        <v>47</v>
      </c>
      <c r="G324" s="7">
        <v>24.28</v>
      </c>
      <c r="H324" s="7">
        <v>1084.0999999999999</v>
      </c>
      <c r="I324" s="2">
        <v>5</v>
      </c>
      <c r="J324" s="2" t="s">
        <v>16</v>
      </c>
      <c r="K324" s="2" t="s">
        <v>74</v>
      </c>
      <c r="L324" s="2" t="s">
        <v>31</v>
      </c>
      <c r="M324" s="2" t="str">
        <f t="shared" si="15"/>
        <v>Credit Card</v>
      </c>
      <c r="N324" s="2" t="str">
        <f t="shared" si="16"/>
        <v>Peripherals</v>
      </c>
      <c r="O324" s="2" t="str">
        <f t="shared" si="17"/>
        <v>High Stock</v>
      </c>
    </row>
    <row r="325" spans="1:15" x14ac:dyDescent="0.3">
      <c r="A325" s="5">
        <v>45609</v>
      </c>
      <c r="B325" s="2" t="s">
        <v>943</v>
      </c>
      <c r="C325" s="2" t="s">
        <v>944</v>
      </c>
      <c r="D325" s="2" t="s">
        <v>90</v>
      </c>
      <c r="E325" s="2" t="s">
        <v>23</v>
      </c>
      <c r="F325" s="2">
        <v>29</v>
      </c>
      <c r="G325" s="7">
        <v>35.76</v>
      </c>
      <c r="H325" s="7">
        <v>881.48</v>
      </c>
      <c r="I325" s="2">
        <v>15</v>
      </c>
      <c r="J325" s="2" t="s">
        <v>24</v>
      </c>
      <c r="K325" s="2" t="s">
        <v>104</v>
      </c>
      <c r="L325" s="1" t="s">
        <v>2347</v>
      </c>
      <c r="M325" s="1" t="str">
        <f t="shared" si="15"/>
        <v>Online Payment</v>
      </c>
      <c r="N325" s="2" t="str">
        <f t="shared" si="16"/>
        <v>Accessories</v>
      </c>
      <c r="O325" s="1" t="str">
        <f t="shared" si="17"/>
        <v>High Stock</v>
      </c>
    </row>
    <row r="326" spans="1:15" x14ac:dyDescent="0.3">
      <c r="A326" s="5">
        <v>46079</v>
      </c>
      <c r="B326" s="2" t="s">
        <v>946</v>
      </c>
      <c r="C326" s="2" t="s">
        <v>947</v>
      </c>
      <c r="D326" s="2" t="s">
        <v>82</v>
      </c>
      <c r="E326" s="2" t="s">
        <v>73</v>
      </c>
      <c r="F326" s="2">
        <v>5</v>
      </c>
      <c r="G326" s="7">
        <v>376.56</v>
      </c>
      <c r="H326" s="7">
        <v>1600.38</v>
      </c>
      <c r="I326" s="2">
        <v>15</v>
      </c>
      <c r="J326" s="2" t="s">
        <v>46</v>
      </c>
      <c r="K326" s="2" t="s">
        <v>78</v>
      </c>
      <c r="L326" s="2" t="s">
        <v>49</v>
      </c>
      <c r="M326" s="2" t="str">
        <f t="shared" si="15"/>
        <v>Check</v>
      </c>
      <c r="N326" s="2" t="str">
        <f t="shared" si="16"/>
        <v>Furniture</v>
      </c>
      <c r="O326" s="2" t="str">
        <f t="shared" si="17"/>
        <v>Low Stock</v>
      </c>
    </row>
    <row r="327" spans="1:15" x14ac:dyDescent="0.3">
      <c r="A327" s="5">
        <v>45913</v>
      </c>
      <c r="B327" s="2" t="s">
        <v>948</v>
      </c>
      <c r="C327" s="2" t="s">
        <v>949</v>
      </c>
      <c r="D327" s="2" t="s">
        <v>82</v>
      </c>
      <c r="E327" s="2" t="s">
        <v>73</v>
      </c>
      <c r="F327" s="2">
        <v>18</v>
      </c>
      <c r="G327" s="7">
        <v>495.9</v>
      </c>
      <c r="H327" s="7">
        <v>8926.2000000000007</v>
      </c>
      <c r="I327" s="2">
        <v>0</v>
      </c>
      <c r="J327" s="2" t="s">
        <v>53</v>
      </c>
      <c r="K327" s="2" t="s">
        <v>54</v>
      </c>
      <c r="L327" s="2" t="s">
        <v>31</v>
      </c>
      <c r="M327" s="2" t="str">
        <f t="shared" si="15"/>
        <v>Credit Card</v>
      </c>
      <c r="N327" s="2" t="str">
        <f t="shared" si="16"/>
        <v>Furniture</v>
      </c>
      <c r="O327" s="2" t="str">
        <f t="shared" si="17"/>
        <v>High Stock</v>
      </c>
    </row>
    <row r="328" spans="1:15" x14ac:dyDescent="0.3">
      <c r="A328" s="5">
        <v>46009</v>
      </c>
      <c r="B328" s="2" t="s">
        <v>951</v>
      </c>
      <c r="C328" s="2" t="s">
        <v>952</v>
      </c>
      <c r="D328" s="2" t="s">
        <v>123</v>
      </c>
      <c r="E328" s="2" t="s">
        <v>15</v>
      </c>
      <c r="F328" s="2">
        <v>39</v>
      </c>
      <c r="G328" s="7">
        <v>30.3</v>
      </c>
      <c r="H328" s="7">
        <v>1004.45</v>
      </c>
      <c r="I328" s="2">
        <v>15</v>
      </c>
      <c r="J328" s="2" t="s">
        <v>24</v>
      </c>
      <c r="K328" s="2" t="s">
        <v>25</v>
      </c>
      <c r="L328" s="2" t="s">
        <v>49</v>
      </c>
      <c r="M328" s="2" t="str">
        <f t="shared" si="15"/>
        <v>Check</v>
      </c>
      <c r="N328" s="2" t="str">
        <f t="shared" si="16"/>
        <v>Peripherals</v>
      </c>
      <c r="O328" s="2" t="str">
        <f t="shared" si="17"/>
        <v>High Stock</v>
      </c>
    </row>
    <row r="329" spans="1:15" x14ac:dyDescent="0.3">
      <c r="A329" s="5">
        <v>45723</v>
      </c>
      <c r="B329" s="2" t="s">
        <v>954</v>
      </c>
      <c r="C329" s="2" t="s">
        <v>763</v>
      </c>
      <c r="D329" s="2" t="s">
        <v>40</v>
      </c>
      <c r="E329" s="2" t="s">
        <v>23</v>
      </c>
      <c r="F329" s="2">
        <v>24</v>
      </c>
      <c r="G329" s="7">
        <v>51.39</v>
      </c>
      <c r="H329" s="7">
        <v>1233.3599999999999</v>
      </c>
      <c r="I329" s="2">
        <v>0</v>
      </c>
      <c r="J329" s="2" t="s">
        <v>46</v>
      </c>
      <c r="K329" s="2" t="s">
        <v>244</v>
      </c>
      <c r="L329" s="2" t="s">
        <v>31</v>
      </c>
      <c r="M329" s="2" t="str">
        <f t="shared" si="15"/>
        <v>Credit Card</v>
      </c>
      <c r="N329" s="2" t="str">
        <f t="shared" si="16"/>
        <v>Accessories</v>
      </c>
      <c r="O329" s="2" t="str">
        <f t="shared" si="17"/>
        <v>High Stock</v>
      </c>
    </row>
    <row r="330" spans="1:15" x14ac:dyDescent="0.3">
      <c r="A330" s="5">
        <v>46043</v>
      </c>
      <c r="B330" s="2" t="s">
        <v>956</v>
      </c>
      <c r="C330" s="2" t="s">
        <v>957</v>
      </c>
      <c r="D330" s="1" t="s">
        <v>95</v>
      </c>
      <c r="E330" s="2" t="s">
        <v>35</v>
      </c>
      <c r="F330" s="2">
        <v>17</v>
      </c>
      <c r="G330" s="7">
        <v>939.17</v>
      </c>
      <c r="H330" s="7">
        <v>15167.6</v>
      </c>
      <c r="I330" s="2">
        <v>5</v>
      </c>
      <c r="J330" s="2" t="s">
        <v>16</v>
      </c>
      <c r="K330" s="2" t="s">
        <v>17</v>
      </c>
      <c r="L330" s="2" t="s">
        <v>31</v>
      </c>
      <c r="M330" s="2" t="str">
        <f t="shared" si="15"/>
        <v>Credit Card</v>
      </c>
      <c r="N330" s="2" t="str">
        <f t="shared" si="16"/>
        <v>Electronics</v>
      </c>
      <c r="O330" s="2" t="str">
        <f t="shared" si="17"/>
        <v>High Stock</v>
      </c>
    </row>
    <row r="331" spans="1:15" x14ac:dyDescent="0.3">
      <c r="A331" s="5">
        <v>45595</v>
      </c>
      <c r="B331" s="2" t="s">
        <v>959</v>
      </c>
      <c r="C331" s="2" t="s">
        <v>960</v>
      </c>
      <c r="D331" s="2" t="s">
        <v>45</v>
      </c>
      <c r="E331" s="2" t="s">
        <v>23</v>
      </c>
      <c r="F331" s="2">
        <v>1</v>
      </c>
      <c r="G331" s="7">
        <v>89.37</v>
      </c>
      <c r="H331" s="7">
        <v>71.5</v>
      </c>
      <c r="I331" s="2">
        <v>20</v>
      </c>
      <c r="J331" s="2" t="s">
        <v>53</v>
      </c>
      <c r="K331" s="2" t="s">
        <v>141</v>
      </c>
      <c r="L331" s="2" t="s">
        <v>31</v>
      </c>
      <c r="M331" s="2" t="str">
        <f t="shared" si="15"/>
        <v>Credit Card</v>
      </c>
      <c r="N331" s="2" t="str">
        <f t="shared" si="16"/>
        <v>Accessories</v>
      </c>
      <c r="O331" s="2" t="str">
        <f t="shared" si="17"/>
        <v>Low Stock</v>
      </c>
    </row>
    <row r="332" spans="1:15" x14ac:dyDescent="0.3">
      <c r="A332" s="5">
        <v>45968</v>
      </c>
      <c r="B332" s="2" t="s">
        <v>962</v>
      </c>
      <c r="C332" s="2" t="s">
        <v>963</v>
      </c>
      <c r="D332" s="2" t="s">
        <v>103</v>
      </c>
      <c r="E332" s="2" t="s">
        <v>35</v>
      </c>
      <c r="F332" s="2">
        <v>8</v>
      </c>
      <c r="G332" s="7">
        <v>303.57</v>
      </c>
      <c r="H332" s="7">
        <v>2185.6999999999998</v>
      </c>
      <c r="I332" s="2">
        <v>10</v>
      </c>
      <c r="J332" s="2" t="s">
        <v>53</v>
      </c>
      <c r="K332" s="2" t="s">
        <v>67</v>
      </c>
      <c r="L332" s="2" t="s">
        <v>69</v>
      </c>
      <c r="M332" s="2" t="str">
        <f t="shared" si="15"/>
        <v>Debit Card</v>
      </c>
      <c r="N332" s="2" t="str">
        <f t="shared" si="16"/>
        <v>Electronics</v>
      </c>
      <c r="O332" s="2" t="str">
        <f t="shared" si="17"/>
        <v>Low Stock</v>
      </c>
    </row>
    <row r="333" spans="1:15" x14ac:dyDescent="0.3">
      <c r="A333" s="5">
        <v>46061</v>
      </c>
      <c r="B333" s="2" t="s">
        <v>965</v>
      </c>
      <c r="C333" s="2" t="s">
        <v>966</v>
      </c>
      <c r="D333" s="2" t="s">
        <v>123</v>
      </c>
      <c r="E333" s="2" t="s">
        <v>15</v>
      </c>
      <c r="F333" s="2">
        <v>31</v>
      </c>
      <c r="G333" s="7">
        <v>32.93</v>
      </c>
      <c r="H333" s="7">
        <v>1020.83</v>
      </c>
      <c r="I333" s="2">
        <v>0</v>
      </c>
      <c r="J333" s="2" t="s">
        <v>53</v>
      </c>
      <c r="K333" s="2" t="s">
        <v>170</v>
      </c>
      <c r="L333" s="2" t="s">
        <v>49</v>
      </c>
      <c r="M333" s="2" t="str">
        <f t="shared" si="15"/>
        <v>Check</v>
      </c>
      <c r="N333" s="2" t="str">
        <f t="shared" si="16"/>
        <v>Peripherals</v>
      </c>
      <c r="O333" s="2" t="str">
        <f t="shared" si="17"/>
        <v>High Stock</v>
      </c>
    </row>
    <row r="334" spans="1:15" x14ac:dyDescent="0.3">
      <c r="A334" s="5">
        <v>45599</v>
      </c>
      <c r="B334" s="2" t="s">
        <v>968</v>
      </c>
      <c r="C334" s="2" t="s">
        <v>969</v>
      </c>
      <c r="D334" s="1" t="s">
        <v>95</v>
      </c>
      <c r="E334" s="2" t="s">
        <v>35</v>
      </c>
      <c r="F334" s="2">
        <v>46</v>
      </c>
      <c r="G334" s="7">
        <v>493.25</v>
      </c>
      <c r="H334" s="7">
        <v>21555.03</v>
      </c>
      <c r="I334" s="2">
        <v>5</v>
      </c>
      <c r="J334" s="2" t="s">
        <v>16</v>
      </c>
      <c r="K334" s="2" t="s">
        <v>111</v>
      </c>
      <c r="L334" s="1" t="s">
        <v>2347</v>
      </c>
      <c r="M334" s="1" t="str">
        <f t="shared" si="15"/>
        <v>Online Payment</v>
      </c>
      <c r="N334" s="2" t="str">
        <f t="shared" si="16"/>
        <v>Electronics</v>
      </c>
      <c r="O334" s="1" t="str">
        <f t="shared" si="17"/>
        <v>High Stock</v>
      </c>
    </row>
    <row r="335" spans="1:15" x14ac:dyDescent="0.3">
      <c r="A335" s="5">
        <v>46008</v>
      </c>
      <c r="B335" s="2" t="s">
        <v>970</v>
      </c>
      <c r="C335" s="2" t="s">
        <v>971</v>
      </c>
      <c r="D335" s="2" t="s">
        <v>40</v>
      </c>
      <c r="E335" s="2" t="s">
        <v>23</v>
      </c>
      <c r="F335" s="2">
        <v>25</v>
      </c>
      <c r="G335" s="7">
        <v>41.44</v>
      </c>
      <c r="H335" s="7">
        <v>984.2</v>
      </c>
      <c r="I335" s="2">
        <v>5</v>
      </c>
      <c r="J335" s="2" t="s">
        <v>24</v>
      </c>
      <c r="K335" s="2" t="s">
        <v>104</v>
      </c>
      <c r="L335" s="2" t="s">
        <v>49</v>
      </c>
      <c r="M335" s="2" t="str">
        <f t="shared" si="15"/>
        <v>Check</v>
      </c>
      <c r="N335" s="2" t="str">
        <f t="shared" si="16"/>
        <v>Accessories</v>
      </c>
      <c r="O335" s="2" t="str">
        <f t="shared" si="17"/>
        <v>High Stock</v>
      </c>
    </row>
    <row r="336" spans="1:15" x14ac:dyDescent="0.3">
      <c r="A336" s="5">
        <v>46254</v>
      </c>
      <c r="B336" s="2" t="s">
        <v>972</v>
      </c>
      <c r="C336" s="2" t="s">
        <v>102</v>
      </c>
      <c r="D336" s="2" t="s">
        <v>14</v>
      </c>
      <c r="E336" s="2" t="s">
        <v>15</v>
      </c>
      <c r="F336" s="2">
        <v>40</v>
      </c>
      <c r="G336" s="7">
        <v>85.84</v>
      </c>
      <c r="H336" s="7">
        <v>3261.92</v>
      </c>
      <c r="I336" s="2">
        <v>5</v>
      </c>
      <c r="J336" s="2" t="s">
        <v>53</v>
      </c>
      <c r="K336" s="2" t="s">
        <v>134</v>
      </c>
      <c r="L336" s="2" t="s">
        <v>49</v>
      </c>
      <c r="M336" s="2" t="str">
        <f t="shared" si="15"/>
        <v>Check</v>
      </c>
      <c r="N336" s="2" t="str">
        <f t="shared" si="16"/>
        <v>Peripherals</v>
      </c>
      <c r="O336" s="2" t="str">
        <f t="shared" si="17"/>
        <v>High Stock</v>
      </c>
    </row>
    <row r="337" spans="1:15" x14ac:dyDescent="0.3">
      <c r="A337" s="5">
        <v>45990</v>
      </c>
      <c r="B337" s="2" t="s">
        <v>973</v>
      </c>
      <c r="C337" s="2" t="s">
        <v>974</v>
      </c>
      <c r="D337" s="2" t="s">
        <v>123</v>
      </c>
      <c r="E337" s="2" t="s">
        <v>15</v>
      </c>
      <c r="F337" s="2">
        <v>6</v>
      </c>
      <c r="G337" s="7">
        <v>34.479999999999997</v>
      </c>
      <c r="H337" s="7">
        <v>186.19</v>
      </c>
      <c r="I337" s="2">
        <v>10</v>
      </c>
      <c r="J337" s="2" t="s">
        <v>46</v>
      </c>
      <c r="K337" s="2" t="s">
        <v>83</v>
      </c>
      <c r="L337" s="2" t="s">
        <v>31</v>
      </c>
      <c r="M337" s="2" t="str">
        <f t="shared" si="15"/>
        <v>Credit Card</v>
      </c>
      <c r="N337" s="2" t="str">
        <f t="shared" si="16"/>
        <v>Peripherals</v>
      </c>
      <c r="O337" s="2" t="str">
        <f t="shared" si="17"/>
        <v>Low Stock</v>
      </c>
    </row>
    <row r="338" spans="1:15" x14ac:dyDescent="0.3">
      <c r="A338" s="5">
        <v>46101</v>
      </c>
      <c r="B338" s="2" t="s">
        <v>976</v>
      </c>
      <c r="C338" s="2" t="s">
        <v>977</v>
      </c>
      <c r="D338" s="2" t="s">
        <v>45</v>
      </c>
      <c r="E338" s="2" t="s">
        <v>23</v>
      </c>
      <c r="F338" s="2">
        <v>36</v>
      </c>
      <c r="G338" s="7">
        <v>93.14</v>
      </c>
      <c r="H338" s="7">
        <v>3353.04</v>
      </c>
      <c r="I338" s="2">
        <v>0</v>
      </c>
      <c r="J338" s="2" t="s">
        <v>46</v>
      </c>
      <c r="K338" s="2" t="s">
        <v>47</v>
      </c>
      <c r="L338" s="2" t="s">
        <v>69</v>
      </c>
      <c r="M338" s="2" t="str">
        <f t="shared" si="15"/>
        <v>Debit Card</v>
      </c>
      <c r="N338" s="2" t="str">
        <f t="shared" si="16"/>
        <v>Accessories</v>
      </c>
      <c r="O338" s="2" t="str">
        <f t="shared" si="17"/>
        <v>High Stock</v>
      </c>
    </row>
    <row r="339" spans="1:15" x14ac:dyDescent="0.3">
      <c r="A339" s="5">
        <v>45883</v>
      </c>
      <c r="B339" s="2" t="s">
        <v>979</v>
      </c>
      <c r="C339" s="2" t="s">
        <v>980</v>
      </c>
      <c r="D339" s="1" t="s">
        <v>95</v>
      </c>
      <c r="E339" s="2" t="s">
        <v>35</v>
      </c>
      <c r="F339" s="2">
        <v>10</v>
      </c>
      <c r="G339" s="7">
        <v>1124</v>
      </c>
      <c r="H339" s="7">
        <v>10116</v>
      </c>
      <c r="I339" s="2">
        <v>10</v>
      </c>
      <c r="J339" s="2" t="s">
        <v>46</v>
      </c>
      <c r="K339" s="2" t="s">
        <v>124</v>
      </c>
      <c r="L339" s="2" t="s">
        <v>69</v>
      </c>
      <c r="M339" s="2" t="str">
        <f t="shared" si="15"/>
        <v>Debit Card</v>
      </c>
      <c r="N339" s="2" t="str">
        <f t="shared" si="16"/>
        <v>Electronics</v>
      </c>
      <c r="O339" s="2" t="str">
        <f t="shared" si="17"/>
        <v>Low Stock</v>
      </c>
    </row>
    <row r="340" spans="1:15" x14ac:dyDescent="0.3">
      <c r="A340" s="5">
        <v>45723</v>
      </c>
      <c r="B340" s="2" t="s">
        <v>981</v>
      </c>
      <c r="C340" s="2" t="s">
        <v>982</v>
      </c>
      <c r="D340" s="1" t="s">
        <v>95</v>
      </c>
      <c r="E340" s="2" t="s">
        <v>35</v>
      </c>
      <c r="F340" s="2">
        <v>32</v>
      </c>
      <c r="G340" s="7">
        <v>1124.83</v>
      </c>
      <c r="H340" s="7">
        <v>30595.38</v>
      </c>
      <c r="I340" s="2">
        <v>15</v>
      </c>
      <c r="J340" s="2" t="s">
        <v>53</v>
      </c>
      <c r="K340" s="2" t="s">
        <v>141</v>
      </c>
      <c r="L340" s="1" t="s">
        <v>2347</v>
      </c>
      <c r="M340" s="1" t="str">
        <f t="shared" si="15"/>
        <v>Online Payment</v>
      </c>
      <c r="N340" s="2" t="str">
        <f t="shared" si="16"/>
        <v>Electronics</v>
      </c>
      <c r="O340" s="1" t="str">
        <f t="shared" si="17"/>
        <v>High Stock</v>
      </c>
    </row>
    <row r="341" spans="1:15" x14ac:dyDescent="0.3">
      <c r="A341" s="5">
        <v>45859</v>
      </c>
      <c r="B341" s="2" t="s">
        <v>983</v>
      </c>
      <c r="C341" s="2" t="s">
        <v>984</v>
      </c>
      <c r="D341" s="2" t="s">
        <v>103</v>
      </c>
      <c r="E341" s="2" t="s">
        <v>35</v>
      </c>
      <c r="F341" s="2">
        <v>25</v>
      </c>
      <c r="G341" s="7">
        <v>399.92</v>
      </c>
      <c r="H341" s="7">
        <v>9998</v>
      </c>
      <c r="I341" s="2">
        <v>0</v>
      </c>
      <c r="J341" s="2" t="s">
        <v>24</v>
      </c>
      <c r="K341" s="2" t="s">
        <v>104</v>
      </c>
      <c r="L341" s="2" t="s">
        <v>27</v>
      </c>
      <c r="M341" s="2" t="str">
        <f t="shared" si="15"/>
        <v>Cash</v>
      </c>
      <c r="N341" s="2" t="str">
        <f t="shared" si="16"/>
        <v>Electronics</v>
      </c>
      <c r="O341" s="2" t="str">
        <f t="shared" si="17"/>
        <v>High Stock</v>
      </c>
    </row>
    <row r="342" spans="1:15" x14ac:dyDescent="0.3">
      <c r="A342" s="5">
        <v>45619</v>
      </c>
      <c r="B342" s="2" t="s">
        <v>985</v>
      </c>
      <c r="C342" s="2" t="s">
        <v>291</v>
      </c>
      <c r="D342" s="2" t="s">
        <v>52</v>
      </c>
      <c r="E342" s="2" t="s">
        <v>35</v>
      </c>
      <c r="F342" s="2">
        <v>44</v>
      </c>
      <c r="G342" s="7">
        <v>153.82</v>
      </c>
      <c r="H342" s="7">
        <v>6429.68</v>
      </c>
      <c r="I342" s="2">
        <v>5</v>
      </c>
      <c r="J342" s="2" t="s">
        <v>24</v>
      </c>
      <c r="K342" s="2" t="s">
        <v>25</v>
      </c>
      <c r="L342" s="2" t="s">
        <v>49</v>
      </c>
      <c r="M342" s="2" t="str">
        <f t="shared" si="15"/>
        <v>Check</v>
      </c>
      <c r="N342" s="2" t="str">
        <f t="shared" si="16"/>
        <v>Electronics</v>
      </c>
      <c r="O342" s="2" t="str">
        <f t="shared" si="17"/>
        <v>High Stock</v>
      </c>
    </row>
    <row r="343" spans="1:15" x14ac:dyDescent="0.3">
      <c r="A343" s="5">
        <v>46257</v>
      </c>
      <c r="B343" s="2" t="s">
        <v>987</v>
      </c>
      <c r="C343" s="2" t="s">
        <v>988</v>
      </c>
      <c r="D343" s="2" t="s">
        <v>34</v>
      </c>
      <c r="E343" s="2" t="s">
        <v>35</v>
      </c>
      <c r="F343" s="2">
        <v>8</v>
      </c>
      <c r="G343" s="7">
        <v>773.86</v>
      </c>
      <c r="H343" s="7">
        <v>4952.7</v>
      </c>
      <c r="I343" s="2">
        <v>20</v>
      </c>
      <c r="J343" s="2" t="s">
        <v>46</v>
      </c>
      <c r="K343" s="2" t="s">
        <v>78</v>
      </c>
      <c r="L343" s="2" t="s">
        <v>49</v>
      </c>
      <c r="M343" s="2" t="str">
        <f t="shared" si="15"/>
        <v>Check</v>
      </c>
      <c r="N343" s="2" t="str">
        <f t="shared" si="16"/>
        <v>Electronics</v>
      </c>
      <c r="O343" s="2" t="str">
        <f t="shared" si="17"/>
        <v>Low Stock</v>
      </c>
    </row>
    <row r="344" spans="1:15" x14ac:dyDescent="0.3">
      <c r="A344" s="5">
        <v>45888</v>
      </c>
      <c r="B344" s="2" t="s">
        <v>990</v>
      </c>
      <c r="C344" s="2" t="s">
        <v>991</v>
      </c>
      <c r="D344" s="2" t="s">
        <v>22</v>
      </c>
      <c r="E344" s="2" t="s">
        <v>23</v>
      </c>
      <c r="F344" s="2">
        <v>39</v>
      </c>
      <c r="G344" s="7">
        <v>29.49</v>
      </c>
      <c r="H344" s="7">
        <v>1150.1099999999999</v>
      </c>
      <c r="I344" s="2">
        <v>0</v>
      </c>
      <c r="J344" s="2" t="s">
        <v>16</v>
      </c>
      <c r="K344" s="2" t="s">
        <v>91</v>
      </c>
      <c r="L344" s="2" t="s">
        <v>31</v>
      </c>
      <c r="M344" s="2" t="str">
        <f t="shared" si="15"/>
        <v>Credit Card</v>
      </c>
      <c r="N344" s="2" t="str">
        <f t="shared" si="16"/>
        <v>Accessories</v>
      </c>
      <c r="O344" s="2" t="str">
        <f t="shared" si="17"/>
        <v>High Stock</v>
      </c>
    </row>
    <row r="345" spans="1:15" x14ac:dyDescent="0.3">
      <c r="A345" s="5">
        <v>45794</v>
      </c>
      <c r="B345" s="2" t="s">
        <v>993</v>
      </c>
      <c r="C345" s="2" t="s">
        <v>994</v>
      </c>
      <c r="D345" s="2" t="s">
        <v>90</v>
      </c>
      <c r="E345" s="2" t="s">
        <v>23</v>
      </c>
      <c r="F345" s="2">
        <v>4</v>
      </c>
      <c r="G345" s="7">
        <v>28.57</v>
      </c>
      <c r="H345" s="7">
        <v>97.14</v>
      </c>
      <c r="I345" s="2">
        <v>15</v>
      </c>
      <c r="J345" s="2" t="s">
        <v>46</v>
      </c>
      <c r="K345" s="2" t="s">
        <v>124</v>
      </c>
      <c r="L345" s="1" t="s">
        <v>2347</v>
      </c>
      <c r="M345" s="1" t="str">
        <f t="shared" si="15"/>
        <v>Online Payment</v>
      </c>
      <c r="N345" s="2" t="str">
        <f t="shared" si="16"/>
        <v>Accessories</v>
      </c>
      <c r="O345" s="1" t="str">
        <f t="shared" si="17"/>
        <v>Low Stock</v>
      </c>
    </row>
    <row r="346" spans="1:15" x14ac:dyDescent="0.3">
      <c r="A346" s="5">
        <v>45939</v>
      </c>
      <c r="B346" s="2" t="s">
        <v>995</v>
      </c>
      <c r="C346" s="2" t="s">
        <v>996</v>
      </c>
      <c r="D346" s="2" t="s">
        <v>99</v>
      </c>
      <c r="E346" s="2" t="s">
        <v>23</v>
      </c>
      <c r="F346" s="2">
        <v>29</v>
      </c>
      <c r="G346" s="7">
        <v>26.95</v>
      </c>
      <c r="H346" s="7">
        <v>664.32</v>
      </c>
      <c r="I346" s="2">
        <v>15</v>
      </c>
      <c r="J346" s="2" t="s">
        <v>24</v>
      </c>
      <c r="K346" s="2" t="s">
        <v>25</v>
      </c>
      <c r="L346" s="2" t="s">
        <v>49</v>
      </c>
      <c r="M346" s="2" t="str">
        <f t="shared" si="15"/>
        <v>Check</v>
      </c>
      <c r="N346" s="2" t="str">
        <f t="shared" si="16"/>
        <v>Accessories</v>
      </c>
      <c r="O346" s="2" t="str">
        <f t="shared" si="17"/>
        <v>High Stock</v>
      </c>
    </row>
    <row r="347" spans="1:15" x14ac:dyDescent="0.3">
      <c r="A347" s="5">
        <v>45904</v>
      </c>
      <c r="B347" s="2" t="s">
        <v>997</v>
      </c>
      <c r="C347" s="2" t="s">
        <v>998</v>
      </c>
      <c r="D347" s="2" t="s">
        <v>123</v>
      </c>
      <c r="E347" s="2" t="s">
        <v>15</v>
      </c>
      <c r="F347" s="2">
        <v>7</v>
      </c>
      <c r="G347" s="7">
        <v>16.32</v>
      </c>
      <c r="H347" s="7">
        <v>91.39</v>
      </c>
      <c r="I347" s="2">
        <v>20</v>
      </c>
      <c r="J347" s="2" t="s">
        <v>24</v>
      </c>
      <c r="K347" s="2" t="s">
        <v>104</v>
      </c>
      <c r="L347" s="2" t="s">
        <v>69</v>
      </c>
      <c r="M347" s="2" t="str">
        <f t="shared" si="15"/>
        <v>Debit Card</v>
      </c>
      <c r="N347" s="2" t="str">
        <f t="shared" si="16"/>
        <v>Peripherals</v>
      </c>
      <c r="O347" s="2" t="str">
        <f t="shared" si="17"/>
        <v>Low Stock</v>
      </c>
    </row>
    <row r="348" spans="1:15" x14ac:dyDescent="0.3">
      <c r="A348" s="5">
        <v>45968</v>
      </c>
      <c r="B348" s="2" t="s">
        <v>1000</v>
      </c>
      <c r="C348" s="2" t="s">
        <v>1001</v>
      </c>
      <c r="D348" s="2" t="s">
        <v>103</v>
      </c>
      <c r="E348" s="2" t="s">
        <v>35</v>
      </c>
      <c r="F348" s="2">
        <v>32</v>
      </c>
      <c r="G348" s="7">
        <v>455.22</v>
      </c>
      <c r="H348" s="7">
        <v>14567.04</v>
      </c>
      <c r="I348" s="2">
        <v>0</v>
      </c>
      <c r="J348" s="2" t="s">
        <v>24</v>
      </c>
      <c r="K348" s="2" t="s">
        <v>41</v>
      </c>
      <c r="L348" s="2" t="s">
        <v>49</v>
      </c>
      <c r="M348" s="2" t="str">
        <f t="shared" si="15"/>
        <v>Check</v>
      </c>
      <c r="N348" s="2" t="str">
        <f t="shared" si="16"/>
        <v>Electronics</v>
      </c>
      <c r="O348" s="2" t="str">
        <f t="shared" si="17"/>
        <v>High Stock</v>
      </c>
    </row>
    <row r="349" spans="1:15" x14ac:dyDescent="0.3">
      <c r="A349" s="5">
        <v>46085</v>
      </c>
      <c r="B349" s="2" t="s">
        <v>1002</v>
      </c>
      <c r="C349" s="2" t="s">
        <v>1003</v>
      </c>
      <c r="D349" s="2" t="s">
        <v>72</v>
      </c>
      <c r="E349" s="2" t="s">
        <v>73</v>
      </c>
      <c r="F349" s="2">
        <v>13</v>
      </c>
      <c r="G349" s="7">
        <v>455.41</v>
      </c>
      <c r="H349" s="7">
        <v>5032.28</v>
      </c>
      <c r="I349" s="2">
        <v>15</v>
      </c>
      <c r="J349" s="2" t="s">
        <v>16</v>
      </c>
      <c r="K349" s="2" t="s">
        <v>17</v>
      </c>
      <c r="L349" s="2" t="s">
        <v>31</v>
      </c>
      <c r="M349" s="2" t="str">
        <f t="shared" si="15"/>
        <v>Credit Card</v>
      </c>
      <c r="N349" s="2" t="str">
        <f t="shared" si="16"/>
        <v>Furniture</v>
      </c>
      <c r="O349" s="2" t="str">
        <f t="shared" si="17"/>
        <v>Low Stock</v>
      </c>
    </row>
    <row r="350" spans="1:15" x14ac:dyDescent="0.3">
      <c r="A350" s="5">
        <v>45593</v>
      </c>
      <c r="B350" s="2" t="s">
        <v>1004</v>
      </c>
      <c r="C350" s="2" t="s">
        <v>1005</v>
      </c>
      <c r="D350" s="2" t="s">
        <v>52</v>
      </c>
      <c r="E350" s="2" t="s">
        <v>35</v>
      </c>
      <c r="F350" s="2">
        <v>22</v>
      </c>
      <c r="G350" s="7">
        <v>138.44999999999999</v>
      </c>
      <c r="H350" s="7">
        <v>2741.31</v>
      </c>
      <c r="I350" s="2">
        <v>10</v>
      </c>
      <c r="J350" s="2" t="s">
        <v>16</v>
      </c>
      <c r="K350" s="2" t="s">
        <v>91</v>
      </c>
      <c r="L350" s="2" t="s">
        <v>31</v>
      </c>
      <c r="M350" s="2" t="str">
        <f t="shared" si="15"/>
        <v>Credit Card</v>
      </c>
      <c r="N350" s="2" t="str">
        <f t="shared" si="16"/>
        <v>Electronics</v>
      </c>
      <c r="O350" s="2" t="str">
        <f t="shared" si="17"/>
        <v>High Stock</v>
      </c>
    </row>
    <row r="351" spans="1:15" x14ac:dyDescent="0.3">
      <c r="A351" s="5">
        <v>46040</v>
      </c>
      <c r="B351" s="2" t="s">
        <v>1007</v>
      </c>
      <c r="C351" s="2" t="s">
        <v>1008</v>
      </c>
      <c r="D351" s="1" t="s">
        <v>95</v>
      </c>
      <c r="E351" s="2" t="s">
        <v>35</v>
      </c>
      <c r="F351" s="2">
        <v>20</v>
      </c>
      <c r="G351" s="7">
        <v>1060.94</v>
      </c>
      <c r="H351" s="7">
        <v>21218.799999999999</v>
      </c>
      <c r="I351" s="2">
        <v>0</v>
      </c>
      <c r="J351" s="2" t="s">
        <v>24</v>
      </c>
      <c r="K351" s="2" t="s">
        <v>59</v>
      </c>
      <c r="L351" s="2" t="s">
        <v>31</v>
      </c>
      <c r="M351" s="2" t="str">
        <f t="shared" si="15"/>
        <v>Credit Card</v>
      </c>
      <c r="N351" s="2" t="str">
        <f t="shared" si="16"/>
        <v>Electronics</v>
      </c>
      <c r="O351" s="2" t="str">
        <f t="shared" si="17"/>
        <v>High Stock</v>
      </c>
    </row>
    <row r="352" spans="1:15" x14ac:dyDescent="0.3">
      <c r="A352" s="5">
        <v>45967</v>
      </c>
      <c r="B352" s="2" t="s">
        <v>1009</v>
      </c>
      <c r="C352" s="2" t="s">
        <v>1010</v>
      </c>
      <c r="D352" s="2" t="s">
        <v>82</v>
      </c>
      <c r="E352" s="2" t="s">
        <v>73</v>
      </c>
      <c r="F352" s="2">
        <v>12</v>
      </c>
      <c r="G352" s="7">
        <v>450.82</v>
      </c>
      <c r="H352" s="7">
        <v>4327.87</v>
      </c>
      <c r="I352" s="2">
        <v>20</v>
      </c>
      <c r="J352" s="2" t="s">
        <v>46</v>
      </c>
      <c r="K352" s="2" t="s">
        <v>244</v>
      </c>
      <c r="L352" s="1" t="s">
        <v>2347</v>
      </c>
      <c r="M352" s="1" t="str">
        <f t="shared" si="15"/>
        <v>Online Payment</v>
      </c>
      <c r="N352" s="2" t="str">
        <f t="shared" si="16"/>
        <v>Furniture</v>
      </c>
      <c r="O352" s="1" t="str">
        <f t="shared" si="17"/>
        <v>Low Stock</v>
      </c>
    </row>
    <row r="353" spans="1:15" x14ac:dyDescent="0.3">
      <c r="A353" s="5">
        <v>45999</v>
      </c>
      <c r="B353" s="2" t="s">
        <v>1012</v>
      </c>
      <c r="C353" s="2" t="s">
        <v>522</v>
      </c>
      <c r="D353" s="2" t="s">
        <v>63</v>
      </c>
      <c r="E353" s="2" t="s">
        <v>15</v>
      </c>
      <c r="F353" s="2">
        <v>16</v>
      </c>
      <c r="G353" s="7">
        <v>78.27</v>
      </c>
      <c r="H353" s="7">
        <v>1127.0899999999999</v>
      </c>
      <c r="I353" s="2">
        <v>10</v>
      </c>
      <c r="J353" s="2" t="s">
        <v>16</v>
      </c>
      <c r="K353" s="2" t="s">
        <v>160</v>
      </c>
      <c r="L353" s="2" t="s">
        <v>31</v>
      </c>
      <c r="M353" s="2" t="str">
        <f t="shared" si="15"/>
        <v>Credit Card</v>
      </c>
      <c r="N353" s="2" t="str">
        <f t="shared" si="16"/>
        <v>Peripherals</v>
      </c>
      <c r="O353" s="2" t="str">
        <f t="shared" si="17"/>
        <v>High Stock</v>
      </c>
    </row>
    <row r="354" spans="1:15" x14ac:dyDescent="0.3">
      <c r="A354" s="5">
        <v>45866</v>
      </c>
      <c r="B354" s="2" t="s">
        <v>1014</v>
      </c>
      <c r="C354" s="2" t="s">
        <v>1015</v>
      </c>
      <c r="D354" s="2" t="s">
        <v>52</v>
      </c>
      <c r="E354" s="2" t="s">
        <v>35</v>
      </c>
      <c r="F354" s="2">
        <v>26</v>
      </c>
      <c r="G354" s="7">
        <v>375.46</v>
      </c>
      <c r="H354" s="7">
        <v>9761.9599999999991</v>
      </c>
      <c r="I354" s="2">
        <v>0</v>
      </c>
      <c r="J354" s="2" t="s">
        <v>16</v>
      </c>
      <c r="K354" s="2" t="s">
        <v>111</v>
      </c>
      <c r="L354" s="2" t="s">
        <v>27</v>
      </c>
      <c r="M354" s="2" t="str">
        <f t="shared" si="15"/>
        <v>Cash</v>
      </c>
      <c r="N354" s="2" t="str">
        <f t="shared" si="16"/>
        <v>Electronics</v>
      </c>
      <c r="O354" s="2" t="str">
        <f t="shared" si="17"/>
        <v>High Stock</v>
      </c>
    </row>
    <row r="355" spans="1:15" x14ac:dyDescent="0.3">
      <c r="A355" s="5">
        <v>45801</v>
      </c>
      <c r="B355" s="2" t="s">
        <v>1017</v>
      </c>
      <c r="C355" s="2" t="s">
        <v>1018</v>
      </c>
      <c r="D355" s="2" t="s">
        <v>14</v>
      </c>
      <c r="E355" s="2" t="s">
        <v>15</v>
      </c>
      <c r="F355" s="2">
        <v>8</v>
      </c>
      <c r="G355" s="7">
        <v>100.35</v>
      </c>
      <c r="H355" s="7">
        <v>802.8</v>
      </c>
      <c r="I355" s="2">
        <v>0</v>
      </c>
      <c r="J355" s="2" t="s">
        <v>53</v>
      </c>
      <c r="K355" s="2" t="s">
        <v>170</v>
      </c>
      <c r="L355" s="2" t="s">
        <v>49</v>
      </c>
      <c r="M355" s="2" t="str">
        <f t="shared" si="15"/>
        <v>Check</v>
      </c>
      <c r="N355" s="2" t="str">
        <f t="shared" si="16"/>
        <v>Peripherals</v>
      </c>
      <c r="O355" s="2" t="str">
        <f t="shared" si="17"/>
        <v>Low Stock</v>
      </c>
    </row>
    <row r="356" spans="1:15" x14ac:dyDescent="0.3">
      <c r="A356" s="5">
        <v>45900</v>
      </c>
      <c r="B356" s="2" t="s">
        <v>1020</v>
      </c>
      <c r="C356" s="2" t="s">
        <v>1021</v>
      </c>
      <c r="D356" s="2" t="s">
        <v>63</v>
      </c>
      <c r="E356" s="2" t="s">
        <v>15</v>
      </c>
      <c r="F356" s="2">
        <v>31</v>
      </c>
      <c r="G356" s="7">
        <v>36.51</v>
      </c>
      <c r="H356" s="7">
        <v>1018.63</v>
      </c>
      <c r="I356" s="2">
        <v>10</v>
      </c>
      <c r="J356" s="2" t="s">
        <v>46</v>
      </c>
      <c r="K356" s="2" t="s">
        <v>78</v>
      </c>
      <c r="L356" s="2" t="s">
        <v>49</v>
      </c>
      <c r="M356" s="2" t="str">
        <f t="shared" si="15"/>
        <v>Check</v>
      </c>
      <c r="N356" s="2" t="str">
        <f t="shared" si="16"/>
        <v>Peripherals</v>
      </c>
      <c r="O356" s="2" t="str">
        <f t="shared" si="17"/>
        <v>High Stock</v>
      </c>
    </row>
    <row r="357" spans="1:15" x14ac:dyDescent="0.3">
      <c r="A357" s="5">
        <v>46082</v>
      </c>
      <c r="B357" s="2" t="s">
        <v>1023</v>
      </c>
      <c r="C357" s="2" t="s">
        <v>1024</v>
      </c>
      <c r="D357" s="2" t="s">
        <v>14</v>
      </c>
      <c r="E357" s="2" t="s">
        <v>15</v>
      </c>
      <c r="F357" s="2">
        <v>17</v>
      </c>
      <c r="G357" s="7">
        <v>88.77</v>
      </c>
      <c r="H357" s="7">
        <v>1433.64</v>
      </c>
      <c r="I357" s="2">
        <v>5</v>
      </c>
      <c r="J357" s="2" t="s">
        <v>16</v>
      </c>
      <c r="K357" s="2" t="s">
        <v>17</v>
      </c>
      <c r="L357" s="2" t="s">
        <v>27</v>
      </c>
      <c r="M357" s="2" t="str">
        <f t="shared" si="15"/>
        <v>Cash</v>
      </c>
      <c r="N357" s="2" t="str">
        <f t="shared" si="16"/>
        <v>Peripherals</v>
      </c>
      <c r="O357" s="2" t="str">
        <f t="shared" si="17"/>
        <v>High Stock</v>
      </c>
    </row>
    <row r="358" spans="1:15" x14ac:dyDescent="0.3">
      <c r="A358" s="5">
        <v>45894</v>
      </c>
      <c r="B358" s="2" t="s">
        <v>1025</v>
      </c>
      <c r="C358" s="2" t="s">
        <v>1026</v>
      </c>
      <c r="D358" s="2" t="s">
        <v>52</v>
      </c>
      <c r="E358" s="2" t="s">
        <v>35</v>
      </c>
      <c r="F358" s="2">
        <v>40</v>
      </c>
      <c r="G358" s="7">
        <v>218.18</v>
      </c>
      <c r="H358" s="7">
        <v>8290.84</v>
      </c>
      <c r="I358" s="2">
        <v>5</v>
      </c>
      <c r="J358" s="2" t="s">
        <v>24</v>
      </c>
      <c r="K358" s="2" t="s">
        <v>36</v>
      </c>
      <c r="L358" s="2" t="s">
        <v>27</v>
      </c>
      <c r="M358" s="2" t="str">
        <f t="shared" si="15"/>
        <v>Cash</v>
      </c>
      <c r="N358" s="2" t="str">
        <f t="shared" si="16"/>
        <v>Electronics</v>
      </c>
      <c r="O358" s="2" t="str">
        <f t="shared" si="17"/>
        <v>High Stock</v>
      </c>
    </row>
    <row r="359" spans="1:15" x14ac:dyDescent="0.3">
      <c r="A359" s="5">
        <v>45719</v>
      </c>
      <c r="B359" s="2" t="s">
        <v>1027</v>
      </c>
      <c r="C359" s="2" t="s">
        <v>522</v>
      </c>
      <c r="D359" s="2" t="s">
        <v>34</v>
      </c>
      <c r="E359" s="2" t="s">
        <v>35</v>
      </c>
      <c r="F359" s="2">
        <v>35</v>
      </c>
      <c r="G359" s="7">
        <v>703.93</v>
      </c>
      <c r="H359" s="7">
        <v>24637.55</v>
      </c>
      <c r="I359" s="2">
        <v>0</v>
      </c>
      <c r="J359" s="2" t="s">
        <v>24</v>
      </c>
      <c r="K359" s="2" t="s">
        <v>104</v>
      </c>
      <c r="L359" s="2" t="s">
        <v>27</v>
      </c>
      <c r="M359" s="2" t="str">
        <f t="shared" si="15"/>
        <v>Cash</v>
      </c>
      <c r="N359" s="2" t="str">
        <f t="shared" si="16"/>
        <v>Electronics</v>
      </c>
      <c r="O359" s="2" t="str">
        <f t="shared" si="17"/>
        <v>High Stock</v>
      </c>
    </row>
    <row r="360" spans="1:15" x14ac:dyDescent="0.3">
      <c r="A360" s="5">
        <v>46262</v>
      </c>
      <c r="B360" s="2" t="s">
        <v>1028</v>
      </c>
      <c r="C360" s="2" t="s">
        <v>773</v>
      </c>
      <c r="D360" s="2" t="s">
        <v>99</v>
      </c>
      <c r="E360" s="2" t="s">
        <v>23</v>
      </c>
      <c r="F360" s="2">
        <v>9</v>
      </c>
      <c r="G360" s="7">
        <v>23.71</v>
      </c>
      <c r="H360" s="7">
        <v>213.39</v>
      </c>
      <c r="I360" s="2">
        <v>0</v>
      </c>
      <c r="J360" s="2" t="s">
        <v>46</v>
      </c>
      <c r="K360" s="2" t="s">
        <v>78</v>
      </c>
      <c r="L360" s="2" t="s">
        <v>31</v>
      </c>
      <c r="M360" s="2" t="str">
        <f t="shared" si="15"/>
        <v>Credit Card</v>
      </c>
      <c r="N360" s="2" t="str">
        <f t="shared" si="16"/>
        <v>Accessories</v>
      </c>
      <c r="O360" s="2" t="str">
        <f t="shared" si="17"/>
        <v>Low Stock</v>
      </c>
    </row>
    <row r="361" spans="1:15" x14ac:dyDescent="0.3">
      <c r="A361" s="5">
        <v>46301</v>
      </c>
      <c r="B361" s="2" t="s">
        <v>1030</v>
      </c>
      <c r="C361" s="2" t="s">
        <v>786</v>
      </c>
      <c r="D361" s="2" t="s">
        <v>82</v>
      </c>
      <c r="E361" s="2" t="s">
        <v>73</v>
      </c>
      <c r="F361" s="2">
        <v>34</v>
      </c>
      <c r="G361" s="7">
        <v>553.53</v>
      </c>
      <c r="H361" s="7">
        <v>18820.02</v>
      </c>
      <c r="I361" s="2">
        <v>0</v>
      </c>
      <c r="J361" s="2" t="s">
        <v>16</v>
      </c>
      <c r="K361" s="2" t="s">
        <v>74</v>
      </c>
      <c r="L361" s="2" t="s">
        <v>69</v>
      </c>
      <c r="M361" s="2" t="str">
        <f t="shared" si="15"/>
        <v>Debit Card</v>
      </c>
      <c r="N361" s="2" t="str">
        <f t="shared" si="16"/>
        <v>Furniture</v>
      </c>
      <c r="O361" s="2" t="str">
        <f t="shared" si="17"/>
        <v>High Stock</v>
      </c>
    </row>
    <row r="362" spans="1:15" x14ac:dyDescent="0.3">
      <c r="A362" s="5">
        <v>46115</v>
      </c>
      <c r="B362" s="2" t="s">
        <v>1032</v>
      </c>
      <c r="C362" s="2" t="s">
        <v>188</v>
      </c>
      <c r="D362" s="2" t="s">
        <v>22</v>
      </c>
      <c r="E362" s="2" t="s">
        <v>23</v>
      </c>
      <c r="F362" s="2">
        <v>8</v>
      </c>
      <c r="G362" s="7">
        <v>15.3</v>
      </c>
      <c r="H362" s="7">
        <v>97.92</v>
      </c>
      <c r="I362" s="2">
        <v>20</v>
      </c>
      <c r="J362" s="2" t="s">
        <v>53</v>
      </c>
      <c r="K362" s="2" t="s">
        <v>170</v>
      </c>
      <c r="L362" s="2" t="s">
        <v>69</v>
      </c>
      <c r="M362" s="2" t="str">
        <f t="shared" si="15"/>
        <v>Debit Card</v>
      </c>
      <c r="N362" s="2" t="str">
        <f t="shared" si="16"/>
        <v>Accessories</v>
      </c>
      <c r="O362" s="2" t="str">
        <f t="shared" si="17"/>
        <v>Low Stock</v>
      </c>
    </row>
    <row r="363" spans="1:15" x14ac:dyDescent="0.3">
      <c r="A363" s="5">
        <v>45940</v>
      </c>
      <c r="B363" s="2" t="s">
        <v>1034</v>
      </c>
      <c r="C363" s="2" t="s">
        <v>1035</v>
      </c>
      <c r="D363" s="1" t="s">
        <v>95</v>
      </c>
      <c r="E363" s="2" t="s">
        <v>35</v>
      </c>
      <c r="F363" s="2">
        <v>12</v>
      </c>
      <c r="G363" s="7">
        <v>455.31</v>
      </c>
      <c r="H363" s="7">
        <v>5190.53</v>
      </c>
      <c r="I363" s="2">
        <v>5</v>
      </c>
      <c r="J363" s="2" t="s">
        <v>24</v>
      </c>
      <c r="K363" s="2" t="s">
        <v>104</v>
      </c>
      <c r="L363" s="2" t="s">
        <v>27</v>
      </c>
      <c r="M363" s="2" t="str">
        <f t="shared" si="15"/>
        <v>Cash</v>
      </c>
      <c r="N363" s="2" t="str">
        <f t="shared" si="16"/>
        <v>Electronics</v>
      </c>
      <c r="O363" s="2" t="str">
        <f t="shared" si="17"/>
        <v>Low Stock</v>
      </c>
    </row>
    <row r="364" spans="1:15" x14ac:dyDescent="0.3">
      <c r="A364" s="5">
        <v>46222</v>
      </c>
      <c r="B364" s="2" t="s">
        <v>1036</v>
      </c>
      <c r="C364" s="2" t="s">
        <v>127</v>
      </c>
      <c r="D364" s="1" t="s">
        <v>95</v>
      </c>
      <c r="E364" s="2" t="s">
        <v>35</v>
      </c>
      <c r="F364" s="2">
        <v>2</v>
      </c>
      <c r="G364" s="7">
        <v>345.67</v>
      </c>
      <c r="H364" s="7">
        <v>656.77</v>
      </c>
      <c r="I364" s="2">
        <v>5</v>
      </c>
      <c r="J364" s="2" t="s">
        <v>53</v>
      </c>
      <c r="K364" s="2" t="s">
        <v>67</v>
      </c>
      <c r="L364" s="2" t="s">
        <v>27</v>
      </c>
      <c r="M364" s="2" t="str">
        <f t="shared" si="15"/>
        <v>Cash</v>
      </c>
      <c r="N364" s="2" t="str">
        <f t="shared" si="16"/>
        <v>Electronics</v>
      </c>
      <c r="O364" s="2" t="str">
        <f t="shared" si="17"/>
        <v>Low Stock</v>
      </c>
    </row>
    <row r="365" spans="1:15" x14ac:dyDescent="0.3">
      <c r="A365" s="5">
        <v>46014</v>
      </c>
      <c r="B365" s="2" t="s">
        <v>1038</v>
      </c>
      <c r="C365" s="2" t="s">
        <v>879</v>
      </c>
      <c r="D365" s="2" t="s">
        <v>14</v>
      </c>
      <c r="E365" s="2" t="s">
        <v>15</v>
      </c>
      <c r="F365" s="2">
        <v>7</v>
      </c>
      <c r="G365" s="7">
        <v>104.55</v>
      </c>
      <c r="H365" s="7">
        <v>695.26</v>
      </c>
      <c r="I365" s="2">
        <v>5</v>
      </c>
      <c r="J365" s="2" t="s">
        <v>46</v>
      </c>
      <c r="K365" s="2" t="s">
        <v>124</v>
      </c>
      <c r="L365" s="2" t="s">
        <v>49</v>
      </c>
      <c r="M365" s="2" t="str">
        <f t="shared" si="15"/>
        <v>Check</v>
      </c>
      <c r="N365" s="2" t="str">
        <f t="shared" si="16"/>
        <v>Peripherals</v>
      </c>
      <c r="O365" s="2" t="str">
        <f t="shared" si="17"/>
        <v>Low Stock</v>
      </c>
    </row>
    <row r="366" spans="1:15" x14ac:dyDescent="0.3">
      <c r="A366" s="5">
        <v>45661</v>
      </c>
      <c r="B366" s="2" t="s">
        <v>1040</v>
      </c>
      <c r="C366" s="2" t="s">
        <v>1041</v>
      </c>
      <c r="D366" s="2" t="s">
        <v>52</v>
      </c>
      <c r="E366" s="2" t="s">
        <v>35</v>
      </c>
      <c r="F366" s="2">
        <v>28</v>
      </c>
      <c r="G366" s="7">
        <v>107.44</v>
      </c>
      <c r="H366" s="7">
        <v>2406.66</v>
      </c>
      <c r="I366" s="2">
        <v>20</v>
      </c>
      <c r="J366" s="2" t="s">
        <v>16</v>
      </c>
      <c r="K366" s="2" t="s">
        <v>17</v>
      </c>
      <c r="L366" s="2" t="s">
        <v>69</v>
      </c>
      <c r="M366" s="2" t="str">
        <f t="shared" si="15"/>
        <v>Debit Card</v>
      </c>
      <c r="N366" s="2" t="str">
        <f t="shared" si="16"/>
        <v>Electronics</v>
      </c>
      <c r="O366" s="2" t="str">
        <f t="shared" si="17"/>
        <v>High Stock</v>
      </c>
    </row>
    <row r="367" spans="1:15" x14ac:dyDescent="0.3">
      <c r="A367" s="5">
        <v>45828</v>
      </c>
      <c r="B367" s="2" t="s">
        <v>1043</v>
      </c>
      <c r="C367" s="2" t="s">
        <v>1044</v>
      </c>
      <c r="D367" s="2" t="s">
        <v>52</v>
      </c>
      <c r="E367" s="2" t="s">
        <v>35</v>
      </c>
      <c r="F367" s="2">
        <v>46</v>
      </c>
      <c r="G367" s="7">
        <v>149.63999999999999</v>
      </c>
      <c r="H367" s="7">
        <v>5850.92</v>
      </c>
      <c r="I367" s="2">
        <v>15</v>
      </c>
      <c r="J367" s="2" t="s">
        <v>16</v>
      </c>
      <c r="K367" s="2" t="s">
        <v>74</v>
      </c>
      <c r="L367" s="2" t="s">
        <v>31</v>
      </c>
      <c r="M367" s="2" t="str">
        <f t="shared" si="15"/>
        <v>Credit Card</v>
      </c>
      <c r="N367" s="2" t="str">
        <f t="shared" si="16"/>
        <v>Electronics</v>
      </c>
      <c r="O367" s="2" t="str">
        <f t="shared" si="17"/>
        <v>High Stock</v>
      </c>
    </row>
    <row r="368" spans="1:15" x14ac:dyDescent="0.3">
      <c r="A368" s="5">
        <v>45997</v>
      </c>
      <c r="B368" s="2" t="s">
        <v>1046</v>
      </c>
      <c r="C368" s="2" t="s">
        <v>1047</v>
      </c>
      <c r="D368" s="1" t="s">
        <v>95</v>
      </c>
      <c r="E368" s="2" t="s">
        <v>35</v>
      </c>
      <c r="F368" s="2">
        <v>11</v>
      </c>
      <c r="G368" s="7">
        <v>1097.1300000000001</v>
      </c>
      <c r="H368" s="7">
        <v>11465.01</v>
      </c>
      <c r="I368" s="2">
        <v>5</v>
      </c>
      <c r="J368" s="2" t="s">
        <v>16</v>
      </c>
      <c r="K368" s="2" t="s">
        <v>74</v>
      </c>
      <c r="L368" s="2" t="s">
        <v>27</v>
      </c>
      <c r="M368" s="2" t="str">
        <f t="shared" si="15"/>
        <v>Cash</v>
      </c>
      <c r="N368" s="2" t="str">
        <f t="shared" si="16"/>
        <v>Electronics</v>
      </c>
      <c r="O368" s="2" t="str">
        <f t="shared" si="17"/>
        <v>Low Stock</v>
      </c>
    </row>
    <row r="369" spans="1:15" x14ac:dyDescent="0.3">
      <c r="A369" s="5">
        <v>45670</v>
      </c>
      <c r="B369" s="2" t="s">
        <v>1049</v>
      </c>
      <c r="C369" s="2" t="s">
        <v>731</v>
      </c>
      <c r="D369" s="2" t="s">
        <v>52</v>
      </c>
      <c r="E369" s="2" t="s">
        <v>35</v>
      </c>
      <c r="F369" s="2">
        <v>45</v>
      </c>
      <c r="G369" s="7">
        <v>297.45999999999998</v>
      </c>
      <c r="H369" s="7">
        <v>12047.13</v>
      </c>
      <c r="I369" s="2">
        <v>10</v>
      </c>
      <c r="J369" s="2" t="s">
        <v>46</v>
      </c>
      <c r="K369" s="2" t="s">
        <v>83</v>
      </c>
      <c r="L369" s="2" t="s">
        <v>27</v>
      </c>
      <c r="M369" s="2" t="str">
        <f t="shared" si="15"/>
        <v>Cash</v>
      </c>
      <c r="N369" s="2" t="str">
        <f t="shared" si="16"/>
        <v>Electronics</v>
      </c>
      <c r="O369" s="2" t="str">
        <f t="shared" si="17"/>
        <v>High Stock</v>
      </c>
    </row>
    <row r="370" spans="1:15" x14ac:dyDescent="0.3">
      <c r="A370" s="5">
        <v>46191</v>
      </c>
      <c r="B370" s="2" t="s">
        <v>1050</v>
      </c>
      <c r="C370" s="2" t="s">
        <v>1051</v>
      </c>
      <c r="D370" s="2" t="s">
        <v>82</v>
      </c>
      <c r="E370" s="2" t="s">
        <v>73</v>
      </c>
      <c r="F370" s="2">
        <v>4</v>
      </c>
      <c r="G370" s="7">
        <v>786.54</v>
      </c>
      <c r="H370" s="7">
        <v>3146.16</v>
      </c>
      <c r="I370" s="2">
        <v>0</v>
      </c>
      <c r="J370" s="2" t="s">
        <v>24</v>
      </c>
      <c r="K370" s="2" t="s">
        <v>25</v>
      </c>
      <c r="L370" s="1" t="s">
        <v>2347</v>
      </c>
      <c r="M370" s="1" t="str">
        <f t="shared" si="15"/>
        <v>Online Payment</v>
      </c>
      <c r="N370" s="2" t="str">
        <f t="shared" si="16"/>
        <v>Furniture</v>
      </c>
      <c r="O370" s="1" t="str">
        <f t="shared" si="17"/>
        <v>Low Stock</v>
      </c>
    </row>
    <row r="371" spans="1:15" x14ac:dyDescent="0.3">
      <c r="A371" s="5">
        <v>46001</v>
      </c>
      <c r="B371" s="2" t="s">
        <v>1053</v>
      </c>
      <c r="C371" s="2" t="s">
        <v>1008</v>
      </c>
      <c r="D371" s="2" t="s">
        <v>90</v>
      </c>
      <c r="E371" s="2" t="s">
        <v>23</v>
      </c>
      <c r="F371" s="2">
        <v>1</v>
      </c>
      <c r="G371" s="7">
        <v>42.29</v>
      </c>
      <c r="H371" s="7">
        <v>42.29</v>
      </c>
      <c r="I371" s="2">
        <v>0</v>
      </c>
      <c r="J371" s="2" t="s">
        <v>53</v>
      </c>
      <c r="K371" s="2" t="s">
        <v>54</v>
      </c>
      <c r="L371" s="2" t="s">
        <v>49</v>
      </c>
      <c r="M371" s="2" t="str">
        <f t="shared" si="15"/>
        <v>Check</v>
      </c>
      <c r="N371" s="2" t="str">
        <f t="shared" si="16"/>
        <v>Accessories</v>
      </c>
      <c r="O371" s="2" t="str">
        <f t="shared" si="17"/>
        <v>Low Stock</v>
      </c>
    </row>
    <row r="372" spans="1:15" x14ac:dyDescent="0.3">
      <c r="A372" s="5">
        <v>45811</v>
      </c>
      <c r="B372" s="2" t="s">
        <v>1055</v>
      </c>
      <c r="C372" s="2" t="s">
        <v>1056</v>
      </c>
      <c r="D372" s="2" t="s">
        <v>123</v>
      </c>
      <c r="E372" s="2" t="s">
        <v>15</v>
      </c>
      <c r="F372" s="2">
        <v>22</v>
      </c>
      <c r="G372" s="7">
        <v>25.84</v>
      </c>
      <c r="H372" s="7">
        <v>483.21</v>
      </c>
      <c r="I372" s="2">
        <v>15</v>
      </c>
      <c r="J372" s="2" t="s">
        <v>46</v>
      </c>
      <c r="K372" s="2" t="s">
        <v>244</v>
      </c>
      <c r="L372" s="2" t="s">
        <v>69</v>
      </c>
      <c r="M372" s="2" t="str">
        <f t="shared" si="15"/>
        <v>Debit Card</v>
      </c>
      <c r="N372" s="2" t="str">
        <f t="shared" si="16"/>
        <v>Peripherals</v>
      </c>
      <c r="O372" s="2" t="str">
        <f t="shared" si="17"/>
        <v>High Stock</v>
      </c>
    </row>
    <row r="373" spans="1:15" x14ac:dyDescent="0.3">
      <c r="A373" s="5">
        <v>46213</v>
      </c>
      <c r="B373" s="2" t="s">
        <v>1057</v>
      </c>
      <c r="C373" s="2" t="s">
        <v>1058</v>
      </c>
      <c r="D373" s="2" t="s">
        <v>82</v>
      </c>
      <c r="E373" s="2" t="s">
        <v>73</v>
      </c>
      <c r="F373" s="2">
        <v>18</v>
      </c>
      <c r="G373" s="7">
        <v>549.09</v>
      </c>
      <c r="H373" s="7">
        <v>9883.6200000000008</v>
      </c>
      <c r="I373" s="2">
        <v>0</v>
      </c>
      <c r="J373" s="2" t="s">
        <v>16</v>
      </c>
      <c r="K373" s="2" t="s">
        <v>91</v>
      </c>
      <c r="L373" s="1" t="s">
        <v>2347</v>
      </c>
      <c r="M373" s="1" t="str">
        <f t="shared" si="15"/>
        <v>Online Payment</v>
      </c>
      <c r="N373" s="2" t="str">
        <f t="shared" si="16"/>
        <v>Furniture</v>
      </c>
      <c r="O373" s="1" t="str">
        <f t="shared" si="17"/>
        <v>High Stock</v>
      </c>
    </row>
    <row r="374" spans="1:15" x14ac:dyDescent="0.3">
      <c r="A374" s="5">
        <v>45938</v>
      </c>
      <c r="B374" s="2" t="s">
        <v>1060</v>
      </c>
      <c r="C374" s="2" t="s">
        <v>1061</v>
      </c>
      <c r="D374" s="2" t="s">
        <v>99</v>
      </c>
      <c r="E374" s="2" t="s">
        <v>23</v>
      </c>
      <c r="F374" s="2">
        <v>10</v>
      </c>
      <c r="G374" s="7">
        <v>10.220000000000001</v>
      </c>
      <c r="H374" s="7">
        <v>81.760000000000005</v>
      </c>
      <c r="I374" s="2">
        <v>20</v>
      </c>
      <c r="J374" s="2" t="s">
        <v>46</v>
      </c>
      <c r="K374" s="2" t="s">
        <v>124</v>
      </c>
      <c r="L374" s="2" t="s">
        <v>49</v>
      </c>
      <c r="M374" s="2" t="str">
        <f t="shared" si="15"/>
        <v>Check</v>
      </c>
      <c r="N374" s="2" t="str">
        <f t="shared" si="16"/>
        <v>Accessories</v>
      </c>
      <c r="O374" s="2" t="str">
        <f t="shared" si="17"/>
        <v>Low Stock</v>
      </c>
    </row>
    <row r="375" spans="1:15" x14ac:dyDescent="0.3">
      <c r="A375" s="5">
        <v>45949</v>
      </c>
      <c r="B375" s="2" t="s">
        <v>1062</v>
      </c>
      <c r="C375" s="2" t="s">
        <v>147</v>
      </c>
      <c r="D375" s="1" t="s">
        <v>95</v>
      </c>
      <c r="E375" s="2" t="s">
        <v>35</v>
      </c>
      <c r="F375" s="2">
        <v>28</v>
      </c>
      <c r="G375" s="7">
        <v>837.68</v>
      </c>
      <c r="H375" s="7">
        <v>23455.040000000001</v>
      </c>
      <c r="I375" s="2">
        <v>0</v>
      </c>
      <c r="J375" s="2" t="s">
        <v>24</v>
      </c>
      <c r="K375" s="2" t="s">
        <v>104</v>
      </c>
      <c r="L375" s="2" t="s">
        <v>27</v>
      </c>
      <c r="M375" s="2" t="str">
        <f t="shared" si="15"/>
        <v>Cash</v>
      </c>
      <c r="N375" s="2" t="str">
        <f t="shared" si="16"/>
        <v>Electronics</v>
      </c>
      <c r="O375" s="2" t="str">
        <f t="shared" si="17"/>
        <v>High Stock</v>
      </c>
    </row>
    <row r="376" spans="1:15" x14ac:dyDescent="0.3">
      <c r="A376" s="5">
        <v>46111</v>
      </c>
      <c r="B376" s="2" t="s">
        <v>1064</v>
      </c>
      <c r="C376" s="2" t="s">
        <v>1065</v>
      </c>
      <c r="D376" s="2" t="s">
        <v>123</v>
      </c>
      <c r="E376" s="2" t="s">
        <v>15</v>
      </c>
      <c r="F376" s="2">
        <v>18</v>
      </c>
      <c r="G376" s="7">
        <v>17.809999999999999</v>
      </c>
      <c r="H376" s="7">
        <v>304.55</v>
      </c>
      <c r="I376" s="2">
        <v>5</v>
      </c>
      <c r="J376" s="2" t="s">
        <v>46</v>
      </c>
      <c r="K376" s="2" t="s">
        <v>78</v>
      </c>
      <c r="L376" s="1" t="s">
        <v>2347</v>
      </c>
      <c r="M376" s="1" t="str">
        <f t="shared" si="15"/>
        <v>Online Payment</v>
      </c>
      <c r="N376" s="2" t="str">
        <f t="shared" si="16"/>
        <v>Peripherals</v>
      </c>
      <c r="O376" s="1" t="str">
        <f t="shared" si="17"/>
        <v>High Stock</v>
      </c>
    </row>
    <row r="377" spans="1:15" x14ac:dyDescent="0.3">
      <c r="A377" s="5">
        <v>45769</v>
      </c>
      <c r="B377" s="2" t="s">
        <v>1066</v>
      </c>
      <c r="C377" s="2" t="s">
        <v>1067</v>
      </c>
      <c r="D377" s="2" t="s">
        <v>45</v>
      </c>
      <c r="E377" s="2" t="s">
        <v>23</v>
      </c>
      <c r="F377" s="2">
        <v>45</v>
      </c>
      <c r="G377" s="7">
        <v>112.31</v>
      </c>
      <c r="H377" s="7">
        <v>4295.8599999999997</v>
      </c>
      <c r="I377" s="2">
        <v>15</v>
      </c>
      <c r="J377" s="2" t="s">
        <v>24</v>
      </c>
      <c r="K377" s="2" t="s">
        <v>104</v>
      </c>
      <c r="L377" s="2" t="s">
        <v>27</v>
      </c>
      <c r="M377" s="2" t="str">
        <f t="shared" si="15"/>
        <v>Cash</v>
      </c>
      <c r="N377" s="2" t="str">
        <f t="shared" si="16"/>
        <v>Accessories</v>
      </c>
      <c r="O377" s="2" t="str">
        <f t="shared" si="17"/>
        <v>High Stock</v>
      </c>
    </row>
    <row r="378" spans="1:15" x14ac:dyDescent="0.3">
      <c r="A378" s="5">
        <v>45670</v>
      </c>
      <c r="B378" s="2" t="s">
        <v>1069</v>
      </c>
      <c r="C378" s="2" t="s">
        <v>1070</v>
      </c>
      <c r="D378" s="1" t="s">
        <v>95</v>
      </c>
      <c r="E378" s="2" t="s">
        <v>35</v>
      </c>
      <c r="F378" s="2">
        <v>14</v>
      </c>
      <c r="G378" s="7">
        <v>812.74</v>
      </c>
      <c r="H378" s="7">
        <v>10240.52</v>
      </c>
      <c r="I378" s="2">
        <v>10</v>
      </c>
      <c r="J378" s="2" t="s">
        <v>16</v>
      </c>
      <c r="K378" s="2" t="s">
        <v>91</v>
      </c>
      <c r="L378" s="1" t="s">
        <v>2347</v>
      </c>
      <c r="M378" s="1" t="str">
        <f t="shared" si="15"/>
        <v>Online Payment</v>
      </c>
      <c r="N378" s="2" t="str">
        <f t="shared" si="16"/>
        <v>Electronics</v>
      </c>
      <c r="O378" s="1" t="str">
        <f t="shared" si="17"/>
        <v>Low Stock</v>
      </c>
    </row>
    <row r="379" spans="1:15" x14ac:dyDescent="0.3">
      <c r="A379" s="5">
        <v>45665</v>
      </c>
      <c r="B379" s="2" t="s">
        <v>1071</v>
      </c>
      <c r="C379" s="2" t="s">
        <v>1072</v>
      </c>
      <c r="D379" s="1" t="s">
        <v>95</v>
      </c>
      <c r="E379" s="2" t="s">
        <v>35</v>
      </c>
      <c r="F379" s="2">
        <v>32</v>
      </c>
      <c r="G379" s="7">
        <v>235.61</v>
      </c>
      <c r="H379" s="7">
        <v>6785.57</v>
      </c>
      <c r="I379" s="2">
        <v>10</v>
      </c>
      <c r="J379" s="2" t="s">
        <v>24</v>
      </c>
      <c r="K379" s="2" t="s">
        <v>36</v>
      </c>
      <c r="L379" s="2" t="s">
        <v>31</v>
      </c>
      <c r="M379" s="2" t="str">
        <f t="shared" si="15"/>
        <v>Credit Card</v>
      </c>
      <c r="N379" s="2" t="str">
        <f t="shared" si="16"/>
        <v>Electronics</v>
      </c>
      <c r="O379" s="2" t="str">
        <f t="shared" si="17"/>
        <v>High Stock</v>
      </c>
    </row>
    <row r="380" spans="1:15" x14ac:dyDescent="0.3">
      <c r="A380" s="5">
        <v>45650</v>
      </c>
      <c r="B380" s="2" t="s">
        <v>1074</v>
      </c>
      <c r="C380" s="2" t="s">
        <v>1075</v>
      </c>
      <c r="D380" s="2" t="s">
        <v>40</v>
      </c>
      <c r="E380" s="2" t="s">
        <v>23</v>
      </c>
      <c r="F380" s="2">
        <v>40</v>
      </c>
      <c r="G380" s="7">
        <v>63.91</v>
      </c>
      <c r="H380" s="7">
        <v>2556.4</v>
      </c>
      <c r="I380" s="2">
        <v>0</v>
      </c>
      <c r="J380" s="2" t="s">
        <v>53</v>
      </c>
      <c r="K380" s="2" t="s">
        <v>134</v>
      </c>
      <c r="L380" s="2" t="s">
        <v>27</v>
      </c>
      <c r="M380" s="2" t="str">
        <f t="shared" si="15"/>
        <v>Cash</v>
      </c>
      <c r="N380" s="2" t="str">
        <f t="shared" si="16"/>
        <v>Accessories</v>
      </c>
      <c r="O380" s="2" t="str">
        <f t="shared" si="17"/>
        <v>High Stock</v>
      </c>
    </row>
    <row r="381" spans="1:15" x14ac:dyDescent="0.3">
      <c r="A381" s="5">
        <v>46216</v>
      </c>
      <c r="B381" s="2" t="s">
        <v>1077</v>
      </c>
      <c r="C381" s="2" t="s">
        <v>1078</v>
      </c>
      <c r="D381" s="2" t="s">
        <v>40</v>
      </c>
      <c r="E381" s="2" t="s">
        <v>23</v>
      </c>
      <c r="F381" s="2">
        <v>24</v>
      </c>
      <c r="G381" s="7">
        <v>53.5</v>
      </c>
      <c r="H381" s="7">
        <v>1091.4000000000001</v>
      </c>
      <c r="I381" s="2">
        <v>15</v>
      </c>
      <c r="J381" s="2" t="s">
        <v>16</v>
      </c>
      <c r="K381" s="2" t="s">
        <v>17</v>
      </c>
      <c r="L381" s="2" t="s">
        <v>49</v>
      </c>
      <c r="M381" s="2" t="str">
        <f t="shared" si="15"/>
        <v>Check</v>
      </c>
      <c r="N381" s="2" t="str">
        <f t="shared" si="16"/>
        <v>Accessories</v>
      </c>
      <c r="O381" s="2" t="str">
        <f t="shared" si="17"/>
        <v>High Stock</v>
      </c>
    </row>
    <row r="382" spans="1:15" x14ac:dyDescent="0.3">
      <c r="A382" s="5">
        <v>45684</v>
      </c>
      <c r="B382" s="2" t="s">
        <v>1080</v>
      </c>
      <c r="C382" s="2" t="s">
        <v>1081</v>
      </c>
      <c r="D382" s="2" t="s">
        <v>14</v>
      </c>
      <c r="E382" s="2" t="s">
        <v>15</v>
      </c>
      <c r="F382" s="2">
        <v>26</v>
      </c>
      <c r="G382" s="7">
        <v>97.89</v>
      </c>
      <c r="H382" s="7">
        <v>2290.63</v>
      </c>
      <c r="I382" s="2">
        <v>10</v>
      </c>
      <c r="J382" s="2" t="s">
        <v>24</v>
      </c>
      <c r="K382" s="2" t="s">
        <v>104</v>
      </c>
      <c r="L382" s="2" t="s">
        <v>27</v>
      </c>
      <c r="M382" s="2" t="str">
        <f t="shared" si="15"/>
        <v>Cash</v>
      </c>
      <c r="N382" s="2" t="str">
        <f t="shared" si="16"/>
        <v>Peripherals</v>
      </c>
      <c r="O382" s="2" t="str">
        <f t="shared" si="17"/>
        <v>High Stock</v>
      </c>
    </row>
    <row r="383" spans="1:15" x14ac:dyDescent="0.3">
      <c r="A383" s="5">
        <v>46176</v>
      </c>
      <c r="B383" s="2" t="s">
        <v>1083</v>
      </c>
      <c r="C383" s="2" t="s">
        <v>1084</v>
      </c>
      <c r="D383" s="2" t="s">
        <v>123</v>
      </c>
      <c r="E383" s="2" t="s">
        <v>15</v>
      </c>
      <c r="F383" s="2">
        <v>25</v>
      </c>
      <c r="G383" s="7">
        <v>40.89</v>
      </c>
      <c r="H383" s="7">
        <v>1022.25</v>
      </c>
      <c r="I383" s="2">
        <v>0</v>
      </c>
      <c r="J383" s="2" t="s">
        <v>16</v>
      </c>
      <c r="K383" s="2" t="s">
        <v>74</v>
      </c>
      <c r="L383" s="2" t="s">
        <v>27</v>
      </c>
      <c r="M383" s="2" t="str">
        <f t="shared" si="15"/>
        <v>Cash</v>
      </c>
      <c r="N383" s="2" t="str">
        <f t="shared" si="16"/>
        <v>Peripherals</v>
      </c>
      <c r="O383" s="2" t="str">
        <f t="shared" si="17"/>
        <v>High Stock</v>
      </c>
    </row>
    <row r="384" spans="1:15" x14ac:dyDescent="0.3">
      <c r="A384" s="5">
        <v>46249</v>
      </c>
      <c r="B384" s="2" t="s">
        <v>1085</v>
      </c>
      <c r="C384" s="2" t="s">
        <v>1086</v>
      </c>
      <c r="D384" s="1" t="s">
        <v>95</v>
      </c>
      <c r="E384" s="2" t="s">
        <v>35</v>
      </c>
      <c r="F384" s="2">
        <v>21</v>
      </c>
      <c r="G384" s="7">
        <v>1068.08</v>
      </c>
      <c r="H384" s="7">
        <v>17943.740000000002</v>
      </c>
      <c r="I384" s="2">
        <v>20</v>
      </c>
      <c r="J384" s="2" t="s">
        <v>53</v>
      </c>
      <c r="K384" s="2" t="s">
        <v>134</v>
      </c>
      <c r="L384" s="2" t="s">
        <v>31</v>
      </c>
      <c r="M384" s="2" t="str">
        <f t="shared" si="15"/>
        <v>Credit Card</v>
      </c>
      <c r="N384" s="2" t="str">
        <f t="shared" si="16"/>
        <v>Electronics</v>
      </c>
      <c r="O384" s="2" t="str">
        <f t="shared" si="17"/>
        <v>High Stock</v>
      </c>
    </row>
    <row r="385" spans="1:15" x14ac:dyDescent="0.3">
      <c r="A385" s="5">
        <v>45601</v>
      </c>
      <c r="B385" s="2" t="s">
        <v>1087</v>
      </c>
      <c r="C385" s="2" t="s">
        <v>1088</v>
      </c>
      <c r="D385" s="2" t="s">
        <v>123</v>
      </c>
      <c r="E385" s="2" t="s">
        <v>15</v>
      </c>
      <c r="F385" s="2">
        <v>9</v>
      </c>
      <c r="G385" s="7">
        <v>49.57</v>
      </c>
      <c r="H385" s="7">
        <v>356.9</v>
      </c>
      <c r="I385" s="2">
        <v>20</v>
      </c>
      <c r="J385" s="2" t="s">
        <v>53</v>
      </c>
      <c r="K385" s="2" t="s">
        <v>170</v>
      </c>
      <c r="L385" s="2" t="s">
        <v>31</v>
      </c>
      <c r="M385" s="2" t="str">
        <f t="shared" si="15"/>
        <v>Credit Card</v>
      </c>
      <c r="N385" s="2" t="str">
        <f t="shared" si="16"/>
        <v>Peripherals</v>
      </c>
      <c r="O385" s="2" t="str">
        <f t="shared" si="17"/>
        <v>Low Stock</v>
      </c>
    </row>
    <row r="386" spans="1:15" x14ac:dyDescent="0.3">
      <c r="A386" s="5">
        <v>46179</v>
      </c>
      <c r="B386" s="2" t="s">
        <v>1090</v>
      </c>
      <c r="C386" s="2" t="s">
        <v>1091</v>
      </c>
      <c r="D386" s="2" t="s">
        <v>72</v>
      </c>
      <c r="E386" s="2" t="s">
        <v>73</v>
      </c>
      <c r="F386" s="2">
        <v>2</v>
      </c>
      <c r="G386" s="7">
        <v>495.85</v>
      </c>
      <c r="H386" s="7">
        <v>991.7</v>
      </c>
      <c r="I386" s="2">
        <v>0</v>
      </c>
      <c r="J386" s="2" t="s">
        <v>24</v>
      </c>
      <c r="K386" s="2" t="s">
        <v>59</v>
      </c>
      <c r="L386" s="2" t="s">
        <v>31</v>
      </c>
      <c r="M386" s="2" t="str">
        <f t="shared" si="15"/>
        <v>Credit Card</v>
      </c>
      <c r="N386" s="2" t="str">
        <f t="shared" si="16"/>
        <v>Furniture</v>
      </c>
      <c r="O386" s="2" t="str">
        <f t="shared" si="17"/>
        <v>Low Stock</v>
      </c>
    </row>
    <row r="387" spans="1:15" x14ac:dyDescent="0.3">
      <c r="A387" s="5">
        <v>45709</v>
      </c>
      <c r="B387" s="2" t="s">
        <v>1092</v>
      </c>
      <c r="C387" s="2" t="s">
        <v>1093</v>
      </c>
      <c r="D387" s="2" t="s">
        <v>90</v>
      </c>
      <c r="E387" s="2" t="s">
        <v>23</v>
      </c>
      <c r="F387" s="2">
        <v>26</v>
      </c>
      <c r="G387" s="7">
        <v>17.09</v>
      </c>
      <c r="H387" s="7">
        <v>399.91</v>
      </c>
      <c r="I387" s="2">
        <v>10</v>
      </c>
      <c r="J387" s="2" t="s">
        <v>53</v>
      </c>
      <c r="K387" s="2" t="s">
        <v>134</v>
      </c>
      <c r="L387" s="2" t="s">
        <v>27</v>
      </c>
      <c r="M387" s="2" t="str">
        <f t="shared" ref="M387:M450" si="18">TRIM(L387)</f>
        <v>Cash</v>
      </c>
      <c r="N387" s="2" t="str">
        <f t="shared" ref="N387:N450" si="19">PROPER(E387)</f>
        <v>Accessories</v>
      </c>
      <c r="O387" s="2" t="str">
        <f t="shared" ref="O387:O450" si="20">IF(F387&gt;15,"High Stock","Low Stock")</f>
        <v>High Stock</v>
      </c>
    </row>
    <row r="388" spans="1:15" x14ac:dyDescent="0.3">
      <c r="A388" s="5">
        <v>46003</v>
      </c>
      <c r="B388" s="2" t="s">
        <v>1095</v>
      </c>
      <c r="C388" s="2" t="s">
        <v>1096</v>
      </c>
      <c r="D388" s="2" t="s">
        <v>63</v>
      </c>
      <c r="E388" s="2" t="s">
        <v>15</v>
      </c>
      <c r="F388" s="2">
        <v>1</v>
      </c>
      <c r="G388" s="7">
        <v>40.479999999999997</v>
      </c>
      <c r="H388" s="7">
        <v>36.43</v>
      </c>
      <c r="I388" s="2">
        <v>10</v>
      </c>
      <c r="J388" s="2" t="s">
        <v>24</v>
      </c>
      <c r="K388" s="2" t="s">
        <v>36</v>
      </c>
      <c r="L388" s="2" t="s">
        <v>31</v>
      </c>
      <c r="M388" s="2" t="str">
        <f t="shared" si="18"/>
        <v>Credit Card</v>
      </c>
      <c r="N388" s="2" t="str">
        <f t="shared" si="19"/>
        <v>Peripherals</v>
      </c>
      <c r="O388" s="2" t="str">
        <f t="shared" si="20"/>
        <v>Low Stock</v>
      </c>
    </row>
    <row r="389" spans="1:15" x14ac:dyDescent="0.3">
      <c r="A389" s="5">
        <v>45812</v>
      </c>
      <c r="B389" s="2" t="s">
        <v>1098</v>
      </c>
      <c r="C389" s="2" t="s">
        <v>1099</v>
      </c>
      <c r="D389" s="2" t="s">
        <v>103</v>
      </c>
      <c r="E389" s="2" t="s">
        <v>35</v>
      </c>
      <c r="F389" s="2">
        <v>35</v>
      </c>
      <c r="G389" s="7">
        <v>332.35</v>
      </c>
      <c r="H389" s="7">
        <v>11632.25</v>
      </c>
      <c r="I389" s="2">
        <v>0</v>
      </c>
      <c r="J389" s="2" t="s">
        <v>16</v>
      </c>
      <c r="K389" s="2" t="s">
        <v>160</v>
      </c>
      <c r="L389" s="2" t="s">
        <v>31</v>
      </c>
      <c r="M389" s="2" t="str">
        <f t="shared" si="18"/>
        <v>Credit Card</v>
      </c>
      <c r="N389" s="2" t="str">
        <f t="shared" si="19"/>
        <v>Electronics</v>
      </c>
      <c r="O389" s="2" t="str">
        <f t="shared" si="20"/>
        <v>High Stock</v>
      </c>
    </row>
    <row r="390" spans="1:15" x14ac:dyDescent="0.3">
      <c r="A390" s="5">
        <v>46116</v>
      </c>
      <c r="B390" s="2" t="s">
        <v>1101</v>
      </c>
      <c r="C390" s="2" t="s">
        <v>1102</v>
      </c>
      <c r="D390" s="2" t="s">
        <v>22</v>
      </c>
      <c r="E390" s="2" t="s">
        <v>23</v>
      </c>
      <c r="F390" s="2">
        <v>44</v>
      </c>
      <c r="G390" s="7">
        <v>22.69</v>
      </c>
      <c r="H390" s="7">
        <v>998.36</v>
      </c>
      <c r="I390" s="2">
        <v>0</v>
      </c>
      <c r="J390" s="2" t="s">
        <v>53</v>
      </c>
      <c r="K390" s="2" t="s">
        <v>67</v>
      </c>
      <c r="L390" s="1" t="s">
        <v>2347</v>
      </c>
      <c r="M390" s="1" t="str">
        <f t="shared" si="18"/>
        <v>Online Payment</v>
      </c>
      <c r="N390" s="2" t="str">
        <f t="shared" si="19"/>
        <v>Accessories</v>
      </c>
      <c r="O390" s="1" t="str">
        <f t="shared" si="20"/>
        <v>High Stock</v>
      </c>
    </row>
    <row r="391" spans="1:15" x14ac:dyDescent="0.3">
      <c r="A391" s="5">
        <v>46139</v>
      </c>
      <c r="B391" s="2" t="s">
        <v>1104</v>
      </c>
      <c r="C391" s="2" t="s">
        <v>741</v>
      </c>
      <c r="D391" s="2" t="s">
        <v>82</v>
      </c>
      <c r="E391" s="2" t="s">
        <v>73</v>
      </c>
      <c r="F391" s="2">
        <v>36</v>
      </c>
      <c r="G391" s="7">
        <v>790.44</v>
      </c>
      <c r="H391" s="7">
        <v>27033.05</v>
      </c>
      <c r="I391" s="2">
        <v>5</v>
      </c>
      <c r="J391" s="2" t="s">
        <v>53</v>
      </c>
      <c r="K391" s="2" t="s">
        <v>141</v>
      </c>
      <c r="L391" s="2" t="s">
        <v>49</v>
      </c>
      <c r="M391" s="2" t="str">
        <f t="shared" si="18"/>
        <v>Check</v>
      </c>
      <c r="N391" s="2" t="str">
        <f t="shared" si="19"/>
        <v>Furniture</v>
      </c>
      <c r="O391" s="2" t="str">
        <f t="shared" si="20"/>
        <v>High Stock</v>
      </c>
    </row>
    <row r="392" spans="1:15" x14ac:dyDescent="0.3">
      <c r="A392" s="5">
        <v>45865</v>
      </c>
      <c r="B392" s="2" t="s">
        <v>1105</v>
      </c>
      <c r="C392" s="2" t="s">
        <v>470</v>
      </c>
      <c r="D392" s="2" t="s">
        <v>34</v>
      </c>
      <c r="E392" s="2" t="s">
        <v>35</v>
      </c>
      <c r="F392" s="2">
        <v>45</v>
      </c>
      <c r="G392" s="7">
        <v>575.54999999999995</v>
      </c>
      <c r="H392" s="7">
        <v>22014.79</v>
      </c>
      <c r="I392" s="2">
        <v>15</v>
      </c>
      <c r="J392" s="2" t="s">
        <v>53</v>
      </c>
      <c r="K392" s="2" t="s">
        <v>67</v>
      </c>
      <c r="L392" s="1" t="s">
        <v>2347</v>
      </c>
      <c r="M392" s="1" t="str">
        <f t="shared" si="18"/>
        <v>Online Payment</v>
      </c>
      <c r="N392" s="2" t="str">
        <f t="shared" si="19"/>
        <v>Electronics</v>
      </c>
      <c r="O392" s="1" t="str">
        <f t="shared" si="20"/>
        <v>High Stock</v>
      </c>
    </row>
    <row r="393" spans="1:15" x14ac:dyDescent="0.3">
      <c r="A393" s="5">
        <v>45860</v>
      </c>
      <c r="B393" s="2" t="s">
        <v>1107</v>
      </c>
      <c r="C393" s="2" t="s">
        <v>1108</v>
      </c>
      <c r="D393" s="2" t="s">
        <v>34</v>
      </c>
      <c r="E393" s="2" t="s">
        <v>35</v>
      </c>
      <c r="F393" s="2">
        <v>20</v>
      </c>
      <c r="G393" s="7">
        <v>454.84</v>
      </c>
      <c r="H393" s="7">
        <v>9096.7999999999993</v>
      </c>
      <c r="I393" s="2">
        <v>0</v>
      </c>
      <c r="J393" s="2" t="s">
        <v>24</v>
      </c>
      <c r="K393" s="2" t="s">
        <v>59</v>
      </c>
      <c r="L393" s="1" t="s">
        <v>2347</v>
      </c>
      <c r="M393" s="1" t="str">
        <f t="shared" si="18"/>
        <v>Online Payment</v>
      </c>
      <c r="N393" s="2" t="str">
        <f t="shared" si="19"/>
        <v>Electronics</v>
      </c>
      <c r="O393" s="1" t="str">
        <f t="shared" si="20"/>
        <v>High Stock</v>
      </c>
    </row>
    <row r="394" spans="1:15" x14ac:dyDescent="0.3">
      <c r="A394" s="5">
        <v>45945</v>
      </c>
      <c r="B394" s="2" t="s">
        <v>1110</v>
      </c>
      <c r="C394" s="2" t="s">
        <v>1111</v>
      </c>
      <c r="D394" s="2" t="s">
        <v>52</v>
      </c>
      <c r="E394" s="2" t="s">
        <v>35</v>
      </c>
      <c r="F394" s="2">
        <v>22</v>
      </c>
      <c r="G394" s="7">
        <v>272.37</v>
      </c>
      <c r="H394" s="7">
        <v>4793.71</v>
      </c>
      <c r="I394" s="2">
        <v>20</v>
      </c>
      <c r="J394" s="2" t="s">
        <v>24</v>
      </c>
      <c r="K394" s="2" t="s">
        <v>25</v>
      </c>
      <c r="L394" s="2" t="s">
        <v>31</v>
      </c>
      <c r="M394" s="2" t="str">
        <f t="shared" si="18"/>
        <v>Credit Card</v>
      </c>
      <c r="N394" s="2" t="str">
        <f t="shared" si="19"/>
        <v>Electronics</v>
      </c>
      <c r="O394" s="2" t="str">
        <f t="shared" si="20"/>
        <v>High Stock</v>
      </c>
    </row>
    <row r="395" spans="1:15" x14ac:dyDescent="0.3">
      <c r="A395" s="5">
        <v>45753</v>
      </c>
      <c r="B395" s="2" t="s">
        <v>1113</v>
      </c>
      <c r="C395" s="2" t="s">
        <v>1114</v>
      </c>
      <c r="D395" s="2" t="s">
        <v>82</v>
      </c>
      <c r="E395" s="2" t="s">
        <v>73</v>
      </c>
      <c r="F395" s="2">
        <v>48</v>
      </c>
      <c r="G395" s="7">
        <v>628.04999999999995</v>
      </c>
      <c r="H395" s="7">
        <v>30146.400000000001</v>
      </c>
      <c r="I395" s="2">
        <v>0</v>
      </c>
      <c r="J395" s="2" t="s">
        <v>16</v>
      </c>
      <c r="K395" s="2" t="s">
        <v>17</v>
      </c>
      <c r="L395" s="1" t="s">
        <v>2347</v>
      </c>
      <c r="M395" s="1" t="str">
        <f t="shared" si="18"/>
        <v>Online Payment</v>
      </c>
      <c r="N395" s="2" t="str">
        <f t="shared" si="19"/>
        <v>Furniture</v>
      </c>
      <c r="O395" s="1" t="str">
        <f t="shared" si="20"/>
        <v>High Stock</v>
      </c>
    </row>
    <row r="396" spans="1:15" x14ac:dyDescent="0.3">
      <c r="A396" s="5">
        <v>45913</v>
      </c>
      <c r="B396" s="2" t="s">
        <v>1116</v>
      </c>
      <c r="C396" s="2" t="s">
        <v>1117</v>
      </c>
      <c r="D396" s="2" t="s">
        <v>103</v>
      </c>
      <c r="E396" s="2" t="s">
        <v>35</v>
      </c>
      <c r="F396" s="2">
        <v>46</v>
      </c>
      <c r="G396" s="7">
        <v>515.29</v>
      </c>
      <c r="H396" s="7">
        <v>23703.34</v>
      </c>
      <c r="I396" s="2">
        <v>0</v>
      </c>
      <c r="J396" s="2" t="s">
        <v>16</v>
      </c>
      <c r="K396" s="2" t="s">
        <v>74</v>
      </c>
      <c r="L396" s="2" t="s">
        <v>31</v>
      </c>
      <c r="M396" s="2" t="str">
        <f t="shared" si="18"/>
        <v>Credit Card</v>
      </c>
      <c r="N396" s="2" t="str">
        <f t="shared" si="19"/>
        <v>Electronics</v>
      </c>
      <c r="O396" s="2" t="str">
        <f t="shared" si="20"/>
        <v>High Stock</v>
      </c>
    </row>
    <row r="397" spans="1:15" x14ac:dyDescent="0.3">
      <c r="A397" s="5">
        <v>46011</v>
      </c>
      <c r="B397" s="2" t="s">
        <v>1118</v>
      </c>
      <c r="C397" s="2" t="s">
        <v>1119</v>
      </c>
      <c r="D397" s="2" t="s">
        <v>90</v>
      </c>
      <c r="E397" s="2" t="s">
        <v>23</v>
      </c>
      <c r="F397" s="2">
        <v>45</v>
      </c>
      <c r="G397" s="7">
        <v>26.74</v>
      </c>
      <c r="H397" s="7">
        <v>1203.3</v>
      </c>
      <c r="I397" s="2">
        <v>0</v>
      </c>
      <c r="J397" s="2" t="s">
        <v>16</v>
      </c>
      <c r="K397" s="2" t="s">
        <v>160</v>
      </c>
      <c r="L397" s="2" t="s">
        <v>69</v>
      </c>
      <c r="M397" s="2" t="str">
        <f t="shared" si="18"/>
        <v>Debit Card</v>
      </c>
      <c r="N397" s="2" t="str">
        <f t="shared" si="19"/>
        <v>Accessories</v>
      </c>
      <c r="O397" s="2" t="str">
        <f t="shared" si="20"/>
        <v>High Stock</v>
      </c>
    </row>
    <row r="398" spans="1:15" x14ac:dyDescent="0.3">
      <c r="A398" s="5">
        <v>45896</v>
      </c>
      <c r="B398" s="2" t="s">
        <v>1121</v>
      </c>
      <c r="C398" s="2" t="s">
        <v>1122</v>
      </c>
      <c r="D398" s="2" t="s">
        <v>45</v>
      </c>
      <c r="E398" s="2" t="s">
        <v>23</v>
      </c>
      <c r="F398" s="2">
        <v>9</v>
      </c>
      <c r="G398" s="7">
        <v>126.34</v>
      </c>
      <c r="H398" s="7">
        <v>1080.21</v>
      </c>
      <c r="I398" s="2">
        <v>5</v>
      </c>
      <c r="J398" s="2" t="s">
        <v>16</v>
      </c>
      <c r="K398" s="2" t="s">
        <v>111</v>
      </c>
      <c r="L398" s="1" t="s">
        <v>2347</v>
      </c>
      <c r="M398" s="1" t="str">
        <f t="shared" si="18"/>
        <v>Online Payment</v>
      </c>
      <c r="N398" s="2" t="str">
        <f t="shared" si="19"/>
        <v>Accessories</v>
      </c>
      <c r="O398" s="1" t="str">
        <f t="shared" si="20"/>
        <v>Low Stock</v>
      </c>
    </row>
    <row r="399" spans="1:15" x14ac:dyDescent="0.3">
      <c r="A399" s="5">
        <v>46295</v>
      </c>
      <c r="B399" s="2" t="s">
        <v>1124</v>
      </c>
      <c r="C399" s="2" t="s">
        <v>1125</v>
      </c>
      <c r="D399" s="2" t="s">
        <v>34</v>
      </c>
      <c r="E399" s="2" t="s">
        <v>35</v>
      </c>
      <c r="F399" s="2">
        <v>46</v>
      </c>
      <c r="G399" s="7">
        <v>645.16</v>
      </c>
      <c r="H399" s="7">
        <v>25225.759999999998</v>
      </c>
      <c r="I399" s="2">
        <v>15</v>
      </c>
      <c r="J399" s="2" t="s">
        <v>24</v>
      </c>
      <c r="K399" s="2" t="s">
        <v>59</v>
      </c>
      <c r="L399" s="2" t="s">
        <v>31</v>
      </c>
      <c r="M399" s="2" t="str">
        <f t="shared" si="18"/>
        <v>Credit Card</v>
      </c>
      <c r="N399" s="2" t="str">
        <f t="shared" si="19"/>
        <v>Electronics</v>
      </c>
      <c r="O399" s="2" t="str">
        <f t="shared" si="20"/>
        <v>High Stock</v>
      </c>
    </row>
    <row r="400" spans="1:15" x14ac:dyDescent="0.3">
      <c r="A400" s="5">
        <v>46023</v>
      </c>
      <c r="B400" s="2" t="s">
        <v>1127</v>
      </c>
      <c r="C400" s="2" t="s">
        <v>233</v>
      </c>
      <c r="D400" s="2" t="s">
        <v>52</v>
      </c>
      <c r="E400" s="2" t="s">
        <v>35</v>
      </c>
      <c r="F400" s="2">
        <v>42</v>
      </c>
      <c r="G400" s="7">
        <v>108.45</v>
      </c>
      <c r="H400" s="7">
        <v>4554.8999999999996</v>
      </c>
      <c r="I400" s="2">
        <v>0</v>
      </c>
      <c r="J400" s="2" t="s">
        <v>16</v>
      </c>
      <c r="K400" s="2" t="s">
        <v>74</v>
      </c>
      <c r="L400" s="2" t="s">
        <v>49</v>
      </c>
      <c r="M400" s="2" t="str">
        <f t="shared" si="18"/>
        <v>Check</v>
      </c>
      <c r="N400" s="2" t="str">
        <f t="shared" si="19"/>
        <v>Electronics</v>
      </c>
      <c r="O400" s="2" t="str">
        <f t="shared" si="20"/>
        <v>High Stock</v>
      </c>
    </row>
    <row r="401" spans="1:15" x14ac:dyDescent="0.3">
      <c r="A401" s="5">
        <v>45748</v>
      </c>
      <c r="B401" s="2" t="s">
        <v>1128</v>
      </c>
      <c r="C401" s="2" t="s">
        <v>1129</v>
      </c>
      <c r="D401" s="2" t="s">
        <v>123</v>
      </c>
      <c r="E401" s="2" t="s">
        <v>15</v>
      </c>
      <c r="F401" s="2">
        <v>44</v>
      </c>
      <c r="G401" s="7">
        <v>46.78</v>
      </c>
      <c r="H401" s="7">
        <v>1852.49</v>
      </c>
      <c r="I401" s="2">
        <v>10</v>
      </c>
      <c r="J401" s="2" t="s">
        <v>24</v>
      </c>
      <c r="K401" s="2" t="s">
        <v>25</v>
      </c>
      <c r="L401" s="2" t="s">
        <v>69</v>
      </c>
      <c r="M401" s="2" t="str">
        <f t="shared" si="18"/>
        <v>Debit Card</v>
      </c>
      <c r="N401" s="2" t="str">
        <f t="shared" si="19"/>
        <v>Peripherals</v>
      </c>
      <c r="O401" s="2" t="str">
        <f t="shared" si="20"/>
        <v>High Stock</v>
      </c>
    </row>
    <row r="402" spans="1:15" x14ac:dyDescent="0.3">
      <c r="A402" s="5">
        <v>45826</v>
      </c>
      <c r="B402" s="2" t="s">
        <v>1131</v>
      </c>
      <c r="C402" s="2" t="s">
        <v>1132</v>
      </c>
      <c r="D402" s="2" t="s">
        <v>103</v>
      </c>
      <c r="E402" s="2" t="s">
        <v>35</v>
      </c>
      <c r="F402" s="2">
        <v>16</v>
      </c>
      <c r="G402" s="7">
        <v>508.04</v>
      </c>
      <c r="H402" s="7">
        <v>7315.78</v>
      </c>
      <c r="I402" s="2">
        <v>10</v>
      </c>
      <c r="J402" s="2" t="s">
        <v>24</v>
      </c>
      <c r="K402" s="2" t="s">
        <v>59</v>
      </c>
      <c r="L402" s="2" t="s">
        <v>69</v>
      </c>
      <c r="M402" s="2" t="str">
        <f t="shared" si="18"/>
        <v>Debit Card</v>
      </c>
      <c r="N402" s="2" t="str">
        <f t="shared" si="19"/>
        <v>Electronics</v>
      </c>
      <c r="O402" s="2" t="str">
        <f t="shared" si="20"/>
        <v>High Stock</v>
      </c>
    </row>
    <row r="403" spans="1:15" x14ac:dyDescent="0.3">
      <c r="A403" s="5">
        <v>46270</v>
      </c>
      <c r="B403" s="2" t="s">
        <v>1133</v>
      </c>
      <c r="C403" s="2" t="s">
        <v>1134</v>
      </c>
      <c r="D403" s="2" t="s">
        <v>90</v>
      </c>
      <c r="E403" s="2" t="s">
        <v>23</v>
      </c>
      <c r="F403" s="2">
        <v>40</v>
      </c>
      <c r="G403" s="7">
        <v>43.23</v>
      </c>
      <c r="H403" s="7">
        <v>1729.2</v>
      </c>
      <c r="I403" s="2">
        <v>0</v>
      </c>
      <c r="J403" s="2" t="s">
        <v>24</v>
      </c>
      <c r="K403" s="2" t="s">
        <v>59</v>
      </c>
      <c r="L403" s="2" t="s">
        <v>27</v>
      </c>
      <c r="M403" s="2" t="str">
        <f t="shared" si="18"/>
        <v>Cash</v>
      </c>
      <c r="N403" s="2" t="str">
        <f t="shared" si="19"/>
        <v>Accessories</v>
      </c>
      <c r="O403" s="2" t="str">
        <f t="shared" si="20"/>
        <v>High Stock</v>
      </c>
    </row>
    <row r="404" spans="1:15" x14ac:dyDescent="0.3">
      <c r="A404" s="5">
        <v>46098</v>
      </c>
      <c r="B404" s="2" t="s">
        <v>1135</v>
      </c>
      <c r="C404" s="2" t="s">
        <v>1136</v>
      </c>
      <c r="D404" s="2" t="s">
        <v>14</v>
      </c>
      <c r="E404" s="2" t="s">
        <v>15</v>
      </c>
      <c r="F404" s="2">
        <v>34</v>
      </c>
      <c r="G404" s="7">
        <v>41.92</v>
      </c>
      <c r="H404" s="7">
        <v>1354.02</v>
      </c>
      <c r="I404" s="2">
        <v>5</v>
      </c>
      <c r="J404" s="2" t="s">
        <v>16</v>
      </c>
      <c r="K404" s="2" t="s">
        <v>91</v>
      </c>
      <c r="L404" s="2" t="s">
        <v>31</v>
      </c>
      <c r="M404" s="2" t="str">
        <f t="shared" si="18"/>
        <v>Credit Card</v>
      </c>
      <c r="N404" s="2" t="str">
        <f t="shared" si="19"/>
        <v>Peripherals</v>
      </c>
      <c r="O404" s="2" t="str">
        <f t="shared" si="20"/>
        <v>High Stock</v>
      </c>
    </row>
    <row r="405" spans="1:15" x14ac:dyDescent="0.3">
      <c r="A405" s="5">
        <v>46216</v>
      </c>
      <c r="B405" s="2" t="s">
        <v>1138</v>
      </c>
      <c r="C405" s="2" t="s">
        <v>1139</v>
      </c>
      <c r="D405" s="2" t="s">
        <v>103</v>
      </c>
      <c r="E405" s="2" t="s">
        <v>35</v>
      </c>
      <c r="F405" s="2">
        <v>14</v>
      </c>
      <c r="G405" s="7">
        <v>273.23</v>
      </c>
      <c r="H405" s="7">
        <v>3442.7</v>
      </c>
      <c r="I405" s="2">
        <v>10</v>
      </c>
      <c r="J405" s="2" t="s">
        <v>46</v>
      </c>
      <c r="K405" s="2" t="s">
        <v>83</v>
      </c>
      <c r="L405" s="2" t="s">
        <v>69</v>
      </c>
      <c r="M405" s="2" t="str">
        <f t="shared" si="18"/>
        <v>Debit Card</v>
      </c>
      <c r="N405" s="2" t="str">
        <f t="shared" si="19"/>
        <v>Electronics</v>
      </c>
      <c r="O405" s="2" t="str">
        <f t="shared" si="20"/>
        <v>Low Stock</v>
      </c>
    </row>
    <row r="406" spans="1:15" x14ac:dyDescent="0.3">
      <c r="A406" s="5">
        <v>45872</v>
      </c>
      <c r="B406" s="2" t="s">
        <v>1140</v>
      </c>
      <c r="C406" s="2" t="s">
        <v>1141</v>
      </c>
      <c r="D406" s="2" t="s">
        <v>90</v>
      </c>
      <c r="E406" s="2" t="s">
        <v>23</v>
      </c>
      <c r="F406" s="2">
        <v>2</v>
      </c>
      <c r="G406" s="7">
        <v>41.55</v>
      </c>
      <c r="H406" s="7">
        <v>66.48</v>
      </c>
      <c r="I406" s="2">
        <v>20</v>
      </c>
      <c r="J406" s="2" t="s">
        <v>53</v>
      </c>
      <c r="K406" s="2" t="s">
        <v>67</v>
      </c>
      <c r="L406" s="2" t="s">
        <v>69</v>
      </c>
      <c r="M406" s="2" t="str">
        <f t="shared" si="18"/>
        <v>Debit Card</v>
      </c>
      <c r="N406" s="2" t="str">
        <f t="shared" si="19"/>
        <v>Accessories</v>
      </c>
      <c r="O406" s="2" t="str">
        <f t="shared" si="20"/>
        <v>Low Stock</v>
      </c>
    </row>
    <row r="407" spans="1:15" x14ac:dyDescent="0.3">
      <c r="A407" s="5">
        <v>46301</v>
      </c>
      <c r="B407" s="2" t="s">
        <v>1143</v>
      </c>
      <c r="C407" s="2" t="s">
        <v>1144</v>
      </c>
      <c r="D407" s="2" t="s">
        <v>63</v>
      </c>
      <c r="E407" s="2" t="s">
        <v>15</v>
      </c>
      <c r="F407" s="2">
        <v>33</v>
      </c>
      <c r="G407" s="7">
        <v>53.39</v>
      </c>
      <c r="H407" s="7">
        <v>1673.78</v>
      </c>
      <c r="I407" s="2">
        <v>5</v>
      </c>
      <c r="J407" s="2" t="s">
        <v>46</v>
      </c>
      <c r="K407" s="2" t="s">
        <v>47</v>
      </c>
      <c r="L407" s="2" t="s">
        <v>69</v>
      </c>
      <c r="M407" s="2" t="str">
        <f t="shared" si="18"/>
        <v>Debit Card</v>
      </c>
      <c r="N407" s="2" t="str">
        <f t="shared" si="19"/>
        <v>Peripherals</v>
      </c>
      <c r="O407" s="2" t="str">
        <f t="shared" si="20"/>
        <v>High Stock</v>
      </c>
    </row>
    <row r="408" spans="1:15" x14ac:dyDescent="0.3">
      <c r="A408" s="5">
        <v>45949</v>
      </c>
      <c r="B408" s="2" t="s">
        <v>1145</v>
      </c>
      <c r="C408" s="2" t="s">
        <v>1146</v>
      </c>
      <c r="D408" s="2" t="s">
        <v>99</v>
      </c>
      <c r="E408" s="2" t="s">
        <v>23</v>
      </c>
      <c r="F408" s="2">
        <v>6</v>
      </c>
      <c r="G408" s="7">
        <v>11.87</v>
      </c>
      <c r="H408" s="7">
        <v>64.099999999999994</v>
      </c>
      <c r="I408" s="2">
        <v>10</v>
      </c>
      <c r="J408" s="2" t="s">
        <v>53</v>
      </c>
      <c r="K408" s="2" t="s">
        <v>170</v>
      </c>
      <c r="L408" s="2" t="s">
        <v>31</v>
      </c>
      <c r="M408" s="2" t="str">
        <f t="shared" si="18"/>
        <v>Credit Card</v>
      </c>
      <c r="N408" s="2" t="str">
        <f t="shared" si="19"/>
        <v>Accessories</v>
      </c>
      <c r="O408" s="2" t="str">
        <f t="shared" si="20"/>
        <v>Low Stock</v>
      </c>
    </row>
    <row r="409" spans="1:15" x14ac:dyDescent="0.3">
      <c r="A409" s="5">
        <v>46291</v>
      </c>
      <c r="B409" s="2" t="s">
        <v>1147</v>
      </c>
      <c r="C409" s="2" t="s">
        <v>1148</v>
      </c>
      <c r="D409" s="2" t="s">
        <v>22</v>
      </c>
      <c r="E409" s="2" t="s">
        <v>23</v>
      </c>
      <c r="F409" s="2">
        <v>32</v>
      </c>
      <c r="G409" s="7">
        <v>27.59</v>
      </c>
      <c r="H409" s="7">
        <v>794.59</v>
      </c>
      <c r="I409" s="2">
        <v>10</v>
      </c>
      <c r="J409" s="2" t="s">
        <v>16</v>
      </c>
      <c r="K409" s="2" t="s">
        <v>91</v>
      </c>
      <c r="L409" s="1" t="s">
        <v>2347</v>
      </c>
      <c r="M409" s="1" t="str">
        <f t="shared" si="18"/>
        <v>Online Payment</v>
      </c>
      <c r="N409" s="2" t="str">
        <f t="shared" si="19"/>
        <v>Accessories</v>
      </c>
      <c r="O409" s="1" t="str">
        <f t="shared" si="20"/>
        <v>High Stock</v>
      </c>
    </row>
    <row r="410" spans="1:15" x14ac:dyDescent="0.3">
      <c r="A410" s="5">
        <v>46160</v>
      </c>
      <c r="B410" s="2" t="s">
        <v>1150</v>
      </c>
      <c r="C410" s="2" t="s">
        <v>1151</v>
      </c>
      <c r="D410" s="2" t="s">
        <v>82</v>
      </c>
      <c r="E410" s="2" t="s">
        <v>73</v>
      </c>
      <c r="F410" s="2">
        <v>24</v>
      </c>
      <c r="G410" s="7">
        <v>637.80999999999995</v>
      </c>
      <c r="H410" s="7">
        <v>13776.7</v>
      </c>
      <c r="I410" s="2">
        <v>10</v>
      </c>
      <c r="J410" s="2" t="s">
        <v>24</v>
      </c>
      <c r="K410" s="2" t="s">
        <v>36</v>
      </c>
      <c r="L410" s="2" t="s">
        <v>69</v>
      </c>
      <c r="M410" s="2" t="str">
        <f t="shared" si="18"/>
        <v>Debit Card</v>
      </c>
      <c r="N410" s="2" t="str">
        <f t="shared" si="19"/>
        <v>Furniture</v>
      </c>
      <c r="O410" s="2" t="str">
        <f t="shared" si="20"/>
        <v>High Stock</v>
      </c>
    </row>
    <row r="411" spans="1:15" x14ac:dyDescent="0.3">
      <c r="A411" s="5">
        <v>45756</v>
      </c>
      <c r="B411" s="2" t="s">
        <v>1152</v>
      </c>
      <c r="C411" s="2" t="s">
        <v>1153</v>
      </c>
      <c r="D411" s="1" t="s">
        <v>95</v>
      </c>
      <c r="E411" s="2" t="s">
        <v>35</v>
      </c>
      <c r="F411" s="2">
        <v>42</v>
      </c>
      <c r="G411" s="7">
        <v>386.63</v>
      </c>
      <c r="H411" s="7">
        <v>15426.54</v>
      </c>
      <c r="I411" s="2">
        <v>5</v>
      </c>
      <c r="J411" s="2" t="s">
        <v>24</v>
      </c>
      <c r="K411" s="2" t="s">
        <v>59</v>
      </c>
      <c r="L411" s="2" t="s">
        <v>69</v>
      </c>
      <c r="M411" s="2" t="str">
        <f t="shared" si="18"/>
        <v>Debit Card</v>
      </c>
      <c r="N411" s="2" t="str">
        <f t="shared" si="19"/>
        <v>Electronics</v>
      </c>
      <c r="O411" s="2" t="str">
        <f t="shared" si="20"/>
        <v>High Stock</v>
      </c>
    </row>
    <row r="412" spans="1:15" x14ac:dyDescent="0.3">
      <c r="A412" s="5">
        <v>46087</v>
      </c>
      <c r="B412" s="2" t="s">
        <v>1155</v>
      </c>
      <c r="C412" s="2" t="s">
        <v>1156</v>
      </c>
      <c r="D412" s="2" t="s">
        <v>52</v>
      </c>
      <c r="E412" s="2" t="s">
        <v>35</v>
      </c>
      <c r="F412" s="2">
        <v>15</v>
      </c>
      <c r="G412" s="7">
        <v>229.27</v>
      </c>
      <c r="H412" s="7">
        <v>3439.05</v>
      </c>
      <c r="I412" s="2">
        <v>0</v>
      </c>
      <c r="J412" s="2" t="s">
        <v>24</v>
      </c>
      <c r="K412" s="2" t="s">
        <v>25</v>
      </c>
      <c r="L412" s="2" t="s">
        <v>69</v>
      </c>
      <c r="M412" s="2" t="str">
        <f t="shared" si="18"/>
        <v>Debit Card</v>
      </c>
      <c r="N412" s="2" t="str">
        <f t="shared" si="19"/>
        <v>Electronics</v>
      </c>
      <c r="O412" s="2" t="str">
        <f t="shared" si="20"/>
        <v>Low Stock</v>
      </c>
    </row>
    <row r="413" spans="1:15" x14ac:dyDescent="0.3">
      <c r="A413" s="5">
        <v>45760</v>
      </c>
      <c r="B413" s="2" t="s">
        <v>1158</v>
      </c>
      <c r="C413" s="2" t="s">
        <v>1159</v>
      </c>
      <c r="D413" s="2" t="s">
        <v>34</v>
      </c>
      <c r="E413" s="2" t="s">
        <v>35</v>
      </c>
      <c r="F413" s="2">
        <v>31</v>
      </c>
      <c r="G413" s="7">
        <v>813.05</v>
      </c>
      <c r="H413" s="7">
        <v>23944.32</v>
      </c>
      <c r="I413" s="2">
        <v>5</v>
      </c>
      <c r="J413" s="2" t="s">
        <v>53</v>
      </c>
      <c r="K413" s="2" t="s">
        <v>170</v>
      </c>
      <c r="L413" s="2" t="s">
        <v>49</v>
      </c>
      <c r="M413" s="2" t="str">
        <f t="shared" si="18"/>
        <v>Check</v>
      </c>
      <c r="N413" s="2" t="str">
        <f t="shared" si="19"/>
        <v>Electronics</v>
      </c>
      <c r="O413" s="2" t="str">
        <f t="shared" si="20"/>
        <v>High Stock</v>
      </c>
    </row>
    <row r="414" spans="1:15" x14ac:dyDescent="0.3">
      <c r="A414" s="5">
        <v>46161</v>
      </c>
      <c r="B414" s="2" t="s">
        <v>1161</v>
      </c>
      <c r="C414" s="2" t="s">
        <v>1162</v>
      </c>
      <c r="D414" s="2" t="s">
        <v>22</v>
      </c>
      <c r="E414" s="2" t="s">
        <v>23</v>
      </c>
      <c r="F414" s="2">
        <v>34</v>
      </c>
      <c r="G414" s="7">
        <v>32.479999999999997</v>
      </c>
      <c r="H414" s="7">
        <v>993.89</v>
      </c>
      <c r="I414" s="2">
        <v>10</v>
      </c>
      <c r="J414" s="2" t="s">
        <v>46</v>
      </c>
      <c r="K414" s="2" t="s">
        <v>124</v>
      </c>
      <c r="L414" s="1" t="s">
        <v>2347</v>
      </c>
      <c r="M414" s="1" t="str">
        <f t="shared" si="18"/>
        <v>Online Payment</v>
      </c>
      <c r="N414" s="2" t="str">
        <f t="shared" si="19"/>
        <v>Accessories</v>
      </c>
      <c r="O414" s="1" t="str">
        <f t="shared" si="20"/>
        <v>High Stock</v>
      </c>
    </row>
    <row r="415" spans="1:15" x14ac:dyDescent="0.3">
      <c r="A415" s="5">
        <v>46105</v>
      </c>
      <c r="B415" s="2" t="s">
        <v>1164</v>
      </c>
      <c r="C415" s="2" t="s">
        <v>1165</v>
      </c>
      <c r="D415" s="2" t="s">
        <v>90</v>
      </c>
      <c r="E415" s="2" t="s">
        <v>23</v>
      </c>
      <c r="F415" s="2">
        <v>29</v>
      </c>
      <c r="G415" s="7">
        <v>34.770000000000003</v>
      </c>
      <c r="H415" s="7">
        <v>907.5</v>
      </c>
      <c r="I415" s="2">
        <v>10</v>
      </c>
      <c r="J415" s="2" t="s">
        <v>53</v>
      </c>
      <c r="K415" s="2" t="s">
        <v>170</v>
      </c>
      <c r="L415" s="2" t="s">
        <v>69</v>
      </c>
      <c r="M415" s="2" t="str">
        <f t="shared" si="18"/>
        <v>Debit Card</v>
      </c>
      <c r="N415" s="2" t="str">
        <f t="shared" si="19"/>
        <v>Accessories</v>
      </c>
      <c r="O415" s="2" t="str">
        <f t="shared" si="20"/>
        <v>High Stock</v>
      </c>
    </row>
    <row r="416" spans="1:15" x14ac:dyDescent="0.3">
      <c r="A416" s="5">
        <v>45946</v>
      </c>
      <c r="B416" s="2" t="s">
        <v>1166</v>
      </c>
      <c r="C416" s="2" t="s">
        <v>659</v>
      </c>
      <c r="D416" s="2" t="s">
        <v>40</v>
      </c>
      <c r="E416" s="2" t="s">
        <v>23</v>
      </c>
      <c r="F416" s="2">
        <v>29</v>
      </c>
      <c r="G416" s="7">
        <v>45.1</v>
      </c>
      <c r="H416" s="7">
        <v>1307.9000000000001</v>
      </c>
      <c r="I416" s="2">
        <v>0</v>
      </c>
      <c r="J416" s="2" t="s">
        <v>16</v>
      </c>
      <c r="K416" s="2" t="s">
        <v>91</v>
      </c>
      <c r="L416" s="2" t="s">
        <v>27</v>
      </c>
      <c r="M416" s="2" t="str">
        <f t="shared" si="18"/>
        <v>Cash</v>
      </c>
      <c r="N416" s="2" t="str">
        <f t="shared" si="19"/>
        <v>Accessories</v>
      </c>
      <c r="O416" s="2" t="str">
        <f t="shared" si="20"/>
        <v>High Stock</v>
      </c>
    </row>
    <row r="417" spans="1:15" x14ac:dyDescent="0.3">
      <c r="A417" s="5">
        <v>45826</v>
      </c>
      <c r="B417" s="2" t="s">
        <v>1167</v>
      </c>
      <c r="C417" s="2" t="s">
        <v>1168</v>
      </c>
      <c r="D417" s="1" t="s">
        <v>95</v>
      </c>
      <c r="E417" s="2" t="s">
        <v>35</v>
      </c>
      <c r="F417" s="2">
        <v>27</v>
      </c>
      <c r="G417" s="7">
        <v>345.71</v>
      </c>
      <c r="H417" s="7">
        <v>8867.4599999999991</v>
      </c>
      <c r="I417" s="2">
        <v>5</v>
      </c>
      <c r="J417" s="2" t="s">
        <v>46</v>
      </c>
      <c r="K417" s="2" t="s">
        <v>244</v>
      </c>
      <c r="L417" s="2" t="s">
        <v>49</v>
      </c>
      <c r="M417" s="2" t="str">
        <f t="shared" si="18"/>
        <v>Check</v>
      </c>
      <c r="N417" s="2" t="str">
        <f t="shared" si="19"/>
        <v>Electronics</v>
      </c>
      <c r="O417" s="2" t="str">
        <f t="shared" si="20"/>
        <v>High Stock</v>
      </c>
    </row>
    <row r="418" spans="1:15" x14ac:dyDescent="0.3">
      <c r="A418" s="5">
        <v>45891</v>
      </c>
      <c r="B418" s="2" t="s">
        <v>1169</v>
      </c>
      <c r="C418" s="2" t="s">
        <v>1170</v>
      </c>
      <c r="D418" s="2" t="s">
        <v>45</v>
      </c>
      <c r="E418" s="2" t="s">
        <v>23</v>
      </c>
      <c r="F418" s="2">
        <v>11</v>
      </c>
      <c r="G418" s="7">
        <v>175.53</v>
      </c>
      <c r="H418" s="7">
        <v>1544.66</v>
      </c>
      <c r="I418" s="2">
        <v>20</v>
      </c>
      <c r="J418" s="2" t="s">
        <v>24</v>
      </c>
      <c r="K418" s="2" t="s">
        <v>41</v>
      </c>
      <c r="L418" s="2" t="s">
        <v>31</v>
      </c>
      <c r="M418" s="2" t="str">
        <f t="shared" si="18"/>
        <v>Credit Card</v>
      </c>
      <c r="N418" s="2" t="str">
        <f t="shared" si="19"/>
        <v>Accessories</v>
      </c>
      <c r="O418" s="2" t="str">
        <f t="shared" si="20"/>
        <v>Low Stock</v>
      </c>
    </row>
    <row r="419" spans="1:15" x14ac:dyDescent="0.3">
      <c r="A419" s="5">
        <v>45819</v>
      </c>
      <c r="B419" s="2" t="s">
        <v>1171</v>
      </c>
      <c r="C419" s="2" t="s">
        <v>176</v>
      </c>
      <c r="D419" s="1" t="s">
        <v>95</v>
      </c>
      <c r="E419" s="2" t="s">
        <v>35</v>
      </c>
      <c r="F419" s="2">
        <v>14</v>
      </c>
      <c r="G419" s="7">
        <v>922.37</v>
      </c>
      <c r="H419" s="7">
        <v>10976.2</v>
      </c>
      <c r="I419" s="2">
        <v>15</v>
      </c>
      <c r="J419" s="2" t="s">
        <v>16</v>
      </c>
      <c r="K419" s="2" t="s">
        <v>160</v>
      </c>
      <c r="L419" s="2" t="s">
        <v>27</v>
      </c>
      <c r="M419" s="2" t="str">
        <f t="shared" si="18"/>
        <v>Cash</v>
      </c>
      <c r="N419" s="2" t="str">
        <f t="shared" si="19"/>
        <v>Electronics</v>
      </c>
      <c r="O419" s="2" t="str">
        <f t="shared" si="20"/>
        <v>Low Stock</v>
      </c>
    </row>
    <row r="420" spans="1:15" x14ac:dyDescent="0.3">
      <c r="A420" s="5">
        <v>46153</v>
      </c>
      <c r="B420" s="2" t="s">
        <v>1172</v>
      </c>
      <c r="C420" s="2" t="s">
        <v>1173</v>
      </c>
      <c r="D420" s="2" t="s">
        <v>90</v>
      </c>
      <c r="E420" s="2" t="s">
        <v>23</v>
      </c>
      <c r="F420" s="2">
        <v>27</v>
      </c>
      <c r="G420" s="7">
        <v>20.21</v>
      </c>
      <c r="H420" s="7">
        <v>518.39</v>
      </c>
      <c r="I420" s="2">
        <v>5</v>
      </c>
      <c r="J420" s="2" t="s">
        <v>16</v>
      </c>
      <c r="K420" s="2" t="s">
        <v>74</v>
      </c>
      <c r="L420" s="2" t="s">
        <v>69</v>
      </c>
      <c r="M420" s="2" t="str">
        <f t="shared" si="18"/>
        <v>Debit Card</v>
      </c>
      <c r="N420" s="2" t="str">
        <f t="shared" si="19"/>
        <v>Accessories</v>
      </c>
      <c r="O420" s="2" t="str">
        <f t="shared" si="20"/>
        <v>High Stock</v>
      </c>
    </row>
    <row r="421" spans="1:15" x14ac:dyDescent="0.3">
      <c r="A421" s="5">
        <v>45950</v>
      </c>
      <c r="B421" s="2" t="s">
        <v>1175</v>
      </c>
      <c r="C421" s="2" t="s">
        <v>882</v>
      </c>
      <c r="D421" s="2" t="s">
        <v>123</v>
      </c>
      <c r="E421" s="2" t="s">
        <v>15</v>
      </c>
      <c r="F421" s="2">
        <v>43</v>
      </c>
      <c r="G421" s="7">
        <v>34.79</v>
      </c>
      <c r="H421" s="7">
        <v>1421.17</v>
      </c>
      <c r="I421" s="2">
        <v>5</v>
      </c>
      <c r="J421" s="2" t="s">
        <v>16</v>
      </c>
      <c r="K421" s="2" t="s">
        <v>74</v>
      </c>
      <c r="L421" s="2" t="s">
        <v>69</v>
      </c>
      <c r="M421" s="2" t="str">
        <f t="shared" si="18"/>
        <v>Debit Card</v>
      </c>
      <c r="N421" s="2" t="str">
        <f t="shared" si="19"/>
        <v>Peripherals</v>
      </c>
      <c r="O421" s="2" t="str">
        <f t="shared" si="20"/>
        <v>High Stock</v>
      </c>
    </row>
    <row r="422" spans="1:15" x14ac:dyDescent="0.3">
      <c r="A422" s="5">
        <v>46080</v>
      </c>
      <c r="B422" s="2" t="s">
        <v>1176</v>
      </c>
      <c r="C422" s="2" t="s">
        <v>1177</v>
      </c>
      <c r="D422" s="2" t="s">
        <v>52</v>
      </c>
      <c r="E422" s="2" t="s">
        <v>35</v>
      </c>
      <c r="F422" s="2">
        <v>43</v>
      </c>
      <c r="G422" s="7">
        <v>255.52</v>
      </c>
      <c r="H422" s="7">
        <v>8789.89</v>
      </c>
      <c r="I422" s="2">
        <v>20</v>
      </c>
      <c r="J422" s="2" t="s">
        <v>46</v>
      </c>
      <c r="K422" s="2" t="s">
        <v>83</v>
      </c>
      <c r="L422" s="2" t="s">
        <v>49</v>
      </c>
      <c r="M422" s="2" t="str">
        <f t="shared" si="18"/>
        <v>Check</v>
      </c>
      <c r="N422" s="2" t="str">
        <f t="shared" si="19"/>
        <v>Electronics</v>
      </c>
      <c r="O422" s="2" t="str">
        <f t="shared" si="20"/>
        <v>High Stock</v>
      </c>
    </row>
    <row r="423" spans="1:15" x14ac:dyDescent="0.3">
      <c r="A423" s="5">
        <v>46015</v>
      </c>
      <c r="B423" s="2" t="s">
        <v>1179</v>
      </c>
      <c r="C423" s="2" t="s">
        <v>1180</v>
      </c>
      <c r="D423" s="2" t="s">
        <v>22</v>
      </c>
      <c r="E423" s="2" t="s">
        <v>23</v>
      </c>
      <c r="F423" s="2">
        <v>45</v>
      </c>
      <c r="G423" s="7">
        <v>31.55</v>
      </c>
      <c r="H423" s="7">
        <v>1348.76</v>
      </c>
      <c r="I423" s="2">
        <v>5</v>
      </c>
      <c r="J423" s="2" t="s">
        <v>46</v>
      </c>
      <c r="K423" s="2" t="s">
        <v>47</v>
      </c>
      <c r="L423" s="2" t="s">
        <v>27</v>
      </c>
      <c r="M423" s="2" t="str">
        <f t="shared" si="18"/>
        <v>Cash</v>
      </c>
      <c r="N423" s="2" t="str">
        <f t="shared" si="19"/>
        <v>Accessories</v>
      </c>
      <c r="O423" s="2" t="str">
        <f t="shared" si="20"/>
        <v>High Stock</v>
      </c>
    </row>
    <row r="424" spans="1:15" x14ac:dyDescent="0.3">
      <c r="A424" s="5">
        <v>46183</v>
      </c>
      <c r="B424" s="2" t="s">
        <v>1182</v>
      </c>
      <c r="C424" s="2" t="s">
        <v>1183</v>
      </c>
      <c r="D424" s="2" t="s">
        <v>90</v>
      </c>
      <c r="E424" s="2" t="s">
        <v>23</v>
      </c>
      <c r="F424" s="2">
        <v>41</v>
      </c>
      <c r="G424" s="7">
        <v>34.549999999999997</v>
      </c>
      <c r="H424" s="7">
        <v>1416.55</v>
      </c>
      <c r="I424" s="2">
        <v>0</v>
      </c>
      <c r="J424" s="2" t="s">
        <v>24</v>
      </c>
      <c r="K424" s="2" t="s">
        <v>41</v>
      </c>
      <c r="L424" s="2" t="s">
        <v>27</v>
      </c>
      <c r="M424" s="2" t="str">
        <f t="shared" si="18"/>
        <v>Cash</v>
      </c>
      <c r="N424" s="2" t="str">
        <f t="shared" si="19"/>
        <v>Accessories</v>
      </c>
      <c r="O424" s="2" t="str">
        <f t="shared" si="20"/>
        <v>High Stock</v>
      </c>
    </row>
    <row r="425" spans="1:15" x14ac:dyDescent="0.3">
      <c r="A425" s="5">
        <v>45978</v>
      </c>
      <c r="B425" s="2" t="s">
        <v>1185</v>
      </c>
      <c r="C425" s="2" t="s">
        <v>1186</v>
      </c>
      <c r="D425" s="2" t="s">
        <v>34</v>
      </c>
      <c r="E425" s="2" t="s">
        <v>35</v>
      </c>
      <c r="F425" s="2">
        <v>2</v>
      </c>
      <c r="G425" s="7">
        <v>687.12</v>
      </c>
      <c r="H425" s="7">
        <v>1374.24</v>
      </c>
      <c r="I425" s="2">
        <v>0</v>
      </c>
      <c r="J425" s="2" t="s">
        <v>16</v>
      </c>
      <c r="K425" s="2" t="s">
        <v>17</v>
      </c>
      <c r="L425" s="1" t="s">
        <v>2347</v>
      </c>
      <c r="M425" s="1" t="str">
        <f t="shared" si="18"/>
        <v>Online Payment</v>
      </c>
      <c r="N425" s="2" t="str">
        <f t="shared" si="19"/>
        <v>Electronics</v>
      </c>
      <c r="O425" s="1" t="str">
        <f t="shared" si="20"/>
        <v>Low Stock</v>
      </c>
    </row>
    <row r="426" spans="1:15" x14ac:dyDescent="0.3">
      <c r="A426" s="5">
        <v>46136</v>
      </c>
      <c r="B426" s="2" t="s">
        <v>1187</v>
      </c>
      <c r="C426" s="2" t="s">
        <v>1188</v>
      </c>
      <c r="D426" s="1" t="s">
        <v>95</v>
      </c>
      <c r="E426" s="2" t="s">
        <v>35</v>
      </c>
      <c r="F426" s="2">
        <v>20</v>
      </c>
      <c r="G426" s="7">
        <v>274.66000000000003</v>
      </c>
      <c r="H426" s="7">
        <v>4943.88</v>
      </c>
      <c r="I426" s="2">
        <v>10</v>
      </c>
      <c r="J426" s="2" t="s">
        <v>24</v>
      </c>
      <c r="K426" s="2" t="s">
        <v>25</v>
      </c>
      <c r="L426" s="2" t="s">
        <v>69</v>
      </c>
      <c r="M426" s="2" t="str">
        <f t="shared" si="18"/>
        <v>Debit Card</v>
      </c>
      <c r="N426" s="2" t="str">
        <f t="shared" si="19"/>
        <v>Electronics</v>
      </c>
      <c r="O426" s="2" t="str">
        <f t="shared" si="20"/>
        <v>High Stock</v>
      </c>
    </row>
    <row r="427" spans="1:15" x14ac:dyDescent="0.3">
      <c r="A427" s="5">
        <v>45898</v>
      </c>
      <c r="B427" s="2" t="s">
        <v>1190</v>
      </c>
      <c r="C427" s="2" t="s">
        <v>1191</v>
      </c>
      <c r="D427" s="1" t="s">
        <v>95</v>
      </c>
      <c r="E427" s="2" t="s">
        <v>35</v>
      </c>
      <c r="F427" s="2">
        <v>12</v>
      </c>
      <c r="G427" s="7">
        <v>1144.19</v>
      </c>
      <c r="H427" s="7">
        <v>13730.28</v>
      </c>
      <c r="I427" s="2">
        <v>0</v>
      </c>
      <c r="J427" s="2" t="s">
        <v>53</v>
      </c>
      <c r="K427" s="2" t="s">
        <v>170</v>
      </c>
      <c r="L427" s="2" t="s">
        <v>31</v>
      </c>
      <c r="M427" s="2" t="str">
        <f t="shared" si="18"/>
        <v>Credit Card</v>
      </c>
      <c r="N427" s="2" t="str">
        <f t="shared" si="19"/>
        <v>Electronics</v>
      </c>
      <c r="O427" s="2" t="str">
        <f t="shared" si="20"/>
        <v>Low Stock</v>
      </c>
    </row>
    <row r="428" spans="1:15" x14ac:dyDescent="0.3">
      <c r="A428" s="5">
        <v>46078</v>
      </c>
      <c r="B428" s="2" t="s">
        <v>1193</v>
      </c>
      <c r="C428" s="2" t="s">
        <v>1003</v>
      </c>
      <c r="D428" s="1" t="s">
        <v>95</v>
      </c>
      <c r="E428" s="2" t="s">
        <v>35</v>
      </c>
      <c r="F428" s="2">
        <v>17</v>
      </c>
      <c r="G428" s="7">
        <v>867.67</v>
      </c>
      <c r="H428" s="7">
        <v>14750.39</v>
      </c>
      <c r="I428" s="2">
        <v>0</v>
      </c>
      <c r="J428" s="2" t="s">
        <v>24</v>
      </c>
      <c r="K428" s="2" t="s">
        <v>41</v>
      </c>
      <c r="L428" s="2" t="s">
        <v>31</v>
      </c>
      <c r="M428" s="2" t="str">
        <f t="shared" si="18"/>
        <v>Credit Card</v>
      </c>
      <c r="N428" s="2" t="str">
        <f t="shared" si="19"/>
        <v>Electronics</v>
      </c>
      <c r="O428" s="2" t="str">
        <f t="shared" si="20"/>
        <v>High Stock</v>
      </c>
    </row>
    <row r="429" spans="1:15" x14ac:dyDescent="0.3">
      <c r="A429" s="5">
        <v>45726</v>
      </c>
      <c r="B429" s="2" t="s">
        <v>1194</v>
      </c>
      <c r="C429" s="2" t="s">
        <v>1195</v>
      </c>
      <c r="D429" s="2" t="s">
        <v>14</v>
      </c>
      <c r="E429" s="2" t="s">
        <v>15</v>
      </c>
      <c r="F429" s="2">
        <v>25</v>
      </c>
      <c r="G429" s="7">
        <v>78.510000000000005</v>
      </c>
      <c r="H429" s="7">
        <v>1570.2</v>
      </c>
      <c r="I429" s="2">
        <v>20</v>
      </c>
      <c r="J429" s="2" t="s">
        <v>53</v>
      </c>
      <c r="K429" s="2" t="s">
        <v>134</v>
      </c>
      <c r="L429" s="2" t="s">
        <v>49</v>
      </c>
      <c r="M429" s="2" t="str">
        <f t="shared" si="18"/>
        <v>Check</v>
      </c>
      <c r="N429" s="2" t="str">
        <f t="shared" si="19"/>
        <v>Peripherals</v>
      </c>
      <c r="O429" s="2" t="str">
        <f t="shared" si="20"/>
        <v>High Stock</v>
      </c>
    </row>
    <row r="430" spans="1:15" x14ac:dyDescent="0.3">
      <c r="A430" s="5">
        <v>45863</v>
      </c>
      <c r="B430" s="2" t="s">
        <v>1196</v>
      </c>
      <c r="C430" s="2" t="s">
        <v>710</v>
      </c>
      <c r="D430" s="2" t="s">
        <v>90</v>
      </c>
      <c r="E430" s="2" t="s">
        <v>23</v>
      </c>
      <c r="F430" s="2">
        <v>44</v>
      </c>
      <c r="G430" s="7">
        <v>25.44</v>
      </c>
      <c r="H430" s="7">
        <v>1119.3599999999999</v>
      </c>
      <c r="I430" s="2">
        <v>0</v>
      </c>
      <c r="J430" s="2" t="s">
        <v>16</v>
      </c>
      <c r="K430" s="2" t="s">
        <v>111</v>
      </c>
      <c r="L430" s="2" t="s">
        <v>27</v>
      </c>
      <c r="M430" s="2" t="str">
        <f t="shared" si="18"/>
        <v>Cash</v>
      </c>
      <c r="N430" s="2" t="str">
        <f t="shared" si="19"/>
        <v>Accessories</v>
      </c>
      <c r="O430" s="2" t="str">
        <f t="shared" si="20"/>
        <v>High Stock</v>
      </c>
    </row>
    <row r="431" spans="1:15" x14ac:dyDescent="0.3">
      <c r="A431" s="5">
        <v>45921</v>
      </c>
      <c r="B431" s="2" t="s">
        <v>1198</v>
      </c>
      <c r="C431" s="2" t="s">
        <v>1199</v>
      </c>
      <c r="D431" s="2" t="s">
        <v>34</v>
      </c>
      <c r="E431" s="2" t="s">
        <v>35</v>
      </c>
      <c r="F431" s="2">
        <v>47</v>
      </c>
      <c r="G431" s="7">
        <v>588.85</v>
      </c>
      <c r="H431" s="7">
        <v>22140.76</v>
      </c>
      <c r="I431" s="2">
        <v>20</v>
      </c>
      <c r="J431" s="2" t="s">
        <v>24</v>
      </c>
      <c r="K431" s="2" t="s">
        <v>59</v>
      </c>
      <c r="L431" s="2" t="s">
        <v>69</v>
      </c>
      <c r="M431" s="2" t="str">
        <f t="shared" si="18"/>
        <v>Debit Card</v>
      </c>
      <c r="N431" s="2" t="str">
        <f t="shared" si="19"/>
        <v>Electronics</v>
      </c>
      <c r="O431" s="2" t="str">
        <f t="shared" si="20"/>
        <v>High Stock</v>
      </c>
    </row>
    <row r="432" spans="1:15" x14ac:dyDescent="0.3">
      <c r="A432" s="5">
        <v>46294</v>
      </c>
      <c r="B432" s="2" t="s">
        <v>1200</v>
      </c>
      <c r="C432" s="2" t="s">
        <v>1201</v>
      </c>
      <c r="D432" s="2" t="s">
        <v>63</v>
      </c>
      <c r="E432" s="2" t="s">
        <v>15</v>
      </c>
      <c r="F432" s="2">
        <v>2</v>
      </c>
      <c r="G432" s="7">
        <v>41.01</v>
      </c>
      <c r="H432" s="7">
        <v>73.819999999999993</v>
      </c>
      <c r="I432" s="2">
        <v>10</v>
      </c>
      <c r="J432" s="2" t="s">
        <v>46</v>
      </c>
      <c r="K432" s="2" t="s">
        <v>47</v>
      </c>
      <c r="L432" s="2" t="s">
        <v>27</v>
      </c>
      <c r="M432" s="2" t="str">
        <f t="shared" si="18"/>
        <v>Cash</v>
      </c>
      <c r="N432" s="2" t="str">
        <f t="shared" si="19"/>
        <v>Peripherals</v>
      </c>
      <c r="O432" s="2" t="str">
        <f t="shared" si="20"/>
        <v>Low Stock</v>
      </c>
    </row>
    <row r="433" spans="1:15" x14ac:dyDescent="0.3">
      <c r="A433" s="5">
        <v>45788</v>
      </c>
      <c r="B433" s="2" t="s">
        <v>1203</v>
      </c>
      <c r="C433" s="2" t="s">
        <v>336</v>
      </c>
      <c r="D433" s="2" t="s">
        <v>99</v>
      </c>
      <c r="E433" s="2" t="s">
        <v>23</v>
      </c>
      <c r="F433" s="2">
        <v>15</v>
      </c>
      <c r="G433" s="7">
        <v>11.21</v>
      </c>
      <c r="H433" s="7">
        <v>142.93</v>
      </c>
      <c r="I433" s="2">
        <v>15</v>
      </c>
      <c r="J433" s="2" t="s">
        <v>16</v>
      </c>
      <c r="K433" s="2" t="s">
        <v>17</v>
      </c>
      <c r="L433" s="2" t="s">
        <v>31</v>
      </c>
      <c r="M433" s="2" t="str">
        <f t="shared" si="18"/>
        <v>Credit Card</v>
      </c>
      <c r="N433" s="2" t="str">
        <f t="shared" si="19"/>
        <v>Accessories</v>
      </c>
      <c r="O433" s="2" t="str">
        <f t="shared" si="20"/>
        <v>Low Stock</v>
      </c>
    </row>
    <row r="434" spans="1:15" x14ac:dyDescent="0.3">
      <c r="A434" s="5">
        <v>45756</v>
      </c>
      <c r="B434" s="2" t="s">
        <v>1205</v>
      </c>
      <c r="C434" s="2" t="s">
        <v>1206</v>
      </c>
      <c r="D434" s="2" t="s">
        <v>123</v>
      </c>
      <c r="E434" s="2" t="s">
        <v>15</v>
      </c>
      <c r="F434" s="2">
        <v>9</v>
      </c>
      <c r="G434" s="7">
        <v>43.04</v>
      </c>
      <c r="H434" s="7">
        <v>387.36</v>
      </c>
      <c r="I434" s="2">
        <v>0</v>
      </c>
      <c r="J434" s="2" t="s">
        <v>46</v>
      </c>
      <c r="K434" s="2" t="s">
        <v>83</v>
      </c>
      <c r="L434" s="2" t="s">
        <v>27</v>
      </c>
      <c r="M434" s="2" t="str">
        <f t="shared" si="18"/>
        <v>Cash</v>
      </c>
      <c r="N434" s="2" t="str">
        <f t="shared" si="19"/>
        <v>Peripherals</v>
      </c>
      <c r="O434" s="2" t="str">
        <f t="shared" si="20"/>
        <v>Low Stock</v>
      </c>
    </row>
    <row r="435" spans="1:15" x14ac:dyDescent="0.3">
      <c r="A435" s="5">
        <v>45863</v>
      </c>
      <c r="B435" s="2" t="s">
        <v>1207</v>
      </c>
      <c r="C435" s="2" t="s">
        <v>1208</v>
      </c>
      <c r="D435" s="2" t="s">
        <v>82</v>
      </c>
      <c r="E435" s="2" t="s">
        <v>73</v>
      </c>
      <c r="F435" s="2">
        <v>21</v>
      </c>
      <c r="G435" s="7">
        <v>458.24</v>
      </c>
      <c r="H435" s="7">
        <v>9623.0400000000009</v>
      </c>
      <c r="I435" s="2">
        <v>0</v>
      </c>
      <c r="J435" s="2" t="s">
        <v>46</v>
      </c>
      <c r="K435" s="2" t="s">
        <v>78</v>
      </c>
      <c r="L435" s="1" t="s">
        <v>2347</v>
      </c>
      <c r="M435" s="1" t="str">
        <f t="shared" si="18"/>
        <v>Online Payment</v>
      </c>
      <c r="N435" s="2" t="str">
        <f t="shared" si="19"/>
        <v>Furniture</v>
      </c>
      <c r="O435" s="1" t="str">
        <f t="shared" si="20"/>
        <v>High Stock</v>
      </c>
    </row>
    <row r="436" spans="1:15" x14ac:dyDescent="0.3">
      <c r="A436" s="5">
        <v>46076</v>
      </c>
      <c r="B436" s="2" t="s">
        <v>1209</v>
      </c>
      <c r="C436" s="2" t="s">
        <v>1210</v>
      </c>
      <c r="D436" s="2" t="s">
        <v>63</v>
      </c>
      <c r="E436" s="2" t="s">
        <v>15</v>
      </c>
      <c r="F436" s="2">
        <v>37</v>
      </c>
      <c r="G436" s="7">
        <v>70.73</v>
      </c>
      <c r="H436" s="7">
        <v>2355.31</v>
      </c>
      <c r="I436" s="2">
        <v>10</v>
      </c>
      <c r="J436" s="2" t="s">
        <v>53</v>
      </c>
      <c r="K436" s="2" t="s">
        <v>134</v>
      </c>
      <c r="L436" s="2" t="s">
        <v>31</v>
      </c>
      <c r="M436" s="2" t="str">
        <f t="shared" si="18"/>
        <v>Credit Card</v>
      </c>
      <c r="N436" s="2" t="str">
        <f t="shared" si="19"/>
        <v>Peripherals</v>
      </c>
      <c r="O436" s="2" t="str">
        <f t="shared" si="20"/>
        <v>High Stock</v>
      </c>
    </row>
    <row r="437" spans="1:15" x14ac:dyDescent="0.3">
      <c r="A437" s="5">
        <v>46082</v>
      </c>
      <c r="B437" s="2" t="s">
        <v>1212</v>
      </c>
      <c r="C437" s="2" t="s">
        <v>1213</v>
      </c>
      <c r="D437" s="1" t="s">
        <v>95</v>
      </c>
      <c r="E437" s="2" t="s">
        <v>35</v>
      </c>
      <c r="F437" s="2">
        <v>3</v>
      </c>
      <c r="G437" s="7">
        <v>874.13</v>
      </c>
      <c r="H437" s="7">
        <v>2360.15</v>
      </c>
      <c r="I437" s="2">
        <v>10</v>
      </c>
      <c r="J437" s="2" t="s">
        <v>24</v>
      </c>
      <c r="K437" s="2" t="s">
        <v>104</v>
      </c>
      <c r="L437" s="2" t="s">
        <v>31</v>
      </c>
      <c r="M437" s="2" t="str">
        <f t="shared" si="18"/>
        <v>Credit Card</v>
      </c>
      <c r="N437" s="2" t="str">
        <f t="shared" si="19"/>
        <v>Electronics</v>
      </c>
      <c r="O437" s="2" t="str">
        <f t="shared" si="20"/>
        <v>Low Stock</v>
      </c>
    </row>
    <row r="438" spans="1:15" x14ac:dyDescent="0.3">
      <c r="A438" s="5">
        <v>46270</v>
      </c>
      <c r="B438" s="2" t="s">
        <v>1214</v>
      </c>
      <c r="C438" s="2" t="s">
        <v>1215</v>
      </c>
      <c r="D438" s="2" t="s">
        <v>99</v>
      </c>
      <c r="E438" s="2" t="s">
        <v>23</v>
      </c>
      <c r="F438" s="2">
        <v>48</v>
      </c>
      <c r="G438" s="7">
        <v>22.46</v>
      </c>
      <c r="H438" s="7">
        <v>916.37</v>
      </c>
      <c r="I438" s="2">
        <v>15</v>
      </c>
      <c r="J438" s="2" t="s">
        <v>53</v>
      </c>
      <c r="K438" s="2" t="s">
        <v>134</v>
      </c>
      <c r="L438" s="2" t="s">
        <v>31</v>
      </c>
      <c r="M438" s="2" t="str">
        <f t="shared" si="18"/>
        <v>Credit Card</v>
      </c>
      <c r="N438" s="2" t="str">
        <f t="shared" si="19"/>
        <v>Accessories</v>
      </c>
      <c r="O438" s="2" t="str">
        <f t="shared" si="20"/>
        <v>High Stock</v>
      </c>
    </row>
    <row r="439" spans="1:15" x14ac:dyDescent="0.3">
      <c r="A439" s="5">
        <v>45710</v>
      </c>
      <c r="B439" s="2" t="s">
        <v>1216</v>
      </c>
      <c r="C439" s="2" t="s">
        <v>1217</v>
      </c>
      <c r="D439" s="2" t="s">
        <v>123</v>
      </c>
      <c r="E439" s="2" t="s">
        <v>15</v>
      </c>
      <c r="F439" s="2">
        <v>30</v>
      </c>
      <c r="G439" s="7">
        <v>17.690000000000001</v>
      </c>
      <c r="H439" s="7">
        <v>530.70000000000005</v>
      </c>
      <c r="I439" s="2">
        <v>0</v>
      </c>
      <c r="J439" s="2" t="s">
        <v>16</v>
      </c>
      <c r="K439" s="2" t="s">
        <v>111</v>
      </c>
      <c r="L439" s="1" t="s">
        <v>2347</v>
      </c>
      <c r="M439" s="1" t="str">
        <f t="shared" si="18"/>
        <v>Online Payment</v>
      </c>
      <c r="N439" s="2" t="str">
        <f t="shared" si="19"/>
        <v>Peripherals</v>
      </c>
      <c r="O439" s="1" t="str">
        <f t="shared" si="20"/>
        <v>High Stock</v>
      </c>
    </row>
    <row r="440" spans="1:15" x14ac:dyDescent="0.3">
      <c r="A440" s="5">
        <v>46074</v>
      </c>
      <c r="B440" s="2" t="s">
        <v>1219</v>
      </c>
      <c r="C440" s="2" t="s">
        <v>1220</v>
      </c>
      <c r="D440" s="2" t="s">
        <v>90</v>
      </c>
      <c r="E440" s="2" t="s">
        <v>23</v>
      </c>
      <c r="F440" s="2">
        <v>20</v>
      </c>
      <c r="G440" s="7">
        <v>22.38</v>
      </c>
      <c r="H440" s="7">
        <v>402.84</v>
      </c>
      <c r="I440" s="2">
        <v>10</v>
      </c>
      <c r="J440" s="2" t="s">
        <v>24</v>
      </c>
      <c r="K440" s="2" t="s">
        <v>36</v>
      </c>
      <c r="L440" s="2" t="s">
        <v>49</v>
      </c>
      <c r="M440" s="2" t="str">
        <f t="shared" si="18"/>
        <v>Check</v>
      </c>
      <c r="N440" s="2" t="str">
        <f t="shared" si="19"/>
        <v>Accessories</v>
      </c>
      <c r="O440" s="2" t="str">
        <f t="shared" si="20"/>
        <v>High Stock</v>
      </c>
    </row>
    <row r="441" spans="1:15" x14ac:dyDescent="0.3">
      <c r="A441" s="5">
        <v>45705</v>
      </c>
      <c r="B441" s="2" t="s">
        <v>1221</v>
      </c>
      <c r="C441" s="2" t="s">
        <v>1222</v>
      </c>
      <c r="D441" s="2" t="s">
        <v>14</v>
      </c>
      <c r="E441" s="2" t="s">
        <v>15</v>
      </c>
      <c r="F441" s="2">
        <v>11</v>
      </c>
      <c r="G441" s="7">
        <v>83.49</v>
      </c>
      <c r="H441" s="7">
        <v>918.39</v>
      </c>
      <c r="I441" s="2">
        <v>0</v>
      </c>
      <c r="J441" s="2" t="s">
        <v>16</v>
      </c>
      <c r="K441" s="2" t="s">
        <v>111</v>
      </c>
      <c r="L441" s="2" t="s">
        <v>27</v>
      </c>
      <c r="M441" s="2" t="str">
        <f t="shared" si="18"/>
        <v>Cash</v>
      </c>
      <c r="N441" s="2" t="str">
        <f t="shared" si="19"/>
        <v>Peripherals</v>
      </c>
      <c r="O441" s="2" t="str">
        <f t="shared" si="20"/>
        <v>Low Stock</v>
      </c>
    </row>
    <row r="442" spans="1:15" x14ac:dyDescent="0.3">
      <c r="A442" s="5">
        <v>46293</v>
      </c>
      <c r="B442" s="2" t="s">
        <v>1223</v>
      </c>
      <c r="C442" s="2" t="s">
        <v>713</v>
      </c>
      <c r="D442" s="2" t="s">
        <v>99</v>
      </c>
      <c r="E442" s="2" t="s">
        <v>23</v>
      </c>
      <c r="F442" s="2">
        <v>7</v>
      </c>
      <c r="G442" s="7">
        <v>13.46</v>
      </c>
      <c r="H442" s="7">
        <v>84.8</v>
      </c>
      <c r="I442" s="2">
        <v>10</v>
      </c>
      <c r="J442" s="2" t="s">
        <v>24</v>
      </c>
      <c r="K442" s="2" t="s">
        <v>36</v>
      </c>
      <c r="L442" s="2" t="s">
        <v>31</v>
      </c>
      <c r="M442" s="2" t="str">
        <f t="shared" si="18"/>
        <v>Credit Card</v>
      </c>
      <c r="N442" s="2" t="str">
        <f t="shared" si="19"/>
        <v>Accessories</v>
      </c>
      <c r="O442" s="2" t="str">
        <f t="shared" si="20"/>
        <v>Low Stock</v>
      </c>
    </row>
    <row r="443" spans="1:15" x14ac:dyDescent="0.3">
      <c r="A443" s="5">
        <v>45737</v>
      </c>
      <c r="B443" s="2" t="s">
        <v>1225</v>
      </c>
      <c r="C443" s="2" t="s">
        <v>865</v>
      </c>
      <c r="D443" s="2" t="s">
        <v>99</v>
      </c>
      <c r="E443" s="2" t="s">
        <v>23</v>
      </c>
      <c r="F443" s="2">
        <v>6</v>
      </c>
      <c r="G443" s="7">
        <v>16.670000000000002</v>
      </c>
      <c r="H443" s="7">
        <v>95.02</v>
      </c>
      <c r="I443" s="2">
        <v>5</v>
      </c>
      <c r="J443" s="2" t="s">
        <v>16</v>
      </c>
      <c r="K443" s="2" t="s">
        <v>160</v>
      </c>
      <c r="L443" s="2" t="s">
        <v>69</v>
      </c>
      <c r="M443" s="2" t="str">
        <f t="shared" si="18"/>
        <v>Debit Card</v>
      </c>
      <c r="N443" s="2" t="str">
        <f t="shared" si="19"/>
        <v>Accessories</v>
      </c>
      <c r="O443" s="2" t="str">
        <f t="shared" si="20"/>
        <v>Low Stock</v>
      </c>
    </row>
    <row r="444" spans="1:15" x14ac:dyDescent="0.3">
      <c r="A444" s="5">
        <v>46081</v>
      </c>
      <c r="B444" s="2" t="s">
        <v>1227</v>
      </c>
      <c r="C444" s="2" t="s">
        <v>1228</v>
      </c>
      <c r="D444" s="2" t="s">
        <v>90</v>
      </c>
      <c r="E444" s="2" t="s">
        <v>23</v>
      </c>
      <c r="F444" s="2">
        <v>21</v>
      </c>
      <c r="G444" s="7">
        <v>25.15</v>
      </c>
      <c r="H444" s="7">
        <v>448.93</v>
      </c>
      <c r="I444" s="2">
        <v>15</v>
      </c>
      <c r="J444" s="2" t="s">
        <v>16</v>
      </c>
      <c r="K444" s="2" t="s">
        <v>111</v>
      </c>
      <c r="L444" s="2" t="s">
        <v>31</v>
      </c>
      <c r="M444" s="2" t="str">
        <f t="shared" si="18"/>
        <v>Credit Card</v>
      </c>
      <c r="N444" s="2" t="str">
        <f t="shared" si="19"/>
        <v>Accessories</v>
      </c>
      <c r="O444" s="2" t="str">
        <f t="shared" si="20"/>
        <v>High Stock</v>
      </c>
    </row>
    <row r="445" spans="1:15" x14ac:dyDescent="0.3">
      <c r="A445" s="5">
        <v>45862</v>
      </c>
      <c r="B445" s="2" t="s">
        <v>1230</v>
      </c>
      <c r="C445" s="2" t="s">
        <v>1231</v>
      </c>
      <c r="D445" s="2" t="s">
        <v>90</v>
      </c>
      <c r="E445" s="2" t="s">
        <v>23</v>
      </c>
      <c r="F445" s="2">
        <v>43</v>
      </c>
      <c r="G445" s="7">
        <v>20.46</v>
      </c>
      <c r="H445" s="7">
        <v>879.78</v>
      </c>
      <c r="I445" s="2">
        <v>0</v>
      </c>
      <c r="J445" s="2" t="s">
        <v>46</v>
      </c>
      <c r="K445" s="2" t="s">
        <v>83</v>
      </c>
      <c r="L445" s="2" t="s">
        <v>49</v>
      </c>
      <c r="M445" s="2" t="str">
        <f t="shared" si="18"/>
        <v>Check</v>
      </c>
      <c r="N445" s="2" t="str">
        <f t="shared" si="19"/>
        <v>Accessories</v>
      </c>
      <c r="O445" s="2" t="str">
        <f t="shared" si="20"/>
        <v>High Stock</v>
      </c>
    </row>
    <row r="446" spans="1:15" x14ac:dyDescent="0.3">
      <c r="A446" s="5">
        <v>46128</v>
      </c>
      <c r="B446" s="2" t="s">
        <v>1233</v>
      </c>
      <c r="C446" s="2" t="s">
        <v>270</v>
      </c>
      <c r="D446" s="2" t="s">
        <v>52</v>
      </c>
      <c r="E446" s="2" t="s">
        <v>35</v>
      </c>
      <c r="F446" s="2">
        <v>19</v>
      </c>
      <c r="G446" s="7">
        <v>121.28</v>
      </c>
      <c r="H446" s="7">
        <v>2189.1</v>
      </c>
      <c r="I446" s="2">
        <v>5</v>
      </c>
      <c r="J446" s="2" t="s">
        <v>53</v>
      </c>
      <c r="K446" s="2" t="s">
        <v>170</v>
      </c>
      <c r="L446" s="2" t="s">
        <v>27</v>
      </c>
      <c r="M446" s="2" t="str">
        <f t="shared" si="18"/>
        <v>Cash</v>
      </c>
      <c r="N446" s="2" t="str">
        <f t="shared" si="19"/>
        <v>Electronics</v>
      </c>
      <c r="O446" s="2" t="str">
        <f t="shared" si="20"/>
        <v>High Stock</v>
      </c>
    </row>
    <row r="447" spans="1:15" x14ac:dyDescent="0.3">
      <c r="A447" s="5">
        <v>46121</v>
      </c>
      <c r="B447" s="2" t="s">
        <v>1235</v>
      </c>
      <c r="C447" s="2" t="s">
        <v>1236</v>
      </c>
      <c r="D447" s="2" t="s">
        <v>103</v>
      </c>
      <c r="E447" s="2" t="s">
        <v>35</v>
      </c>
      <c r="F447" s="2">
        <v>31</v>
      </c>
      <c r="G447" s="7">
        <v>548.03</v>
      </c>
      <c r="H447" s="7">
        <v>16139.48</v>
      </c>
      <c r="I447" s="2">
        <v>5</v>
      </c>
      <c r="J447" s="2" t="s">
        <v>16</v>
      </c>
      <c r="K447" s="2" t="s">
        <v>111</v>
      </c>
      <c r="L447" s="2" t="s">
        <v>49</v>
      </c>
      <c r="M447" s="2" t="str">
        <f t="shared" si="18"/>
        <v>Check</v>
      </c>
      <c r="N447" s="2" t="str">
        <f t="shared" si="19"/>
        <v>Electronics</v>
      </c>
      <c r="O447" s="2" t="str">
        <f t="shared" si="20"/>
        <v>High Stock</v>
      </c>
    </row>
    <row r="448" spans="1:15" x14ac:dyDescent="0.3">
      <c r="A448" s="5">
        <v>45817</v>
      </c>
      <c r="B448" s="2" t="s">
        <v>1237</v>
      </c>
      <c r="C448" s="2" t="s">
        <v>1238</v>
      </c>
      <c r="D448" s="2" t="s">
        <v>82</v>
      </c>
      <c r="E448" s="2" t="s">
        <v>73</v>
      </c>
      <c r="F448" s="2">
        <v>43</v>
      </c>
      <c r="G448" s="7">
        <v>320.12</v>
      </c>
      <c r="H448" s="7">
        <v>13076.9</v>
      </c>
      <c r="I448" s="2">
        <v>5</v>
      </c>
      <c r="J448" s="2" t="s">
        <v>16</v>
      </c>
      <c r="K448" s="2" t="s">
        <v>91</v>
      </c>
      <c r="L448" s="2" t="s">
        <v>49</v>
      </c>
      <c r="M448" s="2" t="str">
        <f t="shared" si="18"/>
        <v>Check</v>
      </c>
      <c r="N448" s="2" t="str">
        <f t="shared" si="19"/>
        <v>Furniture</v>
      </c>
      <c r="O448" s="2" t="str">
        <f t="shared" si="20"/>
        <v>High Stock</v>
      </c>
    </row>
    <row r="449" spans="1:15" x14ac:dyDescent="0.3">
      <c r="A449" s="5">
        <v>45989</v>
      </c>
      <c r="B449" s="2" t="s">
        <v>1239</v>
      </c>
      <c r="C449" s="2" t="s">
        <v>1240</v>
      </c>
      <c r="D449" s="2" t="s">
        <v>34</v>
      </c>
      <c r="E449" s="2" t="s">
        <v>35</v>
      </c>
      <c r="F449" s="2">
        <v>12</v>
      </c>
      <c r="G449" s="7">
        <v>430.14</v>
      </c>
      <c r="H449" s="7">
        <v>5161.68</v>
      </c>
      <c r="I449" s="2">
        <v>0</v>
      </c>
      <c r="J449" s="2" t="s">
        <v>24</v>
      </c>
      <c r="K449" s="2" t="s">
        <v>36</v>
      </c>
      <c r="L449" s="2" t="s">
        <v>27</v>
      </c>
      <c r="M449" s="2" t="str">
        <f t="shared" si="18"/>
        <v>Cash</v>
      </c>
      <c r="N449" s="2" t="str">
        <f t="shared" si="19"/>
        <v>Electronics</v>
      </c>
      <c r="O449" s="2" t="str">
        <f t="shared" si="20"/>
        <v>Low Stock</v>
      </c>
    </row>
    <row r="450" spans="1:15" x14ac:dyDescent="0.3">
      <c r="A450" s="5">
        <v>45810</v>
      </c>
      <c r="B450" s="2" t="s">
        <v>1242</v>
      </c>
      <c r="C450" s="2" t="s">
        <v>1243</v>
      </c>
      <c r="D450" s="1" t="s">
        <v>95</v>
      </c>
      <c r="E450" s="2" t="s">
        <v>35</v>
      </c>
      <c r="F450" s="2">
        <v>23</v>
      </c>
      <c r="G450" s="7">
        <v>265.18</v>
      </c>
      <c r="H450" s="7">
        <v>6099.14</v>
      </c>
      <c r="I450" s="2">
        <v>0</v>
      </c>
      <c r="J450" s="2" t="s">
        <v>46</v>
      </c>
      <c r="K450" s="2" t="s">
        <v>83</v>
      </c>
      <c r="L450" s="2" t="s">
        <v>49</v>
      </c>
      <c r="M450" s="2" t="str">
        <f t="shared" si="18"/>
        <v>Check</v>
      </c>
      <c r="N450" s="2" t="str">
        <f t="shared" si="19"/>
        <v>Electronics</v>
      </c>
      <c r="O450" s="2" t="str">
        <f t="shared" si="20"/>
        <v>High Stock</v>
      </c>
    </row>
    <row r="451" spans="1:15" x14ac:dyDescent="0.3">
      <c r="A451" s="5">
        <v>45821</v>
      </c>
      <c r="B451" s="2" t="s">
        <v>1244</v>
      </c>
      <c r="C451" s="2" t="s">
        <v>1245</v>
      </c>
      <c r="D451" s="2" t="s">
        <v>90</v>
      </c>
      <c r="E451" s="2" t="s">
        <v>23</v>
      </c>
      <c r="F451" s="2">
        <v>41</v>
      </c>
      <c r="G451" s="7">
        <v>22.26</v>
      </c>
      <c r="H451" s="7">
        <v>912.66</v>
      </c>
      <c r="I451" s="2">
        <v>0</v>
      </c>
      <c r="J451" s="2" t="s">
        <v>24</v>
      </c>
      <c r="K451" s="2" t="s">
        <v>104</v>
      </c>
      <c r="L451" s="2" t="s">
        <v>69</v>
      </c>
      <c r="M451" s="2" t="str">
        <f t="shared" ref="M451:M514" si="21">TRIM(L451)</f>
        <v>Debit Card</v>
      </c>
      <c r="N451" s="2" t="str">
        <f t="shared" ref="N451:N514" si="22">PROPER(E451)</f>
        <v>Accessories</v>
      </c>
      <c r="O451" s="2" t="str">
        <f t="shared" ref="O451:O514" si="23">IF(F451&gt;15,"High Stock","Low Stock")</f>
        <v>High Stock</v>
      </c>
    </row>
    <row r="452" spans="1:15" x14ac:dyDescent="0.3">
      <c r="A452" s="5">
        <v>46269</v>
      </c>
      <c r="B452" s="2" t="s">
        <v>1247</v>
      </c>
      <c r="C452" s="2" t="s">
        <v>1165</v>
      </c>
      <c r="D452" s="2" t="s">
        <v>34</v>
      </c>
      <c r="E452" s="2" t="s">
        <v>35</v>
      </c>
      <c r="F452" s="2">
        <v>38</v>
      </c>
      <c r="G452" s="7">
        <v>698.78</v>
      </c>
      <c r="H452" s="7">
        <v>26553.64</v>
      </c>
      <c r="I452" s="2">
        <v>0</v>
      </c>
      <c r="J452" s="2" t="s">
        <v>16</v>
      </c>
      <c r="K452" s="2" t="s">
        <v>17</v>
      </c>
      <c r="L452" s="1" t="s">
        <v>2347</v>
      </c>
      <c r="M452" s="1" t="str">
        <f t="shared" si="21"/>
        <v>Online Payment</v>
      </c>
      <c r="N452" s="2" t="str">
        <f t="shared" si="22"/>
        <v>Electronics</v>
      </c>
      <c r="O452" s="1" t="str">
        <f t="shared" si="23"/>
        <v>High Stock</v>
      </c>
    </row>
    <row r="453" spans="1:15" x14ac:dyDescent="0.3">
      <c r="A453" s="5">
        <v>45714</v>
      </c>
      <c r="B453" s="2" t="s">
        <v>1249</v>
      </c>
      <c r="C453" s="2" t="s">
        <v>1250</v>
      </c>
      <c r="D453" s="2" t="s">
        <v>14</v>
      </c>
      <c r="E453" s="2" t="s">
        <v>15</v>
      </c>
      <c r="F453" s="2">
        <v>32</v>
      </c>
      <c r="G453" s="7">
        <v>41.47</v>
      </c>
      <c r="H453" s="7">
        <v>1327.04</v>
      </c>
      <c r="I453" s="2">
        <v>0</v>
      </c>
      <c r="J453" s="2" t="s">
        <v>53</v>
      </c>
      <c r="K453" s="2" t="s">
        <v>141</v>
      </c>
      <c r="L453" s="2" t="s">
        <v>27</v>
      </c>
      <c r="M453" s="2" t="str">
        <f t="shared" si="21"/>
        <v>Cash</v>
      </c>
      <c r="N453" s="2" t="str">
        <f t="shared" si="22"/>
        <v>Peripherals</v>
      </c>
      <c r="O453" s="2" t="str">
        <f t="shared" si="23"/>
        <v>High Stock</v>
      </c>
    </row>
    <row r="454" spans="1:15" x14ac:dyDescent="0.3">
      <c r="A454" s="5">
        <v>45848</v>
      </c>
      <c r="B454" s="2" t="s">
        <v>1251</v>
      </c>
      <c r="C454" s="2" t="s">
        <v>1252</v>
      </c>
      <c r="D454" s="2" t="s">
        <v>82</v>
      </c>
      <c r="E454" s="2" t="s">
        <v>73</v>
      </c>
      <c r="F454" s="2">
        <v>2</v>
      </c>
      <c r="G454" s="7">
        <v>356.65</v>
      </c>
      <c r="H454" s="7">
        <v>677.63</v>
      </c>
      <c r="I454" s="2">
        <v>5</v>
      </c>
      <c r="J454" s="2" t="s">
        <v>46</v>
      </c>
      <c r="K454" s="2" t="s">
        <v>47</v>
      </c>
      <c r="L454" s="2" t="s">
        <v>69</v>
      </c>
      <c r="M454" s="2" t="str">
        <f t="shared" si="21"/>
        <v>Debit Card</v>
      </c>
      <c r="N454" s="2" t="str">
        <f t="shared" si="22"/>
        <v>Furniture</v>
      </c>
      <c r="O454" s="2" t="str">
        <f t="shared" si="23"/>
        <v>Low Stock</v>
      </c>
    </row>
    <row r="455" spans="1:15" x14ac:dyDescent="0.3">
      <c r="A455" s="5">
        <v>45995</v>
      </c>
      <c r="B455" s="2" t="s">
        <v>1254</v>
      </c>
      <c r="C455" s="2" t="s">
        <v>1255</v>
      </c>
      <c r="D455" s="2" t="s">
        <v>34</v>
      </c>
      <c r="E455" s="2" t="s">
        <v>35</v>
      </c>
      <c r="F455" s="2">
        <v>16</v>
      </c>
      <c r="G455" s="7">
        <v>719.42</v>
      </c>
      <c r="H455" s="7">
        <v>11510.72</v>
      </c>
      <c r="I455" s="2">
        <v>0</v>
      </c>
      <c r="J455" s="2" t="s">
        <v>46</v>
      </c>
      <c r="K455" s="2" t="s">
        <v>47</v>
      </c>
      <c r="L455" s="1" t="s">
        <v>2347</v>
      </c>
      <c r="M455" s="1" t="str">
        <f t="shared" si="21"/>
        <v>Online Payment</v>
      </c>
      <c r="N455" s="2" t="str">
        <f t="shared" si="22"/>
        <v>Electronics</v>
      </c>
      <c r="O455" s="1" t="str">
        <f t="shared" si="23"/>
        <v>High Stock</v>
      </c>
    </row>
    <row r="456" spans="1:15" x14ac:dyDescent="0.3">
      <c r="A456" s="5">
        <v>46076</v>
      </c>
      <c r="B456" s="2" t="s">
        <v>1256</v>
      </c>
      <c r="C456" s="2" t="s">
        <v>1257</v>
      </c>
      <c r="D456" s="2" t="s">
        <v>34</v>
      </c>
      <c r="E456" s="2" t="s">
        <v>35</v>
      </c>
      <c r="F456" s="2">
        <v>1</v>
      </c>
      <c r="G456" s="7">
        <v>749.45</v>
      </c>
      <c r="H456" s="7">
        <v>599.55999999999995</v>
      </c>
      <c r="I456" s="2">
        <v>20</v>
      </c>
      <c r="J456" s="2" t="s">
        <v>16</v>
      </c>
      <c r="K456" s="2" t="s">
        <v>91</v>
      </c>
      <c r="L456" s="2" t="s">
        <v>69</v>
      </c>
      <c r="M456" s="2" t="str">
        <f t="shared" si="21"/>
        <v>Debit Card</v>
      </c>
      <c r="N456" s="2" t="str">
        <f t="shared" si="22"/>
        <v>Electronics</v>
      </c>
      <c r="O456" s="2" t="str">
        <f t="shared" si="23"/>
        <v>Low Stock</v>
      </c>
    </row>
    <row r="457" spans="1:15" x14ac:dyDescent="0.3">
      <c r="A457" s="5">
        <v>45835</v>
      </c>
      <c r="B457" s="2" t="s">
        <v>1258</v>
      </c>
      <c r="C457" s="2" t="s">
        <v>1259</v>
      </c>
      <c r="D457" s="1" t="s">
        <v>95</v>
      </c>
      <c r="E457" s="2" t="s">
        <v>35</v>
      </c>
      <c r="F457" s="2">
        <v>31</v>
      </c>
      <c r="G457" s="7">
        <v>1173.43</v>
      </c>
      <c r="H457" s="7">
        <v>29101.06</v>
      </c>
      <c r="I457" s="2">
        <v>20</v>
      </c>
      <c r="J457" s="2" t="s">
        <v>16</v>
      </c>
      <c r="K457" s="2" t="s">
        <v>74</v>
      </c>
      <c r="L457" s="2" t="s">
        <v>69</v>
      </c>
      <c r="M457" s="2" t="str">
        <f t="shared" si="21"/>
        <v>Debit Card</v>
      </c>
      <c r="N457" s="2" t="str">
        <f t="shared" si="22"/>
        <v>Electronics</v>
      </c>
      <c r="O457" s="2" t="str">
        <f t="shared" si="23"/>
        <v>High Stock</v>
      </c>
    </row>
    <row r="458" spans="1:15" x14ac:dyDescent="0.3">
      <c r="A458" s="5">
        <v>45714</v>
      </c>
      <c r="B458" s="2" t="s">
        <v>1261</v>
      </c>
      <c r="C458" s="2" t="s">
        <v>1262</v>
      </c>
      <c r="D458" s="2" t="s">
        <v>103</v>
      </c>
      <c r="E458" s="2" t="s">
        <v>35</v>
      </c>
      <c r="F458" s="2">
        <v>42</v>
      </c>
      <c r="G458" s="7">
        <v>266.86</v>
      </c>
      <c r="H458" s="7">
        <v>10087.31</v>
      </c>
      <c r="I458" s="2">
        <v>10</v>
      </c>
      <c r="J458" s="2" t="s">
        <v>16</v>
      </c>
      <c r="K458" s="2" t="s">
        <v>91</v>
      </c>
      <c r="L458" s="2" t="s">
        <v>69</v>
      </c>
      <c r="M458" s="2" t="str">
        <f t="shared" si="21"/>
        <v>Debit Card</v>
      </c>
      <c r="N458" s="2" t="str">
        <f t="shared" si="22"/>
        <v>Electronics</v>
      </c>
      <c r="O458" s="2" t="str">
        <f t="shared" si="23"/>
        <v>High Stock</v>
      </c>
    </row>
    <row r="459" spans="1:15" x14ac:dyDescent="0.3">
      <c r="A459" s="5">
        <v>45735</v>
      </c>
      <c r="B459" s="2" t="s">
        <v>1263</v>
      </c>
      <c r="C459" s="2" t="s">
        <v>1264</v>
      </c>
      <c r="D459" s="2" t="s">
        <v>82</v>
      </c>
      <c r="E459" s="2" t="s">
        <v>73</v>
      </c>
      <c r="F459" s="2">
        <v>37</v>
      </c>
      <c r="G459" s="7">
        <v>455.64</v>
      </c>
      <c r="H459" s="7">
        <v>16858.68</v>
      </c>
      <c r="I459" s="2">
        <v>0</v>
      </c>
      <c r="J459" s="2" t="s">
        <v>16</v>
      </c>
      <c r="K459" s="2" t="s">
        <v>17</v>
      </c>
      <c r="L459" s="2" t="s">
        <v>49</v>
      </c>
      <c r="M459" s="2" t="str">
        <f t="shared" si="21"/>
        <v>Check</v>
      </c>
      <c r="N459" s="2" t="str">
        <f t="shared" si="22"/>
        <v>Furniture</v>
      </c>
      <c r="O459" s="2" t="str">
        <f t="shared" si="23"/>
        <v>High Stock</v>
      </c>
    </row>
    <row r="460" spans="1:15" x14ac:dyDescent="0.3">
      <c r="A460" s="5">
        <v>45677</v>
      </c>
      <c r="B460" s="2" t="s">
        <v>1265</v>
      </c>
      <c r="C460" s="2" t="s">
        <v>1266</v>
      </c>
      <c r="D460" s="2" t="s">
        <v>90</v>
      </c>
      <c r="E460" s="2" t="s">
        <v>23</v>
      </c>
      <c r="F460" s="2">
        <v>37</v>
      </c>
      <c r="G460" s="7">
        <v>22.3</v>
      </c>
      <c r="H460" s="7">
        <v>742.59</v>
      </c>
      <c r="I460" s="2">
        <v>10</v>
      </c>
      <c r="J460" s="2" t="s">
        <v>24</v>
      </c>
      <c r="K460" s="2" t="s">
        <v>104</v>
      </c>
      <c r="L460" s="1" t="s">
        <v>2347</v>
      </c>
      <c r="M460" s="1" t="str">
        <f t="shared" si="21"/>
        <v>Online Payment</v>
      </c>
      <c r="N460" s="2" t="str">
        <f t="shared" si="22"/>
        <v>Accessories</v>
      </c>
      <c r="O460" s="1" t="str">
        <f t="shared" si="23"/>
        <v>High Stock</v>
      </c>
    </row>
    <row r="461" spans="1:15" x14ac:dyDescent="0.3">
      <c r="A461" s="5">
        <v>46133</v>
      </c>
      <c r="B461" s="2" t="s">
        <v>1268</v>
      </c>
      <c r="C461" s="2" t="s">
        <v>1269</v>
      </c>
      <c r="D461" s="2" t="s">
        <v>123</v>
      </c>
      <c r="E461" s="2" t="s">
        <v>15</v>
      </c>
      <c r="F461" s="2">
        <v>9</v>
      </c>
      <c r="G461" s="7">
        <v>15.36</v>
      </c>
      <c r="H461" s="7">
        <v>138.24</v>
      </c>
      <c r="I461" s="2">
        <v>0</v>
      </c>
      <c r="J461" s="2" t="s">
        <v>24</v>
      </c>
      <c r="K461" s="2" t="s">
        <v>59</v>
      </c>
      <c r="L461" s="1" t="s">
        <v>2347</v>
      </c>
      <c r="M461" s="1" t="str">
        <f t="shared" si="21"/>
        <v>Online Payment</v>
      </c>
      <c r="N461" s="2" t="str">
        <f t="shared" si="22"/>
        <v>Peripherals</v>
      </c>
      <c r="O461" s="1" t="str">
        <f t="shared" si="23"/>
        <v>Low Stock</v>
      </c>
    </row>
    <row r="462" spans="1:15" x14ac:dyDescent="0.3">
      <c r="A462" s="5">
        <v>45943</v>
      </c>
      <c r="B462" s="2" t="s">
        <v>1271</v>
      </c>
      <c r="C462" s="2" t="s">
        <v>1272</v>
      </c>
      <c r="D462" s="2" t="s">
        <v>45</v>
      </c>
      <c r="E462" s="2" t="s">
        <v>23</v>
      </c>
      <c r="F462" s="2">
        <v>4</v>
      </c>
      <c r="G462" s="7">
        <v>121.73</v>
      </c>
      <c r="H462" s="7">
        <v>462.57</v>
      </c>
      <c r="I462" s="2">
        <v>5</v>
      </c>
      <c r="J462" s="2" t="s">
        <v>16</v>
      </c>
      <c r="K462" s="2" t="s">
        <v>91</v>
      </c>
      <c r="L462" s="1" t="s">
        <v>2347</v>
      </c>
      <c r="M462" s="1" t="str">
        <f t="shared" si="21"/>
        <v>Online Payment</v>
      </c>
      <c r="N462" s="2" t="str">
        <f t="shared" si="22"/>
        <v>Accessories</v>
      </c>
      <c r="O462" s="1" t="str">
        <f t="shared" si="23"/>
        <v>Low Stock</v>
      </c>
    </row>
    <row r="463" spans="1:15" x14ac:dyDescent="0.3">
      <c r="A463" s="5">
        <v>46284</v>
      </c>
      <c r="B463" s="2" t="s">
        <v>1274</v>
      </c>
      <c r="C463" s="2" t="s">
        <v>1275</v>
      </c>
      <c r="D463" s="2" t="s">
        <v>123</v>
      </c>
      <c r="E463" s="2" t="s">
        <v>15</v>
      </c>
      <c r="F463" s="2">
        <v>41</v>
      </c>
      <c r="G463" s="7">
        <v>36.479999999999997</v>
      </c>
      <c r="H463" s="7">
        <v>1196.54</v>
      </c>
      <c r="I463" s="2">
        <v>20</v>
      </c>
      <c r="J463" s="2" t="s">
        <v>46</v>
      </c>
      <c r="K463" s="2" t="s">
        <v>244</v>
      </c>
      <c r="L463" s="2" t="s">
        <v>69</v>
      </c>
      <c r="M463" s="2" t="str">
        <f t="shared" si="21"/>
        <v>Debit Card</v>
      </c>
      <c r="N463" s="2" t="str">
        <f t="shared" si="22"/>
        <v>Peripherals</v>
      </c>
      <c r="O463" s="2" t="str">
        <f t="shared" si="23"/>
        <v>High Stock</v>
      </c>
    </row>
    <row r="464" spans="1:15" x14ac:dyDescent="0.3">
      <c r="A464" s="5">
        <v>45679</v>
      </c>
      <c r="B464" s="2" t="s">
        <v>1276</v>
      </c>
      <c r="C464" s="2" t="s">
        <v>1277</v>
      </c>
      <c r="D464" s="2" t="s">
        <v>95</v>
      </c>
      <c r="E464" s="2" t="s">
        <v>35</v>
      </c>
      <c r="F464" s="2">
        <v>19</v>
      </c>
      <c r="G464" s="7">
        <v>862.05</v>
      </c>
      <c r="H464" s="7">
        <v>15560</v>
      </c>
      <c r="I464" s="2">
        <v>5</v>
      </c>
      <c r="J464" s="2" t="s">
        <v>24</v>
      </c>
      <c r="K464" s="2" t="s">
        <v>59</v>
      </c>
      <c r="L464" s="2" t="s">
        <v>27</v>
      </c>
      <c r="M464" s="2" t="str">
        <f t="shared" si="21"/>
        <v>Cash</v>
      </c>
      <c r="N464" s="2" t="str">
        <f t="shared" si="22"/>
        <v>Electronics</v>
      </c>
      <c r="O464" s="2" t="str">
        <f t="shared" si="23"/>
        <v>High Stock</v>
      </c>
    </row>
    <row r="465" spans="1:15" x14ac:dyDescent="0.3">
      <c r="A465" s="5">
        <v>45634</v>
      </c>
      <c r="B465" s="2" t="s">
        <v>1278</v>
      </c>
      <c r="C465" s="2" t="s">
        <v>1279</v>
      </c>
      <c r="D465" s="2" t="s">
        <v>82</v>
      </c>
      <c r="E465" s="2" t="s">
        <v>73</v>
      </c>
      <c r="F465" s="2">
        <v>12</v>
      </c>
      <c r="G465" s="7">
        <v>360.39</v>
      </c>
      <c r="H465" s="7">
        <v>4324.68</v>
      </c>
      <c r="I465" s="2">
        <v>0</v>
      </c>
      <c r="J465" s="2" t="s">
        <v>24</v>
      </c>
      <c r="K465" s="2" t="s">
        <v>36</v>
      </c>
      <c r="L465" s="2" t="s">
        <v>31</v>
      </c>
      <c r="M465" s="2" t="str">
        <f t="shared" si="21"/>
        <v>Credit Card</v>
      </c>
      <c r="N465" s="2" t="str">
        <f t="shared" si="22"/>
        <v>Furniture</v>
      </c>
      <c r="O465" s="2" t="str">
        <f t="shared" si="23"/>
        <v>Low Stock</v>
      </c>
    </row>
    <row r="466" spans="1:15" x14ac:dyDescent="0.3">
      <c r="A466" s="5">
        <v>45989</v>
      </c>
      <c r="B466" s="2" t="s">
        <v>1281</v>
      </c>
      <c r="C466" s="2" t="s">
        <v>238</v>
      </c>
      <c r="D466" s="2" t="s">
        <v>123</v>
      </c>
      <c r="E466" s="2" t="s">
        <v>15</v>
      </c>
      <c r="F466" s="2">
        <v>12</v>
      </c>
      <c r="G466" s="7">
        <v>24.64</v>
      </c>
      <c r="H466" s="7">
        <v>295.68</v>
      </c>
      <c r="I466" s="2">
        <v>0</v>
      </c>
      <c r="J466" s="2" t="s">
        <v>16</v>
      </c>
      <c r="K466" s="2" t="s">
        <v>111</v>
      </c>
      <c r="L466" s="2" t="s">
        <v>49</v>
      </c>
      <c r="M466" s="2" t="str">
        <f t="shared" si="21"/>
        <v>Check</v>
      </c>
      <c r="N466" s="2" t="str">
        <f t="shared" si="22"/>
        <v>Peripherals</v>
      </c>
      <c r="O466" s="2" t="str">
        <f t="shared" si="23"/>
        <v>Low Stock</v>
      </c>
    </row>
    <row r="467" spans="1:15" x14ac:dyDescent="0.3">
      <c r="A467" s="5">
        <v>45970</v>
      </c>
      <c r="B467" s="2" t="s">
        <v>1282</v>
      </c>
      <c r="C467" s="2" t="s">
        <v>941</v>
      </c>
      <c r="D467" s="2" t="s">
        <v>123</v>
      </c>
      <c r="E467" s="2" t="s">
        <v>15</v>
      </c>
      <c r="F467" s="2">
        <v>40</v>
      </c>
      <c r="G467" s="7">
        <v>22.75</v>
      </c>
      <c r="H467" s="7">
        <v>910</v>
      </c>
      <c r="I467" s="2">
        <v>0</v>
      </c>
      <c r="J467" s="2" t="s">
        <v>46</v>
      </c>
      <c r="K467" s="2" t="s">
        <v>47</v>
      </c>
      <c r="L467" s="2" t="s">
        <v>31</v>
      </c>
      <c r="M467" s="2" t="str">
        <f t="shared" si="21"/>
        <v>Credit Card</v>
      </c>
      <c r="N467" s="2" t="str">
        <f t="shared" si="22"/>
        <v>Peripherals</v>
      </c>
      <c r="O467" s="2" t="str">
        <f t="shared" si="23"/>
        <v>High Stock</v>
      </c>
    </row>
    <row r="468" spans="1:15" x14ac:dyDescent="0.3">
      <c r="A468" s="5">
        <v>46152</v>
      </c>
      <c r="B468" s="2" t="s">
        <v>1284</v>
      </c>
      <c r="C468" s="2" t="s">
        <v>1285</v>
      </c>
      <c r="D468" s="2" t="s">
        <v>52</v>
      </c>
      <c r="E468" s="2" t="s">
        <v>35</v>
      </c>
      <c r="F468" s="2">
        <v>42</v>
      </c>
      <c r="G468" s="7">
        <v>356.62</v>
      </c>
      <c r="H468" s="7">
        <v>14229.14</v>
      </c>
      <c r="I468" s="2">
        <v>5</v>
      </c>
      <c r="J468" s="2" t="s">
        <v>53</v>
      </c>
      <c r="K468" s="2" t="s">
        <v>170</v>
      </c>
      <c r="L468" s="2" t="s">
        <v>31</v>
      </c>
      <c r="M468" s="2" t="str">
        <f t="shared" si="21"/>
        <v>Credit Card</v>
      </c>
      <c r="N468" s="2" t="str">
        <f t="shared" si="22"/>
        <v>Electronics</v>
      </c>
      <c r="O468" s="2" t="str">
        <f t="shared" si="23"/>
        <v>High Stock</v>
      </c>
    </row>
    <row r="469" spans="1:15" x14ac:dyDescent="0.3">
      <c r="A469" s="5">
        <v>46268</v>
      </c>
      <c r="B469" s="2" t="s">
        <v>1287</v>
      </c>
      <c r="C469" s="2" t="s">
        <v>1288</v>
      </c>
      <c r="D469" s="2" t="s">
        <v>90</v>
      </c>
      <c r="E469" s="2" t="s">
        <v>23</v>
      </c>
      <c r="F469" s="2">
        <v>13</v>
      </c>
      <c r="G469" s="7">
        <v>15.1</v>
      </c>
      <c r="H469" s="7">
        <v>196.3</v>
      </c>
      <c r="I469" s="2">
        <v>0</v>
      </c>
      <c r="J469" s="2" t="s">
        <v>46</v>
      </c>
      <c r="K469" s="2" t="s">
        <v>47</v>
      </c>
      <c r="L469" s="2" t="s">
        <v>27</v>
      </c>
      <c r="M469" s="2" t="str">
        <f t="shared" si="21"/>
        <v>Cash</v>
      </c>
      <c r="N469" s="2" t="str">
        <f t="shared" si="22"/>
        <v>Accessories</v>
      </c>
      <c r="O469" s="2" t="str">
        <f t="shared" si="23"/>
        <v>Low Stock</v>
      </c>
    </row>
    <row r="470" spans="1:15" x14ac:dyDescent="0.3">
      <c r="A470" s="5">
        <v>45961</v>
      </c>
      <c r="B470" s="2" t="s">
        <v>1289</v>
      </c>
      <c r="C470" s="2" t="s">
        <v>1290</v>
      </c>
      <c r="D470" s="2" t="s">
        <v>99</v>
      </c>
      <c r="E470" s="2" t="s">
        <v>23</v>
      </c>
      <c r="F470" s="2">
        <v>50</v>
      </c>
      <c r="G470" s="7">
        <v>25.63</v>
      </c>
      <c r="H470" s="7">
        <v>1153.3499999999999</v>
      </c>
      <c r="I470" s="2">
        <v>10</v>
      </c>
      <c r="J470" s="2" t="s">
        <v>16</v>
      </c>
      <c r="K470" s="2" t="s">
        <v>17</v>
      </c>
      <c r="L470" s="2" t="s">
        <v>31</v>
      </c>
      <c r="M470" s="2" t="str">
        <f t="shared" si="21"/>
        <v>Credit Card</v>
      </c>
      <c r="N470" s="2" t="str">
        <f t="shared" si="22"/>
        <v>Accessories</v>
      </c>
      <c r="O470" s="2" t="str">
        <f t="shared" si="23"/>
        <v>High Stock</v>
      </c>
    </row>
    <row r="471" spans="1:15" x14ac:dyDescent="0.3">
      <c r="A471" s="5">
        <v>46028</v>
      </c>
      <c r="B471" s="2" t="s">
        <v>1292</v>
      </c>
      <c r="C471" s="2" t="s">
        <v>253</v>
      </c>
      <c r="D471" s="2" t="s">
        <v>103</v>
      </c>
      <c r="E471" s="2" t="s">
        <v>35</v>
      </c>
      <c r="F471" s="2">
        <v>22</v>
      </c>
      <c r="G471" s="7">
        <v>451.42</v>
      </c>
      <c r="H471" s="7">
        <v>9434.68</v>
      </c>
      <c r="I471" s="2">
        <v>5</v>
      </c>
      <c r="J471" s="2" t="s">
        <v>24</v>
      </c>
      <c r="K471" s="2" t="s">
        <v>41</v>
      </c>
      <c r="L471" s="2" t="s">
        <v>27</v>
      </c>
      <c r="M471" s="2" t="str">
        <f t="shared" si="21"/>
        <v>Cash</v>
      </c>
      <c r="N471" s="2" t="str">
        <f t="shared" si="22"/>
        <v>Electronics</v>
      </c>
      <c r="O471" s="2" t="str">
        <f t="shared" si="23"/>
        <v>High Stock</v>
      </c>
    </row>
    <row r="472" spans="1:15" x14ac:dyDescent="0.3">
      <c r="A472" s="5">
        <v>45616</v>
      </c>
      <c r="B472" s="2" t="s">
        <v>1294</v>
      </c>
      <c r="C472" s="2" t="s">
        <v>1295</v>
      </c>
      <c r="D472" s="2" t="s">
        <v>95</v>
      </c>
      <c r="E472" s="2" t="s">
        <v>35</v>
      </c>
      <c r="F472" s="2">
        <v>8</v>
      </c>
      <c r="G472" s="7">
        <v>1196.98</v>
      </c>
      <c r="H472" s="7">
        <v>9097.0499999999993</v>
      </c>
      <c r="I472" s="2">
        <v>5</v>
      </c>
      <c r="J472" s="2" t="s">
        <v>24</v>
      </c>
      <c r="K472" s="2" t="s">
        <v>41</v>
      </c>
      <c r="L472" s="2" t="s">
        <v>27</v>
      </c>
      <c r="M472" s="2" t="str">
        <f t="shared" si="21"/>
        <v>Cash</v>
      </c>
      <c r="N472" s="2" t="str">
        <f t="shared" si="22"/>
        <v>Electronics</v>
      </c>
      <c r="O472" s="2" t="str">
        <f t="shared" si="23"/>
        <v>Low Stock</v>
      </c>
    </row>
    <row r="473" spans="1:15" x14ac:dyDescent="0.3">
      <c r="A473" s="5">
        <v>45600</v>
      </c>
      <c r="B473" s="2" t="s">
        <v>1297</v>
      </c>
      <c r="C473" s="2" t="s">
        <v>1298</v>
      </c>
      <c r="D473" s="2" t="s">
        <v>95</v>
      </c>
      <c r="E473" s="2" t="s">
        <v>35</v>
      </c>
      <c r="F473" s="2">
        <v>43</v>
      </c>
      <c r="G473" s="7">
        <v>332.79</v>
      </c>
      <c r="H473" s="7">
        <v>13594.47</v>
      </c>
      <c r="I473" s="2">
        <v>5</v>
      </c>
      <c r="J473" s="2" t="s">
        <v>16</v>
      </c>
      <c r="K473" s="2" t="s">
        <v>17</v>
      </c>
      <c r="L473" s="1" t="s">
        <v>2347</v>
      </c>
      <c r="M473" s="1" t="str">
        <f t="shared" si="21"/>
        <v>Online Payment</v>
      </c>
      <c r="N473" s="2" t="str">
        <f t="shared" si="22"/>
        <v>Electronics</v>
      </c>
      <c r="O473" s="1" t="str">
        <f t="shared" si="23"/>
        <v>High Stock</v>
      </c>
    </row>
    <row r="474" spans="1:15" x14ac:dyDescent="0.3">
      <c r="A474" s="5">
        <v>45820</v>
      </c>
      <c r="B474" s="2" t="s">
        <v>1300</v>
      </c>
      <c r="C474" s="2" t="s">
        <v>517</v>
      </c>
      <c r="D474" s="2" t="s">
        <v>52</v>
      </c>
      <c r="E474" s="2" t="s">
        <v>35</v>
      </c>
      <c r="F474" s="2">
        <v>38</v>
      </c>
      <c r="G474" s="7">
        <v>299.82</v>
      </c>
      <c r="H474" s="7">
        <v>11393.16</v>
      </c>
      <c r="I474" s="2">
        <v>0</v>
      </c>
      <c r="J474" s="2" t="s">
        <v>24</v>
      </c>
      <c r="K474" s="2" t="s">
        <v>59</v>
      </c>
      <c r="L474" s="2" t="s">
        <v>27</v>
      </c>
      <c r="M474" s="2" t="str">
        <f t="shared" si="21"/>
        <v>Cash</v>
      </c>
      <c r="N474" s="2" t="str">
        <f t="shared" si="22"/>
        <v>Electronics</v>
      </c>
      <c r="O474" s="2" t="str">
        <f t="shared" si="23"/>
        <v>High Stock</v>
      </c>
    </row>
    <row r="475" spans="1:15" x14ac:dyDescent="0.3">
      <c r="A475" s="5">
        <v>46146</v>
      </c>
      <c r="B475" s="2" t="s">
        <v>1302</v>
      </c>
      <c r="C475" s="2" t="s">
        <v>1303</v>
      </c>
      <c r="D475" s="2" t="s">
        <v>52</v>
      </c>
      <c r="E475" s="2" t="s">
        <v>35</v>
      </c>
      <c r="F475" s="2">
        <v>10</v>
      </c>
      <c r="G475" s="7">
        <v>296.54000000000002</v>
      </c>
      <c r="H475" s="7">
        <v>2668.86</v>
      </c>
      <c r="I475" s="2">
        <v>10</v>
      </c>
      <c r="J475" s="2" t="s">
        <v>46</v>
      </c>
      <c r="K475" s="2" t="s">
        <v>124</v>
      </c>
      <c r="L475" s="1" t="s">
        <v>2347</v>
      </c>
      <c r="M475" s="1" t="str">
        <f t="shared" si="21"/>
        <v>Online Payment</v>
      </c>
      <c r="N475" s="2" t="str">
        <f t="shared" si="22"/>
        <v>Electronics</v>
      </c>
      <c r="O475" s="1" t="str">
        <f t="shared" si="23"/>
        <v>Low Stock</v>
      </c>
    </row>
    <row r="476" spans="1:15" x14ac:dyDescent="0.3">
      <c r="A476" s="5">
        <v>45595</v>
      </c>
      <c r="B476" s="2" t="s">
        <v>1304</v>
      </c>
      <c r="C476" s="2" t="s">
        <v>1305</v>
      </c>
      <c r="D476" s="2" t="s">
        <v>45</v>
      </c>
      <c r="E476" s="2" t="s">
        <v>23</v>
      </c>
      <c r="F476" s="2">
        <v>5</v>
      </c>
      <c r="G476" s="7">
        <v>171.65</v>
      </c>
      <c r="H476" s="7">
        <v>858.25</v>
      </c>
      <c r="I476" s="2">
        <v>0</v>
      </c>
      <c r="J476" s="2" t="s">
        <v>16</v>
      </c>
      <c r="K476" s="2" t="s">
        <v>74</v>
      </c>
      <c r="L476" s="2" t="s">
        <v>69</v>
      </c>
      <c r="M476" s="2" t="str">
        <f t="shared" si="21"/>
        <v>Debit Card</v>
      </c>
      <c r="N476" s="2" t="str">
        <f t="shared" si="22"/>
        <v>Accessories</v>
      </c>
      <c r="O476" s="2" t="str">
        <f t="shared" si="23"/>
        <v>Low Stock</v>
      </c>
    </row>
    <row r="477" spans="1:15" x14ac:dyDescent="0.3">
      <c r="A477" s="5">
        <v>45723</v>
      </c>
      <c r="B477" s="2" t="s">
        <v>1306</v>
      </c>
      <c r="C477" s="2" t="s">
        <v>1307</v>
      </c>
      <c r="D477" s="2" t="s">
        <v>95</v>
      </c>
      <c r="E477" s="2" t="s">
        <v>35</v>
      </c>
      <c r="F477" s="2">
        <v>5</v>
      </c>
      <c r="G477" s="7">
        <v>834.19</v>
      </c>
      <c r="H477" s="7">
        <v>3545.31</v>
      </c>
      <c r="I477" s="2">
        <v>15</v>
      </c>
      <c r="J477" s="2" t="s">
        <v>46</v>
      </c>
      <c r="K477" s="2" t="s">
        <v>78</v>
      </c>
      <c r="L477" s="2" t="s">
        <v>27</v>
      </c>
      <c r="M477" s="2" t="str">
        <f t="shared" si="21"/>
        <v>Cash</v>
      </c>
      <c r="N477" s="2" t="str">
        <f t="shared" si="22"/>
        <v>Electronics</v>
      </c>
      <c r="O477" s="2" t="str">
        <f t="shared" si="23"/>
        <v>Low Stock</v>
      </c>
    </row>
    <row r="478" spans="1:15" x14ac:dyDescent="0.3">
      <c r="A478" s="5">
        <v>45765</v>
      </c>
      <c r="B478" s="2" t="s">
        <v>1308</v>
      </c>
      <c r="C478" s="2" t="s">
        <v>1309</v>
      </c>
      <c r="D478" s="2" t="s">
        <v>82</v>
      </c>
      <c r="E478" s="2" t="s">
        <v>73</v>
      </c>
      <c r="F478" s="2">
        <v>16</v>
      </c>
      <c r="G478" s="7">
        <v>577.67999999999995</v>
      </c>
      <c r="H478" s="7">
        <v>9242.8799999999992</v>
      </c>
      <c r="I478" s="2">
        <v>0</v>
      </c>
      <c r="J478" s="2" t="s">
        <v>24</v>
      </c>
      <c r="K478" s="2" t="s">
        <v>104</v>
      </c>
      <c r="L478" s="2" t="s">
        <v>27</v>
      </c>
      <c r="M478" s="2" t="str">
        <f t="shared" si="21"/>
        <v>Cash</v>
      </c>
      <c r="N478" s="2" t="str">
        <f t="shared" si="22"/>
        <v>Furniture</v>
      </c>
      <c r="O478" s="2" t="str">
        <f t="shared" si="23"/>
        <v>High Stock</v>
      </c>
    </row>
    <row r="479" spans="1:15" x14ac:dyDescent="0.3">
      <c r="A479" s="5">
        <v>45777</v>
      </c>
      <c r="B479" s="2" t="s">
        <v>1311</v>
      </c>
      <c r="C479" s="2" t="s">
        <v>1312</v>
      </c>
      <c r="D479" s="2" t="s">
        <v>52</v>
      </c>
      <c r="E479" s="2" t="s">
        <v>35</v>
      </c>
      <c r="F479" s="2">
        <v>38</v>
      </c>
      <c r="G479" s="7">
        <v>109.79</v>
      </c>
      <c r="H479" s="7">
        <v>3754.82</v>
      </c>
      <c r="I479" s="2">
        <v>10</v>
      </c>
      <c r="J479" s="2" t="s">
        <v>53</v>
      </c>
      <c r="K479" s="2" t="s">
        <v>67</v>
      </c>
      <c r="L479" s="2" t="s">
        <v>49</v>
      </c>
      <c r="M479" s="2" t="str">
        <f t="shared" si="21"/>
        <v>Check</v>
      </c>
      <c r="N479" s="2" t="str">
        <f t="shared" si="22"/>
        <v>Electronics</v>
      </c>
      <c r="O479" s="2" t="str">
        <f t="shared" si="23"/>
        <v>High Stock</v>
      </c>
    </row>
    <row r="480" spans="1:15" x14ac:dyDescent="0.3">
      <c r="A480" s="5">
        <v>45710</v>
      </c>
      <c r="B480" s="2" t="s">
        <v>1314</v>
      </c>
      <c r="C480" s="2" t="s">
        <v>1315</v>
      </c>
      <c r="D480" s="2" t="s">
        <v>82</v>
      </c>
      <c r="E480" s="2" t="s">
        <v>73</v>
      </c>
      <c r="F480" s="2">
        <v>3</v>
      </c>
      <c r="G480" s="7">
        <v>617.09</v>
      </c>
      <c r="H480" s="7">
        <v>1666.14</v>
      </c>
      <c r="I480" s="2">
        <v>10</v>
      </c>
      <c r="J480" s="2" t="s">
        <v>53</v>
      </c>
      <c r="K480" s="2" t="s">
        <v>67</v>
      </c>
      <c r="L480" s="1" t="s">
        <v>2347</v>
      </c>
      <c r="M480" s="1" t="str">
        <f t="shared" si="21"/>
        <v>Online Payment</v>
      </c>
      <c r="N480" s="2" t="str">
        <f t="shared" si="22"/>
        <v>Furniture</v>
      </c>
      <c r="O480" s="1" t="str">
        <f t="shared" si="23"/>
        <v>Low Stock</v>
      </c>
    </row>
    <row r="481" spans="1:15" x14ac:dyDescent="0.3">
      <c r="A481" s="5">
        <v>45991</v>
      </c>
      <c r="B481" s="2" t="s">
        <v>1316</v>
      </c>
      <c r="C481" s="2" t="s">
        <v>1317</v>
      </c>
      <c r="D481" s="2" t="s">
        <v>63</v>
      </c>
      <c r="E481" s="2" t="s">
        <v>15</v>
      </c>
      <c r="F481" s="2">
        <v>45</v>
      </c>
      <c r="G481" s="7">
        <v>34.86</v>
      </c>
      <c r="H481" s="7">
        <v>1490.27</v>
      </c>
      <c r="I481" s="2">
        <v>5</v>
      </c>
      <c r="J481" s="2" t="s">
        <v>24</v>
      </c>
      <c r="K481" s="2" t="s">
        <v>104</v>
      </c>
      <c r="L481" s="2" t="s">
        <v>31</v>
      </c>
      <c r="M481" s="2" t="str">
        <f t="shared" si="21"/>
        <v>Credit Card</v>
      </c>
      <c r="N481" s="2" t="str">
        <f t="shared" si="22"/>
        <v>Peripherals</v>
      </c>
      <c r="O481" s="2" t="str">
        <f t="shared" si="23"/>
        <v>High Stock</v>
      </c>
    </row>
    <row r="482" spans="1:15" x14ac:dyDescent="0.3">
      <c r="A482" s="5">
        <v>46254</v>
      </c>
      <c r="B482" s="2" t="s">
        <v>1319</v>
      </c>
      <c r="C482" s="2" t="s">
        <v>1320</v>
      </c>
      <c r="D482" s="2" t="s">
        <v>90</v>
      </c>
      <c r="E482" s="2" t="s">
        <v>23</v>
      </c>
      <c r="F482" s="2">
        <v>45</v>
      </c>
      <c r="G482" s="7">
        <v>29.49</v>
      </c>
      <c r="H482" s="7">
        <v>1194.3499999999999</v>
      </c>
      <c r="I482" s="2">
        <v>10</v>
      </c>
      <c r="J482" s="2" t="s">
        <v>16</v>
      </c>
      <c r="K482" s="2" t="s">
        <v>160</v>
      </c>
      <c r="L482" s="2" t="s">
        <v>27</v>
      </c>
      <c r="M482" s="2" t="str">
        <f t="shared" si="21"/>
        <v>Cash</v>
      </c>
      <c r="N482" s="2" t="str">
        <f t="shared" si="22"/>
        <v>Accessories</v>
      </c>
      <c r="O482" s="2" t="str">
        <f t="shared" si="23"/>
        <v>High Stock</v>
      </c>
    </row>
    <row r="483" spans="1:15" x14ac:dyDescent="0.3">
      <c r="A483" s="5">
        <v>46129</v>
      </c>
      <c r="B483" s="2" t="s">
        <v>1321</v>
      </c>
      <c r="C483" s="2" t="s">
        <v>1322</v>
      </c>
      <c r="D483" s="2" t="s">
        <v>90</v>
      </c>
      <c r="E483" s="2" t="s">
        <v>23</v>
      </c>
      <c r="F483" s="2">
        <v>46</v>
      </c>
      <c r="G483" s="7">
        <v>20.75</v>
      </c>
      <c r="H483" s="7">
        <v>811.33</v>
      </c>
      <c r="I483" s="2">
        <v>15</v>
      </c>
      <c r="J483" s="2" t="s">
        <v>46</v>
      </c>
      <c r="K483" s="2" t="s">
        <v>83</v>
      </c>
      <c r="L483" s="2" t="s">
        <v>49</v>
      </c>
      <c r="M483" s="2" t="str">
        <f t="shared" si="21"/>
        <v>Check</v>
      </c>
      <c r="N483" s="2" t="str">
        <f t="shared" si="22"/>
        <v>Accessories</v>
      </c>
      <c r="O483" s="2" t="str">
        <f t="shared" si="23"/>
        <v>High Stock</v>
      </c>
    </row>
    <row r="484" spans="1:15" x14ac:dyDescent="0.3">
      <c r="A484" s="5">
        <v>46156</v>
      </c>
      <c r="B484" s="2" t="s">
        <v>1324</v>
      </c>
      <c r="C484" s="2" t="s">
        <v>1325</v>
      </c>
      <c r="D484" s="2" t="s">
        <v>123</v>
      </c>
      <c r="E484" s="2" t="s">
        <v>15</v>
      </c>
      <c r="F484" s="2">
        <v>21</v>
      </c>
      <c r="G484" s="7">
        <v>26.95</v>
      </c>
      <c r="H484" s="7">
        <v>509.35</v>
      </c>
      <c r="I484" s="2">
        <v>10</v>
      </c>
      <c r="J484" s="2" t="s">
        <v>24</v>
      </c>
      <c r="K484" s="2" t="s">
        <v>41</v>
      </c>
      <c r="L484" s="2" t="s">
        <v>49</v>
      </c>
      <c r="M484" s="2" t="str">
        <f t="shared" si="21"/>
        <v>Check</v>
      </c>
      <c r="N484" s="2" t="str">
        <f t="shared" si="22"/>
        <v>Peripherals</v>
      </c>
      <c r="O484" s="2" t="str">
        <f t="shared" si="23"/>
        <v>High Stock</v>
      </c>
    </row>
    <row r="485" spans="1:15" x14ac:dyDescent="0.3">
      <c r="A485" s="5">
        <v>45748</v>
      </c>
      <c r="B485" s="2" t="s">
        <v>1327</v>
      </c>
      <c r="C485" s="2" t="s">
        <v>1328</v>
      </c>
      <c r="D485" s="2" t="s">
        <v>95</v>
      </c>
      <c r="E485" s="2" t="s">
        <v>35</v>
      </c>
      <c r="F485" s="2">
        <v>21</v>
      </c>
      <c r="G485" s="7">
        <v>326.62</v>
      </c>
      <c r="H485" s="7">
        <v>6859.02</v>
      </c>
      <c r="I485" s="2">
        <v>0</v>
      </c>
      <c r="J485" s="2" t="s">
        <v>16</v>
      </c>
      <c r="K485" s="2" t="s">
        <v>74</v>
      </c>
      <c r="L485" s="2" t="s">
        <v>49</v>
      </c>
      <c r="M485" s="2" t="str">
        <f t="shared" si="21"/>
        <v>Check</v>
      </c>
      <c r="N485" s="2" t="str">
        <f t="shared" si="22"/>
        <v>Electronics</v>
      </c>
      <c r="O485" s="2" t="str">
        <f t="shared" si="23"/>
        <v>High Stock</v>
      </c>
    </row>
    <row r="486" spans="1:15" x14ac:dyDescent="0.3">
      <c r="A486" s="5">
        <v>46151</v>
      </c>
      <c r="B486" s="2" t="s">
        <v>1329</v>
      </c>
      <c r="C486" s="2" t="s">
        <v>1330</v>
      </c>
      <c r="D486" s="2" t="s">
        <v>99</v>
      </c>
      <c r="E486" s="2" t="s">
        <v>23</v>
      </c>
      <c r="F486" s="2">
        <v>1</v>
      </c>
      <c r="G486" s="7">
        <v>19.72</v>
      </c>
      <c r="H486" s="7">
        <v>19.72</v>
      </c>
      <c r="I486" s="2">
        <v>0</v>
      </c>
      <c r="J486" s="2" t="s">
        <v>53</v>
      </c>
      <c r="K486" s="2" t="s">
        <v>134</v>
      </c>
      <c r="L486" s="2" t="s">
        <v>31</v>
      </c>
      <c r="M486" s="2" t="str">
        <f t="shared" si="21"/>
        <v>Credit Card</v>
      </c>
      <c r="N486" s="2" t="str">
        <f t="shared" si="22"/>
        <v>Accessories</v>
      </c>
      <c r="O486" s="2" t="str">
        <f t="shared" si="23"/>
        <v>Low Stock</v>
      </c>
    </row>
    <row r="487" spans="1:15" x14ac:dyDescent="0.3">
      <c r="A487" s="5">
        <v>45744</v>
      </c>
      <c r="B487" s="2" t="s">
        <v>1332</v>
      </c>
      <c r="C487" s="2" t="s">
        <v>1333</v>
      </c>
      <c r="D487" s="2" t="s">
        <v>99</v>
      </c>
      <c r="E487" s="2" t="s">
        <v>23</v>
      </c>
      <c r="F487" s="2">
        <v>18</v>
      </c>
      <c r="G487" s="7">
        <v>28.03</v>
      </c>
      <c r="H487" s="7">
        <v>479.31</v>
      </c>
      <c r="I487" s="2">
        <v>5</v>
      </c>
      <c r="J487" s="2" t="s">
        <v>53</v>
      </c>
      <c r="K487" s="2" t="s">
        <v>54</v>
      </c>
      <c r="L487" s="2" t="s">
        <v>31</v>
      </c>
      <c r="M487" s="2" t="str">
        <f t="shared" si="21"/>
        <v>Credit Card</v>
      </c>
      <c r="N487" s="2" t="str">
        <f t="shared" si="22"/>
        <v>Accessories</v>
      </c>
      <c r="O487" s="2" t="str">
        <f t="shared" si="23"/>
        <v>High Stock</v>
      </c>
    </row>
    <row r="488" spans="1:15" x14ac:dyDescent="0.3">
      <c r="A488" s="5">
        <v>45778</v>
      </c>
      <c r="B488" s="2" t="s">
        <v>1334</v>
      </c>
      <c r="C488" s="2" t="s">
        <v>411</v>
      </c>
      <c r="D488" s="2" t="s">
        <v>34</v>
      </c>
      <c r="E488" s="2" t="s">
        <v>35</v>
      </c>
      <c r="F488" s="2">
        <v>44</v>
      </c>
      <c r="G488" s="7">
        <v>531.12</v>
      </c>
      <c r="H488" s="7">
        <v>23369.279999999999</v>
      </c>
      <c r="I488" s="2">
        <v>0</v>
      </c>
      <c r="J488" s="2" t="s">
        <v>16</v>
      </c>
      <c r="K488" s="2" t="s">
        <v>111</v>
      </c>
      <c r="L488" s="1" t="s">
        <v>2347</v>
      </c>
      <c r="M488" s="1" t="str">
        <f t="shared" si="21"/>
        <v>Online Payment</v>
      </c>
      <c r="N488" s="2" t="str">
        <f t="shared" si="22"/>
        <v>Electronics</v>
      </c>
      <c r="O488" s="1" t="str">
        <f t="shared" si="23"/>
        <v>High Stock</v>
      </c>
    </row>
    <row r="489" spans="1:15" x14ac:dyDescent="0.3">
      <c r="A489" s="5">
        <v>45904</v>
      </c>
      <c r="B489" s="2" t="s">
        <v>1335</v>
      </c>
      <c r="C489" s="2" t="s">
        <v>1336</v>
      </c>
      <c r="D489" s="2" t="s">
        <v>14</v>
      </c>
      <c r="E489" s="2" t="s">
        <v>15</v>
      </c>
      <c r="F489" s="2">
        <v>49</v>
      </c>
      <c r="G489" s="7">
        <v>93.2</v>
      </c>
      <c r="H489" s="7">
        <v>4566.8</v>
      </c>
      <c r="I489" s="2">
        <v>0</v>
      </c>
      <c r="J489" s="2" t="s">
        <v>46</v>
      </c>
      <c r="K489" s="2" t="s">
        <v>244</v>
      </c>
      <c r="L489" s="2" t="s">
        <v>31</v>
      </c>
      <c r="M489" s="2" t="str">
        <f t="shared" si="21"/>
        <v>Credit Card</v>
      </c>
      <c r="N489" s="2" t="str">
        <f t="shared" si="22"/>
        <v>Peripherals</v>
      </c>
      <c r="O489" s="2" t="str">
        <f t="shared" si="23"/>
        <v>High Stock</v>
      </c>
    </row>
    <row r="490" spans="1:15" x14ac:dyDescent="0.3">
      <c r="A490" s="5">
        <v>46216</v>
      </c>
      <c r="B490" s="2" t="s">
        <v>1337</v>
      </c>
      <c r="C490" s="2" t="s">
        <v>1338</v>
      </c>
      <c r="D490" s="2" t="s">
        <v>95</v>
      </c>
      <c r="E490" s="2" t="s">
        <v>35</v>
      </c>
      <c r="F490" s="2">
        <v>14</v>
      </c>
      <c r="G490" s="7">
        <v>1059.8599999999999</v>
      </c>
      <c r="H490" s="7">
        <v>14838.04</v>
      </c>
      <c r="I490" s="2">
        <v>0</v>
      </c>
      <c r="J490" s="2" t="s">
        <v>24</v>
      </c>
      <c r="K490" s="2" t="s">
        <v>104</v>
      </c>
      <c r="L490" s="2" t="s">
        <v>27</v>
      </c>
      <c r="M490" s="2" t="str">
        <f t="shared" si="21"/>
        <v>Cash</v>
      </c>
      <c r="N490" s="2" t="str">
        <f t="shared" si="22"/>
        <v>Electronics</v>
      </c>
      <c r="O490" s="2" t="str">
        <f t="shared" si="23"/>
        <v>Low Stock</v>
      </c>
    </row>
    <row r="491" spans="1:15" x14ac:dyDescent="0.3">
      <c r="A491" s="5">
        <v>45622</v>
      </c>
      <c r="B491" s="2" t="s">
        <v>1339</v>
      </c>
      <c r="C491" s="2" t="s">
        <v>1340</v>
      </c>
      <c r="D491" s="2" t="s">
        <v>52</v>
      </c>
      <c r="E491" s="2" t="s">
        <v>35</v>
      </c>
      <c r="F491" s="2">
        <v>35</v>
      </c>
      <c r="G491" s="7">
        <v>156.97999999999999</v>
      </c>
      <c r="H491" s="7">
        <v>5219.58</v>
      </c>
      <c r="I491" s="2">
        <v>5</v>
      </c>
      <c r="J491" s="2" t="s">
        <v>24</v>
      </c>
      <c r="K491" s="2" t="s">
        <v>36</v>
      </c>
      <c r="L491" s="2" t="s">
        <v>27</v>
      </c>
      <c r="M491" s="2" t="str">
        <f t="shared" si="21"/>
        <v>Cash</v>
      </c>
      <c r="N491" s="2" t="str">
        <f t="shared" si="22"/>
        <v>Electronics</v>
      </c>
      <c r="O491" s="2" t="str">
        <f t="shared" si="23"/>
        <v>High Stock</v>
      </c>
    </row>
    <row r="492" spans="1:15" x14ac:dyDescent="0.3">
      <c r="A492" s="5">
        <v>45657</v>
      </c>
      <c r="B492" s="2" t="s">
        <v>1342</v>
      </c>
      <c r="C492" s="2" t="s">
        <v>1343</v>
      </c>
      <c r="D492" s="2" t="s">
        <v>72</v>
      </c>
      <c r="E492" s="2" t="s">
        <v>73</v>
      </c>
      <c r="F492" s="2">
        <v>7</v>
      </c>
      <c r="G492" s="7">
        <v>225.47</v>
      </c>
      <c r="H492" s="7">
        <v>1420.46</v>
      </c>
      <c r="I492" s="2">
        <v>10</v>
      </c>
      <c r="J492" s="2" t="s">
        <v>24</v>
      </c>
      <c r="K492" s="2" t="s">
        <v>41</v>
      </c>
      <c r="L492" s="2" t="s">
        <v>27</v>
      </c>
      <c r="M492" s="2" t="str">
        <f t="shared" si="21"/>
        <v>Cash</v>
      </c>
      <c r="N492" s="2" t="str">
        <f t="shared" si="22"/>
        <v>Furniture</v>
      </c>
      <c r="O492" s="2" t="str">
        <f t="shared" si="23"/>
        <v>Low Stock</v>
      </c>
    </row>
    <row r="493" spans="1:15" x14ac:dyDescent="0.3">
      <c r="A493" s="5">
        <v>45616</v>
      </c>
      <c r="B493" s="2" t="s">
        <v>1345</v>
      </c>
      <c r="C493" s="2" t="s">
        <v>107</v>
      </c>
      <c r="D493" s="2" t="s">
        <v>63</v>
      </c>
      <c r="E493" s="2" t="s">
        <v>15</v>
      </c>
      <c r="F493" s="2">
        <v>37</v>
      </c>
      <c r="G493" s="7">
        <v>66.59</v>
      </c>
      <c r="H493" s="7">
        <v>2463.83</v>
      </c>
      <c r="I493" s="2">
        <v>0</v>
      </c>
      <c r="J493" s="2" t="s">
        <v>16</v>
      </c>
      <c r="K493" s="2" t="s">
        <v>74</v>
      </c>
      <c r="L493" s="2" t="s">
        <v>69</v>
      </c>
      <c r="M493" s="2" t="str">
        <f t="shared" si="21"/>
        <v>Debit Card</v>
      </c>
      <c r="N493" s="2" t="str">
        <f t="shared" si="22"/>
        <v>Peripherals</v>
      </c>
      <c r="O493" s="2" t="str">
        <f t="shared" si="23"/>
        <v>High Stock</v>
      </c>
    </row>
    <row r="494" spans="1:15" x14ac:dyDescent="0.3">
      <c r="A494" s="5">
        <v>45714</v>
      </c>
      <c r="B494" s="2" t="s">
        <v>1346</v>
      </c>
      <c r="C494" s="2" t="s">
        <v>1347</v>
      </c>
      <c r="D494" s="2" t="s">
        <v>95</v>
      </c>
      <c r="E494" s="2" t="s">
        <v>35</v>
      </c>
      <c r="F494" s="2">
        <v>40</v>
      </c>
      <c r="G494" s="7">
        <v>868.09</v>
      </c>
      <c r="H494" s="7">
        <v>32987.42</v>
      </c>
      <c r="I494" s="2">
        <v>5</v>
      </c>
      <c r="J494" s="2" t="s">
        <v>16</v>
      </c>
      <c r="K494" s="2" t="s">
        <v>160</v>
      </c>
      <c r="L494" s="2" t="s">
        <v>49</v>
      </c>
      <c r="M494" s="2" t="str">
        <f t="shared" si="21"/>
        <v>Check</v>
      </c>
      <c r="N494" s="2" t="str">
        <f t="shared" si="22"/>
        <v>Electronics</v>
      </c>
      <c r="O494" s="2" t="str">
        <f t="shared" si="23"/>
        <v>High Stock</v>
      </c>
    </row>
    <row r="495" spans="1:15" x14ac:dyDescent="0.3">
      <c r="A495" s="5">
        <v>46182</v>
      </c>
      <c r="B495" s="2" t="s">
        <v>1348</v>
      </c>
      <c r="C495" s="2" t="s">
        <v>1349</v>
      </c>
      <c r="D495" s="2" t="s">
        <v>63</v>
      </c>
      <c r="E495" s="2" t="s">
        <v>15</v>
      </c>
      <c r="F495" s="2">
        <v>15</v>
      </c>
      <c r="G495" s="7">
        <v>78.209999999999994</v>
      </c>
      <c r="H495" s="7">
        <v>1114.49</v>
      </c>
      <c r="I495" s="2">
        <v>5</v>
      </c>
      <c r="J495" s="2" t="s">
        <v>24</v>
      </c>
      <c r="K495" s="2" t="s">
        <v>41</v>
      </c>
      <c r="L495" s="2" t="s">
        <v>69</v>
      </c>
      <c r="M495" s="2" t="str">
        <f t="shared" si="21"/>
        <v>Debit Card</v>
      </c>
      <c r="N495" s="2" t="str">
        <f t="shared" si="22"/>
        <v>Peripherals</v>
      </c>
      <c r="O495" s="2" t="str">
        <f t="shared" si="23"/>
        <v>Low Stock</v>
      </c>
    </row>
    <row r="496" spans="1:15" x14ac:dyDescent="0.3">
      <c r="A496" s="5">
        <v>45650</v>
      </c>
      <c r="B496" s="2" t="s">
        <v>1351</v>
      </c>
      <c r="C496" s="2" t="s">
        <v>1352</v>
      </c>
      <c r="D496" s="2" t="s">
        <v>40</v>
      </c>
      <c r="E496" s="2" t="s">
        <v>23</v>
      </c>
      <c r="F496" s="2">
        <v>20</v>
      </c>
      <c r="G496" s="7">
        <v>77.650000000000006</v>
      </c>
      <c r="H496" s="7">
        <v>1553</v>
      </c>
      <c r="I496" s="2">
        <v>0</v>
      </c>
      <c r="J496" s="2" t="s">
        <v>46</v>
      </c>
      <c r="K496" s="2" t="s">
        <v>47</v>
      </c>
      <c r="L496" s="1" t="s">
        <v>2347</v>
      </c>
      <c r="M496" s="1" t="str">
        <f t="shared" si="21"/>
        <v>Online Payment</v>
      </c>
      <c r="N496" s="2" t="str">
        <f t="shared" si="22"/>
        <v>Accessories</v>
      </c>
      <c r="O496" s="1" t="str">
        <f t="shared" si="23"/>
        <v>High Stock</v>
      </c>
    </row>
    <row r="497" spans="1:15" x14ac:dyDescent="0.3">
      <c r="A497" s="5">
        <v>45876</v>
      </c>
      <c r="B497" s="2" t="s">
        <v>1353</v>
      </c>
      <c r="C497" s="2" t="s">
        <v>1354</v>
      </c>
      <c r="D497" s="2" t="s">
        <v>90</v>
      </c>
      <c r="E497" s="2" t="s">
        <v>23</v>
      </c>
      <c r="F497" s="2">
        <v>24</v>
      </c>
      <c r="G497" s="7">
        <v>29.43</v>
      </c>
      <c r="H497" s="7">
        <v>706.32</v>
      </c>
      <c r="I497" s="2">
        <v>0</v>
      </c>
      <c r="J497" s="2" t="s">
        <v>46</v>
      </c>
      <c r="K497" s="2" t="s">
        <v>83</v>
      </c>
      <c r="L497" s="2" t="s">
        <v>27</v>
      </c>
      <c r="M497" s="2" t="str">
        <f t="shared" si="21"/>
        <v>Cash</v>
      </c>
      <c r="N497" s="2" t="str">
        <f t="shared" si="22"/>
        <v>Accessories</v>
      </c>
      <c r="O497" s="2" t="str">
        <f t="shared" si="23"/>
        <v>High Stock</v>
      </c>
    </row>
    <row r="498" spans="1:15" x14ac:dyDescent="0.3">
      <c r="A498" s="5">
        <v>45656</v>
      </c>
      <c r="B498" s="2" t="s">
        <v>1356</v>
      </c>
      <c r="C498" s="2" t="s">
        <v>1357</v>
      </c>
      <c r="D498" s="2" t="s">
        <v>123</v>
      </c>
      <c r="E498" s="2" t="s">
        <v>15</v>
      </c>
      <c r="F498" s="2">
        <v>36</v>
      </c>
      <c r="G498" s="7">
        <v>26.24</v>
      </c>
      <c r="H498" s="7">
        <v>850.18</v>
      </c>
      <c r="I498" s="2">
        <v>10</v>
      </c>
      <c r="J498" s="2" t="s">
        <v>46</v>
      </c>
      <c r="K498" s="2" t="s">
        <v>83</v>
      </c>
      <c r="L498" s="1" t="s">
        <v>2347</v>
      </c>
      <c r="M498" s="1" t="str">
        <f t="shared" si="21"/>
        <v>Online Payment</v>
      </c>
      <c r="N498" s="2" t="str">
        <f t="shared" si="22"/>
        <v>Peripherals</v>
      </c>
      <c r="O498" s="1" t="str">
        <f t="shared" si="23"/>
        <v>High Stock</v>
      </c>
    </row>
    <row r="499" spans="1:15" x14ac:dyDescent="0.3">
      <c r="A499" s="5">
        <v>45843</v>
      </c>
      <c r="B499" s="2" t="s">
        <v>1359</v>
      </c>
      <c r="C499" s="2" t="s">
        <v>1136</v>
      </c>
      <c r="D499" s="2" t="s">
        <v>40</v>
      </c>
      <c r="E499" s="2" t="s">
        <v>23</v>
      </c>
      <c r="F499" s="2">
        <v>24</v>
      </c>
      <c r="G499" s="7">
        <v>31.81</v>
      </c>
      <c r="H499" s="7">
        <v>648.91999999999996</v>
      </c>
      <c r="I499" s="2">
        <v>15</v>
      </c>
      <c r="J499" s="2" t="s">
        <v>53</v>
      </c>
      <c r="K499" s="2" t="s">
        <v>141</v>
      </c>
      <c r="L499" s="2" t="s">
        <v>27</v>
      </c>
      <c r="M499" s="2" t="str">
        <f t="shared" si="21"/>
        <v>Cash</v>
      </c>
      <c r="N499" s="2" t="str">
        <f t="shared" si="22"/>
        <v>Accessories</v>
      </c>
      <c r="O499" s="2" t="str">
        <f t="shared" si="23"/>
        <v>High Stock</v>
      </c>
    </row>
    <row r="500" spans="1:15" x14ac:dyDescent="0.3">
      <c r="A500" s="5">
        <v>46044</v>
      </c>
      <c r="B500" s="2" t="s">
        <v>1361</v>
      </c>
      <c r="C500" s="2" t="s">
        <v>1099</v>
      </c>
      <c r="D500" s="2" t="s">
        <v>63</v>
      </c>
      <c r="E500" s="2" t="s">
        <v>15</v>
      </c>
      <c r="F500" s="2">
        <v>18</v>
      </c>
      <c r="G500" s="7">
        <v>40.07</v>
      </c>
      <c r="H500" s="7">
        <v>649.13</v>
      </c>
      <c r="I500" s="2">
        <v>10</v>
      </c>
      <c r="J500" s="2" t="s">
        <v>53</v>
      </c>
      <c r="K500" s="2" t="s">
        <v>54</v>
      </c>
      <c r="L500" s="1" t="s">
        <v>2347</v>
      </c>
      <c r="M500" s="1" t="str">
        <f t="shared" si="21"/>
        <v>Online Payment</v>
      </c>
      <c r="N500" s="2" t="str">
        <f t="shared" si="22"/>
        <v>Peripherals</v>
      </c>
      <c r="O500" s="1" t="str">
        <f t="shared" si="23"/>
        <v>High Stock</v>
      </c>
    </row>
    <row r="501" spans="1:15" x14ac:dyDescent="0.3">
      <c r="A501" s="5">
        <v>45751</v>
      </c>
      <c r="B501" s="2" t="s">
        <v>1363</v>
      </c>
      <c r="C501" s="2" t="s">
        <v>1364</v>
      </c>
      <c r="D501" s="2" t="s">
        <v>34</v>
      </c>
      <c r="E501" s="2" t="s">
        <v>35</v>
      </c>
      <c r="F501" s="2">
        <v>1</v>
      </c>
      <c r="G501" s="7">
        <v>634.61</v>
      </c>
      <c r="H501" s="7">
        <v>602.88</v>
      </c>
      <c r="I501" s="2">
        <v>5</v>
      </c>
      <c r="J501" s="2" t="s">
        <v>16</v>
      </c>
      <c r="K501" s="2" t="s">
        <v>17</v>
      </c>
      <c r="L501" s="1" t="s">
        <v>2347</v>
      </c>
      <c r="M501" s="1" t="str">
        <f t="shared" si="21"/>
        <v>Online Payment</v>
      </c>
      <c r="N501" s="2" t="str">
        <f t="shared" si="22"/>
        <v>Electronics</v>
      </c>
      <c r="O501" s="1" t="str">
        <f t="shared" si="23"/>
        <v>Low Stock</v>
      </c>
    </row>
    <row r="502" spans="1:15" x14ac:dyDescent="0.3">
      <c r="A502" s="5">
        <v>46017</v>
      </c>
      <c r="B502" s="2" t="s">
        <v>1365</v>
      </c>
      <c r="C502" s="2" t="s">
        <v>1366</v>
      </c>
      <c r="D502" s="2" t="s">
        <v>72</v>
      </c>
      <c r="E502" s="2" t="s">
        <v>73</v>
      </c>
      <c r="F502" s="2">
        <v>9</v>
      </c>
      <c r="G502" s="7">
        <v>227.8</v>
      </c>
      <c r="H502" s="7">
        <v>1845.18</v>
      </c>
      <c r="I502" s="2">
        <v>10</v>
      </c>
      <c r="J502" s="2" t="s">
        <v>53</v>
      </c>
      <c r="K502" s="2" t="s">
        <v>134</v>
      </c>
      <c r="L502" s="2" t="s">
        <v>27</v>
      </c>
      <c r="M502" s="2" t="str">
        <f t="shared" si="21"/>
        <v>Cash</v>
      </c>
      <c r="N502" s="2" t="str">
        <f t="shared" si="22"/>
        <v>Furniture</v>
      </c>
      <c r="O502" s="2" t="str">
        <f t="shared" si="23"/>
        <v>Low Stock</v>
      </c>
    </row>
    <row r="503" spans="1:15" x14ac:dyDescent="0.3">
      <c r="A503" s="5">
        <v>46183</v>
      </c>
      <c r="B503" s="2" t="s">
        <v>1368</v>
      </c>
      <c r="C503" s="2" t="s">
        <v>1369</v>
      </c>
      <c r="D503" s="2" t="s">
        <v>52</v>
      </c>
      <c r="E503" s="2" t="s">
        <v>35</v>
      </c>
      <c r="F503" s="2">
        <v>33</v>
      </c>
      <c r="G503" s="7">
        <v>122.36</v>
      </c>
      <c r="H503" s="7">
        <v>3835.99</v>
      </c>
      <c r="I503" s="2">
        <v>5</v>
      </c>
      <c r="J503" s="2" t="s">
        <v>16</v>
      </c>
      <c r="K503" s="2" t="s">
        <v>111</v>
      </c>
      <c r="L503" s="2" t="s">
        <v>69</v>
      </c>
      <c r="M503" s="2" t="str">
        <f t="shared" si="21"/>
        <v>Debit Card</v>
      </c>
      <c r="N503" s="2" t="str">
        <f t="shared" si="22"/>
        <v>Electronics</v>
      </c>
      <c r="O503" s="2" t="str">
        <f t="shared" si="23"/>
        <v>High Stock</v>
      </c>
    </row>
    <row r="504" spans="1:15" x14ac:dyDescent="0.3">
      <c r="A504" s="5">
        <v>45828</v>
      </c>
      <c r="B504" s="2" t="s">
        <v>1370</v>
      </c>
      <c r="C504" s="2" t="s">
        <v>1371</v>
      </c>
      <c r="D504" s="2" t="s">
        <v>123</v>
      </c>
      <c r="E504" s="2" t="s">
        <v>15</v>
      </c>
      <c r="F504" s="2">
        <v>10</v>
      </c>
      <c r="G504" s="7">
        <v>45.93</v>
      </c>
      <c r="H504" s="7">
        <v>413.37</v>
      </c>
      <c r="I504" s="2">
        <v>10</v>
      </c>
      <c r="J504" s="2" t="s">
        <v>16</v>
      </c>
      <c r="K504" s="2" t="s">
        <v>160</v>
      </c>
      <c r="L504" s="2" t="s">
        <v>27</v>
      </c>
      <c r="M504" s="2" t="str">
        <f t="shared" si="21"/>
        <v>Cash</v>
      </c>
      <c r="N504" s="2" t="str">
        <f t="shared" si="22"/>
        <v>Peripherals</v>
      </c>
      <c r="O504" s="2" t="str">
        <f t="shared" si="23"/>
        <v>Low Stock</v>
      </c>
    </row>
    <row r="505" spans="1:15" x14ac:dyDescent="0.3">
      <c r="A505" s="5">
        <v>45923</v>
      </c>
      <c r="B505" s="2" t="s">
        <v>1372</v>
      </c>
      <c r="C505" s="2" t="s">
        <v>267</v>
      </c>
      <c r="D505" s="2" t="s">
        <v>103</v>
      </c>
      <c r="E505" s="2" t="s">
        <v>35</v>
      </c>
      <c r="F505" s="2">
        <v>15</v>
      </c>
      <c r="G505" s="7">
        <v>304.25</v>
      </c>
      <c r="H505" s="7">
        <v>4563.75</v>
      </c>
      <c r="I505" s="2">
        <v>0</v>
      </c>
      <c r="J505" s="2" t="s">
        <v>16</v>
      </c>
      <c r="K505" s="2" t="s">
        <v>111</v>
      </c>
      <c r="L505" s="2" t="s">
        <v>31</v>
      </c>
      <c r="M505" s="2" t="str">
        <f t="shared" si="21"/>
        <v>Credit Card</v>
      </c>
      <c r="N505" s="2" t="str">
        <f t="shared" si="22"/>
        <v>Electronics</v>
      </c>
      <c r="O505" s="2" t="str">
        <f t="shared" si="23"/>
        <v>Low Stock</v>
      </c>
    </row>
    <row r="506" spans="1:15" x14ac:dyDescent="0.3">
      <c r="A506" s="5">
        <v>45868</v>
      </c>
      <c r="B506" s="2" t="s">
        <v>1374</v>
      </c>
      <c r="C506" s="2" t="s">
        <v>820</v>
      </c>
      <c r="D506" s="2" t="s">
        <v>95</v>
      </c>
      <c r="E506" s="2" t="s">
        <v>35</v>
      </c>
      <c r="F506" s="2">
        <v>16</v>
      </c>
      <c r="G506" s="7">
        <v>980.68</v>
      </c>
      <c r="H506" s="7">
        <v>13337.25</v>
      </c>
      <c r="I506" s="2">
        <v>15</v>
      </c>
      <c r="J506" s="2" t="s">
        <v>16</v>
      </c>
      <c r="K506" s="2" t="s">
        <v>74</v>
      </c>
      <c r="L506" s="1" t="s">
        <v>2347</v>
      </c>
      <c r="M506" s="1" t="str">
        <f t="shared" si="21"/>
        <v>Online Payment</v>
      </c>
      <c r="N506" s="2" t="str">
        <f t="shared" si="22"/>
        <v>Electronics</v>
      </c>
      <c r="O506" s="1" t="str">
        <f t="shared" si="23"/>
        <v>High Stock</v>
      </c>
    </row>
    <row r="507" spans="1:15" x14ac:dyDescent="0.3">
      <c r="A507" s="5">
        <v>46066</v>
      </c>
      <c r="B507" s="2" t="s">
        <v>1376</v>
      </c>
      <c r="C507" s="2" t="s">
        <v>1377</v>
      </c>
      <c r="D507" s="2" t="s">
        <v>72</v>
      </c>
      <c r="E507" s="2" t="s">
        <v>73</v>
      </c>
      <c r="F507" s="2">
        <v>32</v>
      </c>
      <c r="G507" s="7">
        <v>151.53</v>
      </c>
      <c r="H507" s="7">
        <v>4364.0600000000004</v>
      </c>
      <c r="I507" s="2">
        <v>10</v>
      </c>
      <c r="J507" s="2" t="s">
        <v>24</v>
      </c>
      <c r="K507" s="2" t="s">
        <v>104</v>
      </c>
      <c r="L507" s="2" t="s">
        <v>49</v>
      </c>
      <c r="M507" s="2" t="str">
        <f t="shared" si="21"/>
        <v>Check</v>
      </c>
      <c r="N507" s="2" t="str">
        <f t="shared" si="22"/>
        <v>Furniture</v>
      </c>
      <c r="O507" s="2" t="str">
        <f t="shared" si="23"/>
        <v>High Stock</v>
      </c>
    </row>
    <row r="508" spans="1:15" x14ac:dyDescent="0.3">
      <c r="A508" s="5">
        <v>45753</v>
      </c>
      <c r="B508" s="2" t="s">
        <v>1379</v>
      </c>
      <c r="C508" s="2" t="s">
        <v>528</v>
      </c>
      <c r="D508" s="2" t="s">
        <v>72</v>
      </c>
      <c r="E508" s="2" t="s">
        <v>73</v>
      </c>
      <c r="F508" s="2">
        <v>29</v>
      </c>
      <c r="G508" s="7">
        <v>315.17</v>
      </c>
      <c r="H508" s="7">
        <v>9139.93</v>
      </c>
      <c r="I508" s="2">
        <v>0</v>
      </c>
      <c r="J508" s="2" t="s">
        <v>16</v>
      </c>
      <c r="K508" s="2" t="s">
        <v>17</v>
      </c>
      <c r="L508" s="2" t="s">
        <v>49</v>
      </c>
      <c r="M508" s="2" t="str">
        <f t="shared" si="21"/>
        <v>Check</v>
      </c>
      <c r="N508" s="2" t="str">
        <f t="shared" si="22"/>
        <v>Furniture</v>
      </c>
      <c r="O508" s="2" t="str">
        <f t="shared" si="23"/>
        <v>High Stock</v>
      </c>
    </row>
    <row r="509" spans="1:15" x14ac:dyDescent="0.3">
      <c r="A509" s="5">
        <v>46201</v>
      </c>
      <c r="B509" s="2" t="s">
        <v>1380</v>
      </c>
      <c r="C509" s="2" t="s">
        <v>1377</v>
      </c>
      <c r="D509" s="2" t="s">
        <v>22</v>
      </c>
      <c r="E509" s="2" t="s">
        <v>23</v>
      </c>
      <c r="F509" s="2">
        <v>11</v>
      </c>
      <c r="G509" s="7">
        <v>15.3</v>
      </c>
      <c r="H509" s="7">
        <v>168.3</v>
      </c>
      <c r="I509" s="2">
        <v>0</v>
      </c>
      <c r="J509" s="2" t="s">
        <v>53</v>
      </c>
      <c r="K509" s="2" t="s">
        <v>54</v>
      </c>
      <c r="L509" s="2" t="s">
        <v>49</v>
      </c>
      <c r="M509" s="2" t="str">
        <f t="shared" si="21"/>
        <v>Check</v>
      </c>
      <c r="N509" s="2" t="str">
        <f t="shared" si="22"/>
        <v>Accessories</v>
      </c>
      <c r="O509" s="2" t="str">
        <f t="shared" si="23"/>
        <v>Low Stock</v>
      </c>
    </row>
    <row r="510" spans="1:15" x14ac:dyDescent="0.3">
      <c r="A510" s="5">
        <v>45977</v>
      </c>
      <c r="B510" s="2" t="s">
        <v>1382</v>
      </c>
      <c r="C510" s="2" t="s">
        <v>1383</v>
      </c>
      <c r="D510" s="2" t="s">
        <v>99</v>
      </c>
      <c r="E510" s="2" t="s">
        <v>23</v>
      </c>
      <c r="F510" s="2">
        <v>50</v>
      </c>
      <c r="G510" s="7">
        <v>22.67</v>
      </c>
      <c r="H510" s="7">
        <v>963.48</v>
      </c>
      <c r="I510" s="2">
        <v>15</v>
      </c>
      <c r="J510" s="2" t="s">
        <v>46</v>
      </c>
      <c r="K510" s="2" t="s">
        <v>244</v>
      </c>
      <c r="L510" s="2" t="s">
        <v>49</v>
      </c>
      <c r="M510" s="2" t="str">
        <f t="shared" si="21"/>
        <v>Check</v>
      </c>
      <c r="N510" s="2" t="str">
        <f t="shared" si="22"/>
        <v>Accessories</v>
      </c>
      <c r="O510" s="2" t="str">
        <f t="shared" si="23"/>
        <v>High Stock</v>
      </c>
    </row>
    <row r="511" spans="1:15" x14ac:dyDescent="0.3">
      <c r="A511" s="5">
        <v>45943</v>
      </c>
      <c r="B511" s="2" t="s">
        <v>1385</v>
      </c>
      <c r="C511" s="2" t="s">
        <v>1386</v>
      </c>
      <c r="D511" s="2" t="s">
        <v>14</v>
      </c>
      <c r="E511" s="2" t="s">
        <v>15</v>
      </c>
      <c r="F511" s="2">
        <v>43</v>
      </c>
      <c r="G511" s="7">
        <v>63.19</v>
      </c>
      <c r="H511" s="7">
        <v>2173.7399999999998</v>
      </c>
      <c r="I511" s="2">
        <v>20</v>
      </c>
      <c r="J511" s="2" t="s">
        <v>46</v>
      </c>
      <c r="K511" s="2" t="s">
        <v>124</v>
      </c>
      <c r="L511" s="2" t="s">
        <v>49</v>
      </c>
      <c r="M511" s="2" t="str">
        <f t="shared" si="21"/>
        <v>Check</v>
      </c>
      <c r="N511" s="2" t="str">
        <f t="shared" si="22"/>
        <v>Peripherals</v>
      </c>
      <c r="O511" s="2" t="str">
        <f t="shared" si="23"/>
        <v>High Stock</v>
      </c>
    </row>
    <row r="512" spans="1:15" x14ac:dyDescent="0.3">
      <c r="A512" s="5">
        <v>46184</v>
      </c>
      <c r="B512" s="2" t="s">
        <v>1387</v>
      </c>
      <c r="C512" s="2" t="s">
        <v>1388</v>
      </c>
      <c r="D512" s="2" t="s">
        <v>14</v>
      </c>
      <c r="E512" s="2" t="s">
        <v>15</v>
      </c>
      <c r="F512" s="2">
        <v>5</v>
      </c>
      <c r="G512" s="7">
        <v>72.37</v>
      </c>
      <c r="H512" s="7">
        <v>343.76</v>
      </c>
      <c r="I512" s="2">
        <v>5</v>
      </c>
      <c r="J512" s="2" t="s">
        <v>24</v>
      </c>
      <c r="K512" s="2" t="s">
        <v>41</v>
      </c>
      <c r="L512" s="2" t="s">
        <v>31</v>
      </c>
      <c r="M512" s="2" t="str">
        <f t="shared" si="21"/>
        <v>Credit Card</v>
      </c>
      <c r="N512" s="2" t="str">
        <f t="shared" si="22"/>
        <v>Peripherals</v>
      </c>
      <c r="O512" s="2" t="str">
        <f t="shared" si="23"/>
        <v>Low Stock</v>
      </c>
    </row>
    <row r="513" spans="1:15" x14ac:dyDescent="0.3">
      <c r="A513" s="5">
        <v>45811</v>
      </c>
      <c r="B513" s="2" t="s">
        <v>1390</v>
      </c>
      <c r="C513" s="2" t="s">
        <v>1391</v>
      </c>
      <c r="D513" s="2" t="s">
        <v>52</v>
      </c>
      <c r="E513" s="2" t="s">
        <v>35</v>
      </c>
      <c r="F513" s="2">
        <v>16</v>
      </c>
      <c r="G513" s="7">
        <v>216.47</v>
      </c>
      <c r="H513" s="7">
        <v>3463.52</v>
      </c>
      <c r="I513" s="2">
        <v>0</v>
      </c>
      <c r="J513" s="2" t="s">
        <v>53</v>
      </c>
      <c r="K513" s="2" t="s">
        <v>141</v>
      </c>
      <c r="L513" s="2" t="s">
        <v>49</v>
      </c>
      <c r="M513" s="2" t="str">
        <f t="shared" si="21"/>
        <v>Check</v>
      </c>
      <c r="N513" s="2" t="str">
        <f t="shared" si="22"/>
        <v>Electronics</v>
      </c>
      <c r="O513" s="2" t="str">
        <f t="shared" si="23"/>
        <v>High Stock</v>
      </c>
    </row>
    <row r="514" spans="1:15" x14ac:dyDescent="0.3">
      <c r="A514" s="5">
        <v>46061</v>
      </c>
      <c r="B514" s="2" t="s">
        <v>1392</v>
      </c>
      <c r="C514" s="2" t="s">
        <v>1393</v>
      </c>
      <c r="D514" s="2" t="s">
        <v>63</v>
      </c>
      <c r="E514" s="2" t="s">
        <v>15</v>
      </c>
      <c r="F514" s="2">
        <v>16</v>
      </c>
      <c r="G514" s="7">
        <v>55.14</v>
      </c>
      <c r="H514" s="7">
        <v>705.79</v>
      </c>
      <c r="I514" s="2">
        <v>20</v>
      </c>
      <c r="J514" s="2" t="s">
        <v>16</v>
      </c>
      <c r="K514" s="2" t="s">
        <v>91</v>
      </c>
      <c r="L514" s="2" t="s">
        <v>27</v>
      </c>
      <c r="M514" s="2" t="str">
        <f t="shared" si="21"/>
        <v>Cash</v>
      </c>
      <c r="N514" s="2" t="str">
        <f t="shared" si="22"/>
        <v>Peripherals</v>
      </c>
      <c r="O514" s="2" t="str">
        <f t="shared" si="23"/>
        <v>High Stock</v>
      </c>
    </row>
    <row r="515" spans="1:15" x14ac:dyDescent="0.3">
      <c r="A515" s="5">
        <v>46268</v>
      </c>
      <c r="B515" s="2" t="s">
        <v>1394</v>
      </c>
      <c r="C515" s="2" t="s">
        <v>1395</v>
      </c>
      <c r="D515" s="2" t="s">
        <v>22</v>
      </c>
      <c r="E515" s="2" t="s">
        <v>23</v>
      </c>
      <c r="F515" s="2">
        <v>29</v>
      </c>
      <c r="G515" s="7">
        <v>31.22</v>
      </c>
      <c r="H515" s="7">
        <v>769.57</v>
      </c>
      <c r="I515" s="2">
        <v>15</v>
      </c>
      <c r="J515" s="2" t="s">
        <v>46</v>
      </c>
      <c r="K515" s="2" t="s">
        <v>124</v>
      </c>
      <c r="L515" s="1" t="s">
        <v>2347</v>
      </c>
      <c r="M515" s="1" t="str">
        <f t="shared" ref="M515:M578" si="24">TRIM(L515)</f>
        <v>Online Payment</v>
      </c>
      <c r="N515" s="2" t="str">
        <f t="shared" ref="N515:N578" si="25">PROPER(E515)</f>
        <v>Accessories</v>
      </c>
      <c r="O515" s="1" t="str">
        <f t="shared" ref="O515:O578" si="26">IF(F515&gt;15,"High Stock","Low Stock")</f>
        <v>High Stock</v>
      </c>
    </row>
    <row r="516" spans="1:15" x14ac:dyDescent="0.3">
      <c r="A516" s="5">
        <v>45769</v>
      </c>
      <c r="B516" s="2" t="s">
        <v>1396</v>
      </c>
      <c r="C516" s="2" t="s">
        <v>368</v>
      </c>
      <c r="D516" s="2" t="s">
        <v>63</v>
      </c>
      <c r="E516" s="2" t="s">
        <v>15</v>
      </c>
      <c r="F516" s="2">
        <v>16</v>
      </c>
      <c r="G516" s="7">
        <v>35.79</v>
      </c>
      <c r="H516" s="7">
        <v>572.64</v>
      </c>
      <c r="I516" s="2">
        <v>0</v>
      </c>
      <c r="J516" s="2" t="s">
        <v>53</v>
      </c>
      <c r="K516" s="2" t="s">
        <v>170</v>
      </c>
      <c r="L516" s="2" t="s">
        <v>31</v>
      </c>
      <c r="M516" s="2" t="str">
        <f t="shared" si="24"/>
        <v>Credit Card</v>
      </c>
      <c r="N516" s="2" t="str">
        <f t="shared" si="25"/>
        <v>Peripherals</v>
      </c>
      <c r="O516" s="2" t="str">
        <f t="shared" si="26"/>
        <v>High Stock</v>
      </c>
    </row>
    <row r="517" spans="1:15" x14ac:dyDescent="0.3">
      <c r="A517" s="5">
        <v>45660</v>
      </c>
      <c r="B517" s="2" t="s">
        <v>1397</v>
      </c>
      <c r="C517" s="2" t="s">
        <v>587</v>
      </c>
      <c r="D517" s="2" t="s">
        <v>99</v>
      </c>
      <c r="E517" s="2" t="s">
        <v>23</v>
      </c>
      <c r="F517" s="2">
        <v>36</v>
      </c>
      <c r="G517" s="7">
        <v>19.18</v>
      </c>
      <c r="H517" s="7">
        <v>621.42999999999995</v>
      </c>
      <c r="I517" s="2">
        <v>10</v>
      </c>
      <c r="J517" s="2" t="s">
        <v>53</v>
      </c>
      <c r="K517" s="2" t="s">
        <v>134</v>
      </c>
      <c r="L517" s="2" t="s">
        <v>69</v>
      </c>
      <c r="M517" s="2" t="str">
        <f t="shared" si="24"/>
        <v>Debit Card</v>
      </c>
      <c r="N517" s="2" t="str">
        <f t="shared" si="25"/>
        <v>Accessories</v>
      </c>
      <c r="O517" s="2" t="str">
        <f t="shared" si="26"/>
        <v>High Stock</v>
      </c>
    </row>
    <row r="518" spans="1:15" x14ac:dyDescent="0.3">
      <c r="A518" s="5">
        <v>46046</v>
      </c>
      <c r="B518" s="2" t="s">
        <v>1399</v>
      </c>
      <c r="C518" s="2" t="s">
        <v>1400</v>
      </c>
      <c r="D518" s="2" t="s">
        <v>103</v>
      </c>
      <c r="E518" s="2" t="s">
        <v>35</v>
      </c>
      <c r="F518" s="2">
        <v>38</v>
      </c>
      <c r="G518" s="7">
        <v>449.91</v>
      </c>
      <c r="H518" s="7">
        <v>16241.75</v>
      </c>
      <c r="I518" s="2">
        <v>5</v>
      </c>
      <c r="J518" s="2" t="s">
        <v>46</v>
      </c>
      <c r="K518" s="2" t="s">
        <v>124</v>
      </c>
      <c r="L518" s="2" t="s">
        <v>27</v>
      </c>
      <c r="M518" s="2" t="str">
        <f t="shared" si="24"/>
        <v>Cash</v>
      </c>
      <c r="N518" s="2" t="str">
        <f t="shared" si="25"/>
        <v>Electronics</v>
      </c>
      <c r="O518" s="2" t="str">
        <f t="shared" si="26"/>
        <v>High Stock</v>
      </c>
    </row>
    <row r="519" spans="1:15" x14ac:dyDescent="0.3">
      <c r="A519" s="5">
        <v>45932</v>
      </c>
      <c r="B519" s="2" t="s">
        <v>1402</v>
      </c>
      <c r="C519" s="2" t="s">
        <v>1403</v>
      </c>
      <c r="D519" s="2" t="s">
        <v>82</v>
      </c>
      <c r="E519" s="2" t="s">
        <v>73</v>
      </c>
      <c r="F519" s="2">
        <v>1</v>
      </c>
      <c r="G519" s="7">
        <v>587.17999999999995</v>
      </c>
      <c r="H519" s="7">
        <v>557.82000000000005</v>
      </c>
      <c r="I519" s="2">
        <v>5</v>
      </c>
      <c r="J519" s="2" t="s">
        <v>46</v>
      </c>
      <c r="K519" s="2" t="s">
        <v>83</v>
      </c>
      <c r="L519" s="1" t="s">
        <v>2347</v>
      </c>
      <c r="M519" s="1" t="str">
        <f t="shared" si="24"/>
        <v>Online Payment</v>
      </c>
      <c r="N519" s="2" t="str">
        <f t="shared" si="25"/>
        <v>Furniture</v>
      </c>
      <c r="O519" s="1" t="str">
        <f t="shared" si="26"/>
        <v>Low Stock</v>
      </c>
    </row>
    <row r="520" spans="1:15" x14ac:dyDescent="0.3">
      <c r="A520" s="5">
        <v>45633</v>
      </c>
      <c r="B520" s="2" t="s">
        <v>1404</v>
      </c>
      <c r="C520" s="2" t="s">
        <v>1405</v>
      </c>
      <c r="D520" s="2" t="s">
        <v>63</v>
      </c>
      <c r="E520" s="2" t="s">
        <v>15</v>
      </c>
      <c r="F520" s="2">
        <v>35</v>
      </c>
      <c r="G520" s="7">
        <v>72.040000000000006</v>
      </c>
      <c r="H520" s="7">
        <v>2521.4</v>
      </c>
      <c r="I520" s="2">
        <v>0</v>
      </c>
      <c r="J520" s="2" t="s">
        <v>24</v>
      </c>
      <c r="K520" s="2" t="s">
        <v>36</v>
      </c>
      <c r="L520" s="1" t="s">
        <v>2347</v>
      </c>
      <c r="M520" s="1" t="str">
        <f t="shared" si="24"/>
        <v>Online Payment</v>
      </c>
      <c r="N520" s="2" t="str">
        <f t="shared" si="25"/>
        <v>Peripherals</v>
      </c>
      <c r="O520" s="1" t="str">
        <f t="shared" si="26"/>
        <v>High Stock</v>
      </c>
    </row>
    <row r="521" spans="1:15" x14ac:dyDescent="0.3">
      <c r="A521" s="5">
        <v>45815</v>
      </c>
      <c r="B521" s="2" t="s">
        <v>1407</v>
      </c>
      <c r="C521" s="2" t="s">
        <v>947</v>
      </c>
      <c r="D521" s="2" t="s">
        <v>90</v>
      </c>
      <c r="E521" s="2" t="s">
        <v>23</v>
      </c>
      <c r="F521" s="2">
        <v>15</v>
      </c>
      <c r="G521" s="7">
        <v>44.44</v>
      </c>
      <c r="H521" s="7">
        <v>566.61</v>
      </c>
      <c r="I521" s="2">
        <v>15</v>
      </c>
      <c r="J521" s="2" t="s">
        <v>24</v>
      </c>
      <c r="K521" s="2" t="s">
        <v>25</v>
      </c>
      <c r="L521" s="2" t="s">
        <v>27</v>
      </c>
      <c r="M521" s="2" t="str">
        <f t="shared" si="24"/>
        <v>Cash</v>
      </c>
      <c r="N521" s="2" t="str">
        <f t="shared" si="25"/>
        <v>Accessories</v>
      </c>
      <c r="O521" s="2" t="str">
        <f t="shared" si="26"/>
        <v>Low Stock</v>
      </c>
    </row>
    <row r="522" spans="1:15" x14ac:dyDescent="0.3">
      <c r="A522" s="5">
        <v>45715</v>
      </c>
      <c r="B522" s="2" t="s">
        <v>1409</v>
      </c>
      <c r="C522" s="2" t="s">
        <v>1410</v>
      </c>
      <c r="D522" s="2" t="s">
        <v>103</v>
      </c>
      <c r="E522" s="2" t="s">
        <v>35</v>
      </c>
      <c r="F522" s="2">
        <v>40</v>
      </c>
      <c r="G522" s="7">
        <v>434.3</v>
      </c>
      <c r="H522" s="7">
        <v>17372</v>
      </c>
      <c r="I522" s="2">
        <v>0</v>
      </c>
      <c r="J522" s="2" t="s">
        <v>53</v>
      </c>
      <c r="K522" s="2" t="s">
        <v>134</v>
      </c>
      <c r="L522" s="1" t="s">
        <v>2347</v>
      </c>
      <c r="M522" s="1" t="str">
        <f t="shared" si="24"/>
        <v>Online Payment</v>
      </c>
      <c r="N522" s="2" t="str">
        <f t="shared" si="25"/>
        <v>Electronics</v>
      </c>
      <c r="O522" s="1" t="str">
        <f t="shared" si="26"/>
        <v>High Stock</v>
      </c>
    </row>
    <row r="523" spans="1:15" x14ac:dyDescent="0.3">
      <c r="A523" s="5">
        <v>45671</v>
      </c>
      <c r="B523" s="2" t="s">
        <v>1411</v>
      </c>
      <c r="C523" s="2" t="s">
        <v>1412</v>
      </c>
      <c r="D523" s="2" t="s">
        <v>82</v>
      </c>
      <c r="E523" s="2" t="s">
        <v>73</v>
      </c>
      <c r="F523" s="2">
        <v>18</v>
      </c>
      <c r="G523" s="7">
        <v>578.11</v>
      </c>
      <c r="H523" s="7">
        <v>9365.3799999999992</v>
      </c>
      <c r="I523" s="2">
        <v>10</v>
      </c>
      <c r="J523" s="2" t="s">
        <v>16</v>
      </c>
      <c r="K523" s="2" t="s">
        <v>160</v>
      </c>
      <c r="L523" s="2" t="s">
        <v>27</v>
      </c>
      <c r="M523" s="2" t="str">
        <f t="shared" si="24"/>
        <v>Cash</v>
      </c>
      <c r="N523" s="2" t="str">
        <f t="shared" si="25"/>
        <v>Furniture</v>
      </c>
      <c r="O523" s="2" t="str">
        <f t="shared" si="26"/>
        <v>High Stock</v>
      </c>
    </row>
    <row r="524" spans="1:15" x14ac:dyDescent="0.3">
      <c r="A524" s="5">
        <v>45836</v>
      </c>
      <c r="B524" s="2" t="s">
        <v>1414</v>
      </c>
      <c r="C524" s="2" t="s">
        <v>302</v>
      </c>
      <c r="D524" s="2" t="s">
        <v>103</v>
      </c>
      <c r="E524" s="2" t="s">
        <v>35</v>
      </c>
      <c r="F524" s="2">
        <v>13</v>
      </c>
      <c r="G524" s="7">
        <v>334.58</v>
      </c>
      <c r="H524" s="7">
        <v>4349.54</v>
      </c>
      <c r="I524" s="2">
        <v>0</v>
      </c>
      <c r="J524" s="2" t="s">
        <v>53</v>
      </c>
      <c r="K524" s="2" t="s">
        <v>67</v>
      </c>
      <c r="L524" s="2" t="s">
        <v>31</v>
      </c>
      <c r="M524" s="2" t="str">
        <f t="shared" si="24"/>
        <v>Credit Card</v>
      </c>
      <c r="N524" s="2" t="str">
        <f t="shared" si="25"/>
        <v>Electronics</v>
      </c>
      <c r="O524" s="2" t="str">
        <f t="shared" si="26"/>
        <v>Low Stock</v>
      </c>
    </row>
    <row r="525" spans="1:15" x14ac:dyDescent="0.3">
      <c r="A525" s="5">
        <v>46040</v>
      </c>
      <c r="B525" s="2" t="s">
        <v>1416</v>
      </c>
      <c r="C525" s="2" t="s">
        <v>628</v>
      </c>
      <c r="D525" s="2" t="s">
        <v>90</v>
      </c>
      <c r="E525" s="2" t="s">
        <v>23</v>
      </c>
      <c r="F525" s="2">
        <v>28</v>
      </c>
      <c r="G525" s="7">
        <v>24.2</v>
      </c>
      <c r="H525" s="7">
        <v>609.84</v>
      </c>
      <c r="I525" s="2">
        <v>10</v>
      </c>
      <c r="J525" s="2" t="s">
        <v>46</v>
      </c>
      <c r="K525" s="2" t="s">
        <v>47</v>
      </c>
      <c r="L525" s="2" t="s">
        <v>31</v>
      </c>
      <c r="M525" s="2" t="str">
        <f t="shared" si="24"/>
        <v>Credit Card</v>
      </c>
      <c r="N525" s="2" t="str">
        <f t="shared" si="25"/>
        <v>Accessories</v>
      </c>
      <c r="O525" s="2" t="str">
        <f t="shared" si="26"/>
        <v>High Stock</v>
      </c>
    </row>
    <row r="526" spans="1:15" x14ac:dyDescent="0.3">
      <c r="A526" s="5">
        <v>45772</v>
      </c>
      <c r="B526" s="2" t="s">
        <v>1417</v>
      </c>
      <c r="C526" s="2" t="s">
        <v>238</v>
      </c>
      <c r="D526" s="2" t="s">
        <v>52</v>
      </c>
      <c r="E526" s="2" t="s">
        <v>35</v>
      </c>
      <c r="F526" s="2">
        <v>28</v>
      </c>
      <c r="G526" s="7">
        <v>210.32</v>
      </c>
      <c r="H526" s="7">
        <v>4711.17</v>
      </c>
      <c r="I526" s="2">
        <v>20</v>
      </c>
      <c r="J526" s="2" t="s">
        <v>24</v>
      </c>
      <c r="K526" s="2" t="s">
        <v>104</v>
      </c>
      <c r="L526" s="2" t="s">
        <v>49</v>
      </c>
      <c r="M526" s="2" t="str">
        <f t="shared" si="24"/>
        <v>Check</v>
      </c>
      <c r="N526" s="2" t="str">
        <f t="shared" si="25"/>
        <v>Electronics</v>
      </c>
      <c r="O526" s="2" t="str">
        <f t="shared" si="26"/>
        <v>High Stock</v>
      </c>
    </row>
    <row r="527" spans="1:15" x14ac:dyDescent="0.3">
      <c r="A527" s="5">
        <v>45861</v>
      </c>
      <c r="B527" s="2" t="s">
        <v>1419</v>
      </c>
      <c r="C527" s="2" t="s">
        <v>1420</v>
      </c>
      <c r="D527" s="2" t="s">
        <v>90</v>
      </c>
      <c r="E527" s="2" t="s">
        <v>23</v>
      </c>
      <c r="F527" s="2">
        <v>5</v>
      </c>
      <c r="G527" s="7">
        <v>42.76</v>
      </c>
      <c r="H527" s="7">
        <v>213.8</v>
      </c>
      <c r="I527" s="2">
        <v>0</v>
      </c>
      <c r="J527" s="2" t="s">
        <v>24</v>
      </c>
      <c r="K527" s="2" t="s">
        <v>41</v>
      </c>
      <c r="L527" s="1" t="s">
        <v>2347</v>
      </c>
      <c r="M527" s="1" t="str">
        <f t="shared" si="24"/>
        <v>Online Payment</v>
      </c>
      <c r="N527" s="2" t="str">
        <f t="shared" si="25"/>
        <v>Accessories</v>
      </c>
      <c r="O527" s="1" t="str">
        <f t="shared" si="26"/>
        <v>Low Stock</v>
      </c>
    </row>
    <row r="528" spans="1:15" x14ac:dyDescent="0.3">
      <c r="A528" s="5">
        <v>45701</v>
      </c>
      <c r="B528" s="2" t="s">
        <v>1421</v>
      </c>
      <c r="C528" s="2" t="s">
        <v>1422</v>
      </c>
      <c r="D528" s="2" t="s">
        <v>45</v>
      </c>
      <c r="E528" s="2" t="s">
        <v>23</v>
      </c>
      <c r="F528" s="2">
        <v>48</v>
      </c>
      <c r="G528" s="7">
        <v>121.88</v>
      </c>
      <c r="H528" s="7">
        <v>5850.24</v>
      </c>
      <c r="I528" s="2">
        <v>0</v>
      </c>
      <c r="J528" s="2" t="s">
        <v>16</v>
      </c>
      <c r="K528" s="2" t="s">
        <v>17</v>
      </c>
      <c r="L528" s="1" t="s">
        <v>2347</v>
      </c>
      <c r="M528" s="1" t="str">
        <f t="shared" si="24"/>
        <v>Online Payment</v>
      </c>
      <c r="N528" s="2" t="str">
        <f t="shared" si="25"/>
        <v>Accessories</v>
      </c>
      <c r="O528" s="1" t="str">
        <f t="shared" si="26"/>
        <v>High Stock</v>
      </c>
    </row>
    <row r="529" spans="1:15" x14ac:dyDescent="0.3">
      <c r="A529" s="5">
        <v>46273</v>
      </c>
      <c r="B529" s="2" t="s">
        <v>1424</v>
      </c>
      <c r="C529" s="2" t="s">
        <v>1425</v>
      </c>
      <c r="D529" s="2" t="s">
        <v>22</v>
      </c>
      <c r="E529" s="2" t="s">
        <v>23</v>
      </c>
      <c r="F529" s="2">
        <v>15</v>
      </c>
      <c r="G529" s="7">
        <v>34.18</v>
      </c>
      <c r="H529" s="7">
        <v>512.70000000000005</v>
      </c>
      <c r="I529" s="2">
        <v>0</v>
      </c>
      <c r="J529" s="2" t="s">
        <v>46</v>
      </c>
      <c r="K529" s="2" t="s">
        <v>83</v>
      </c>
      <c r="L529" s="2" t="s">
        <v>49</v>
      </c>
      <c r="M529" s="2" t="str">
        <f t="shared" si="24"/>
        <v>Check</v>
      </c>
      <c r="N529" s="2" t="str">
        <f t="shared" si="25"/>
        <v>Accessories</v>
      </c>
      <c r="O529" s="2" t="str">
        <f t="shared" si="26"/>
        <v>Low Stock</v>
      </c>
    </row>
    <row r="530" spans="1:15" x14ac:dyDescent="0.3">
      <c r="A530" s="5">
        <v>45763</v>
      </c>
      <c r="B530" s="2" t="s">
        <v>1426</v>
      </c>
      <c r="C530" s="2" t="s">
        <v>1427</v>
      </c>
      <c r="D530" s="2" t="s">
        <v>95</v>
      </c>
      <c r="E530" s="2" t="s">
        <v>35</v>
      </c>
      <c r="F530" s="2">
        <v>38</v>
      </c>
      <c r="G530" s="7">
        <v>996.33</v>
      </c>
      <c r="H530" s="7">
        <v>37860.54</v>
      </c>
      <c r="I530" s="2">
        <v>0</v>
      </c>
      <c r="J530" s="2" t="s">
        <v>24</v>
      </c>
      <c r="K530" s="2" t="s">
        <v>104</v>
      </c>
      <c r="L530" s="2" t="s">
        <v>27</v>
      </c>
      <c r="M530" s="2" t="str">
        <f t="shared" si="24"/>
        <v>Cash</v>
      </c>
      <c r="N530" s="2" t="str">
        <f t="shared" si="25"/>
        <v>Electronics</v>
      </c>
      <c r="O530" s="2" t="str">
        <f t="shared" si="26"/>
        <v>High Stock</v>
      </c>
    </row>
    <row r="531" spans="1:15" x14ac:dyDescent="0.3">
      <c r="A531" s="5">
        <v>45660</v>
      </c>
      <c r="B531" s="2" t="s">
        <v>1429</v>
      </c>
      <c r="C531" s="2" t="s">
        <v>1430</v>
      </c>
      <c r="D531" s="2" t="s">
        <v>52</v>
      </c>
      <c r="E531" s="2" t="s">
        <v>35</v>
      </c>
      <c r="F531" s="2">
        <v>10</v>
      </c>
      <c r="G531" s="7">
        <v>235.56</v>
      </c>
      <c r="H531" s="7">
        <v>1884.48</v>
      </c>
      <c r="I531" s="2">
        <v>20</v>
      </c>
      <c r="J531" s="2" t="s">
        <v>53</v>
      </c>
      <c r="K531" s="2" t="s">
        <v>170</v>
      </c>
      <c r="L531" s="1" t="s">
        <v>2347</v>
      </c>
      <c r="M531" s="1" t="str">
        <f t="shared" si="24"/>
        <v>Online Payment</v>
      </c>
      <c r="N531" s="2" t="str">
        <f t="shared" si="25"/>
        <v>Electronics</v>
      </c>
      <c r="O531" s="1" t="str">
        <f t="shared" si="26"/>
        <v>Low Stock</v>
      </c>
    </row>
    <row r="532" spans="1:15" x14ac:dyDescent="0.3">
      <c r="A532" s="5">
        <v>45661</v>
      </c>
      <c r="B532" s="2" t="s">
        <v>1431</v>
      </c>
      <c r="C532" s="2" t="s">
        <v>1432</v>
      </c>
      <c r="D532" s="2" t="s">
        <v>72</v>
      </c>
      <c r="E532" s="2" t="s">
        <v>73</v>
      </c>
      <c r="F532" s="2">
        <v>13</v>
      </c>
      <c r="G532" s="7">
        <v>212.69</v>
      </c>
      <c r="H532" s="7">
        <v>2626.72</v>
      </c>
      <c r="I532" s="2">
        <v>5</v>
      </c>
      <c r="J532" s="2" t="s">
        <v>24</v>
      </c>
      <c r="K532" s="2" t="s">
        <v>36</v>
      </c>
      <c r="L532" s="2" t="s">
        <v>49</v>
      </c>
      <c r="M532" s="2" t="str">
        <f t="shared" si="24"/>
        <v>Check</v>
      </c>
      <c r="N532" s="2" t="str">
        <f t="shared" si="25"/>
        <v>Furniture</v>
      </c>
      <c r="O532" s="2" t="str">
        <f t="shared" si="26"/>
        <v>Low Stock</v>
      </c>
    </row>
    <row r="533" spans="1:15" x14ac:dyDescent="0.3">
      <c r="A533" s="5">
        <v>45619</v>
      </c>
      <c r="B533" s="2" t="s">
        <v>1433</v>
      </c>
      <c r="C533" s="2" t="s">
        <v>1434</v>
      </c>
      <c r="D533" s="2" t="s">
        <v>52</v>
      </c>
      <c r="E533" s="2" t="s">
        <v>35</v>
      </c>
      <c r="F533" s="2">
        <v>24</v>
      </c>
      <c r="G533" s="7">
        <v>296.8</v>
      </c>
      <c r="H533" s="7">
        <v>6054.72</v>
      </c>
      <c r="I533" s="2">
        <v>15</v>
      </c>
      <c r="J533" s="2" t="s">
        <v>53</v>
      </c>
      <c r="K533" s="2" t="s">
        <v>134</v>
      </c>
      <c r="L533" s="2" t="s">
        <v>31</v>
      </c>
      <c r="M533" s="2" t="str">
        <f t="shared" si="24"/>
        <v>Credit Card</v>
      </c>
      <c r="N533" s="2" t="str">
        <f t="shared" si="25"/>
        <v>Electronics</v>
      </c>
      <c r="O533" s="2" t="str">
        <f t="shared" si="26"/>
        <v>High Stock</v>
      </c>
    </row>
    <row r="534" spans="1:15" x14ac:dyDescent="0.3">
      <c r="A534" s="5">
        <v>45633</v>
      </c>
      <c r="B534" s="2" t="s">
        <v>1435</v>
      </c>
      <c r="C534" s="2" t="s">
        <v>1436</v>
      </c>
      <c r="D534" s="2" t="s">
        <v>52</v>
      </c>
      <c r="E534" s="2" t="s">
        <v>35</v>
      </c>
      <c r="F534" s="2">
        <v>34</v>
      </c>
      <c r="G534" s="7">
        <v>363.67</v>
      </c>
      <c r="H534" s="7">
        <v>11746.54</v>
      </c>
      <c r="I534" s="2">
        <v>5</v>
      </c>
      <c r="J534" s="2" t="s">
        <v>16</v>
      </c>
      <c r="K534" s="2" t="s">
        <v>17</v>
      </c>
      <c r="L534" s="2" t="s">
        <v>31</v>
      </c>
      <c r="M534" s="2" t="str">
        <f t="shared" si="24"/>
        <v>Credit Card</v>
      </c>
      <c r="N534" s="2" t="str">
        <f t="shared" si="25"/>
        <v>Electronics</v>
      </c>
      <c r="O534" s="2" t="str">
        <f t="shared" si="26"/>
        <v>High Stock</v>
      </c>
    </row>
    <row r="535" spans="1:15" x14ac:dyDescent="0.3">
      <c r="A535" s="5">
        <v>45700</v>
      </c>
      <c r="B535" s="2" t="s">
        <v>1437</v>
      </c>
      <c r="C535" s="2" t="s">
        <v>423</v>
      </c>
      <c r="D535" s="2" t="s">
        <v>52</v>
      </c>
      <c r="E535" s="2" t="s">
        <v>35</v>
      </c>
      <c r="F535" s="2">
        <v>38</v>
      </c>
      <c r="G535" s="7">
        <v>311.33</v>
      </c>
      <c r="H535" s="7">
        <v>11830.54</v>
      </c>
      <c r="I535" s="2">
        <v>0</v>
      </c>
      <c r="J535" s="2" t="s">
        <v>24</v>
      </c>
      <c r="K535" s="2" t="s">
        <v>104</v>
      </c>
      <c r="L535" s="2" t="s">
        <v>49</v>
      </c>
      <c r="M535" s="2" t="str">
        <f t="shared" si="24"/>
        <v>Check</v>
      </c>
      <c r="N535" s="2" t="str">
        <f t="shared" si="25"/>
        <v>Electronics</v>
      </c>
      <c r="O535" s="2" t="str">
        <f t="shared" si="26"/>
        <v>High Stock</v>
      </c>
    </row>
    <row r="536" spans="1:15" x14ac:dyDescent="0.3">
      <c r="A536" s="5">
        <v>46277</v>
      </c>
      <c r="B536" s="2" t="s">
        <v>1439</v>
      </c>
      <c r="C536" s="2" t="s">
        <v>1440</v>
      </c>
      <c r="D536" s="2" t="s">
        <v>95</v>
      </c>
      <c r="E536" s="2" t="s">
        <v>35</v>
      </c>
      <c r="F536" s="2">
        <v>41</v>
      </c>
      <c r="G536" s="7">
        <v>218.12</v>
      </c>
      <c r="H536" s="7">
        <v>8048.63</v>
      </c>
      <c r="I536" s="2">
        <v>10</v>
      </c>
      <c r="J536" s="2" t="s">
        <v>53</v>
      </c>
      <c r="K536" s="2" t="s">
        <v>134</v>
      </c>
      <c r="L536" s="2" t="s">
        <v>27</v>
      </c>
      <c r="M536" s="2" t="str">
        <f t="shared" si="24"/>
        <v>Cash</v>
      </c>
      <c r="N536" s="2" t="str">
        <f t="shared" si="25"/>
        <v>Electronics</v>
      </c>
      <c r="O536" s="2" t="str">
        <f t="shared" si="26"/>
        <v>High Stock</v>
      </c>
    </row>
    <row r="537" spans="1:15" x14ac:dyDescent="0.3">
      <c r="A537" s="5">
        <v>46029</v>
      </c>
      <c r="B537" s="2" t="s">
        <v>1442</v>
      </c>
      <c r="C537" s="2" t="s">
        <v>1430</v>
      </c>
      <c r="D537" s="2" t="s">
        <v>82</v>
      </c>
      <c r="E537" s="2" t="s">
        <v>73</v>
      </c>
      <c r="F537" s="2">
        <v>27</v>
      </c>
      <c r="G537" s="7">
        <v>395.64</v>
      </c>
      <c r="H537" s="7">
        <v>10682.28</v>
      </c>
      <c r="I537" s="2">
        <v>0</v>
      </c>
      <c r="J537" s="2" t="s">
        <v>24</v>
      </c>
      <c r="K537" s="2" t="s">
        <v>59</v>
      </c>
      <c r="L537" s="2" t="s">
        <v>31</v>
      </c>
      <c r="M537" s="2" t="str">
        <f t="shared" si="24"/>
        <v>Credit Card</v>
      </c>
      <c r="N537" s="2" t="str">
        <f t="shared" si="25"/>
        <v>Furniture</v>
      </c>
      <c r="O537" s="2" t="str">
        <f t="shared" si="26"/>
        <v>High Stock</v>
      </c>
    </row>
    <row r="538" spans="1:15" x14ac:dyDescent="0.3">
      <c r="A538" s="5">
        <v>45578</v>
      </c>
      <c r="B538" s="2" t="s">
        <v>1444</v>
      </c>
      <c r="C538" s="2" t="s">
        <v>1445</v>
      </c>
      <c r="D538" s="2" t="s">
        <v>90</v>
      </c>
      <c r="E538" s="2" t="s">
        <v>23</v>
      </c>
      <c r="F538" s="2">
        <v>24</v>
      </c>
      <c r="G538" s="7">
        <v>30.87</v>
      </c>
      <c r="H538" s="7">
        <v>740.88</v>
      </c>
      <c r="I538" s="2">
        <v>0</v>
      </c>
      <c r="J538" s="2" t="s">
        <v>24</v>
      </c>
      <c r="K538" s="2" t="s">
        <v>25</v>
      </c>
      <c r="L538" s="2" t="s">
        <v>31</v>
      </c>
      <c r="M538" s="2" t="str">
        <f t="shared" si="24"/>
        <v>Credit Card</v>
      </c>
      <c r="N538" s="2" t="str">
        <f t="shared" si="25"/>
        <v>Accessories</v>
      </c>
      <c r="O538" s="2" t="str">
        <f t="shared" si="26"/>
        <v>High Stock</v>
      </c>
    </row>
    <row r="539" spans="1:15" x14ac:dyDescent="0.3">
      <c r="A539" s="5">
        <v>45794</v>
      </c>
      <c r="B539" s="2" t="s">
        <v>1447</v>
      </c>
      <c r="C539" s="2" t="s">
        <v>1448</v>
      </c>
      <c r="D539" s="2" t="s">
        <v>95</v>
      </c>
      <c r="E539" s="2" t="s">
        <v>35</v>
      </c>
      <c r="F539" s="2">
        <v>42</v>
      </c>
      <c r="G539" s="7">
        <v>433.28</v>
      </c>
      <c r="H539" s="7">
        <v>16377.98</v>
      </c>
      <c r="I539" s="2">
        <v>10</v>
      </c>
      <c r="J539" s="2" t="s">
        <v>46</v>
      </c>
      <c r="K539" s="2" t="s">
        <v>78</v>
      </c>
      <c r="L539" s="2" t="s">
        <v>31</v>
      </c>
      <c r="M539" s="2" t="str">
        <f t="shared" si="24"/>
        <v>Credit Card</v>
      </c>
      <c r="N539" s="2" t="str">
        <f t="shared" si="25"/>
        <v>Electronics</v>
      </c>
      <c r="O539" s="2" t="str">
        <f t="shared" si="26"/>
        <v>High Stock</v>
      </c>
    </row>
    <row r="540" spans="1:15" x14ac:dyDescent="0.3">
      <c r="A540" s="5">
        <v>45668</v>
      </c>
      <c r="B540" s="2" t="s">
        <v>1449</v>
      </c>
      <c r="C540" s="2" t="s">
        <v>1450</v>
      </c>
      <c r="D540" s="2" t="s">
        <v>22</v>
      </c>
      <c r="E540" s="2" t="s">
        <v>23</v>
      </c>
      <c r="F540" s="2">
        <v>41</v>
      </c>
      <c r="G540" s="7">
        <v>36.520000000000003</v>
      </c>
      <c r="H540" s="7">
        <v>1422.45</v>
      </c>
      <c r="I540" s="2">
        <v>5</v>
      </c>
      <c r="J540" s="2" t="s">
        <v>24</v>
      </c>
      <c r="K540" s="2" t="s">
        <v>36</v>
      </c>
      <c r="L540" s="2" t="s">
        <v>49</v>
      </c>
      <c r="M540" s="2" t="str">
        <f t="shared" si="24"/>
        <v>Check</v>
      </c>
      <c r="N540" s="2" t="str">
        <f t="shared" si="25"/>
        <v>Accessories</v>
      </c>
      <c r="O540" s="2" t="str">
        <f t="shared" si="26"/>
        <v>High Stock</v>
      </c>
    </row>
    <row r="541" spans="1:15" x14ac:dyDescent="0.3">
      <c r="A541" s="5">
        <v>45597</v>
      </c>
      <c r="B541" s="2" t="s">
        <v>1451</v>
      </c>
      <c r="C541" s="2" t="s">
        <v>1452</v>
      </c>
      <c r="D541" s="2" t="s">
        <v>95</v>
      </c>
      <c r="E541" s="2" t="s">
        <v>35</v>
      </c>
      <c r="F541" s="2">
        <v>38</v>
      </c>
      <c r="G541" s="7">
        <v>425.59</v>
      </c>
      <c r="H541" s="7">
        <v>14555.18</v>
      </c>
      <c r="I541" s="2">
        <v>10</v>
      </c>
      <c r="J541" s="2" t="s">
        <v>24</v>
      </c>
      <c r="K541" s="2" t="s">
        <v>41</v>
      </c>
      <c r="L541" s="2" t="s">
        <v>69</v>
      </c>
      <c r="M541" s="2" t="str">
        <f t="shared" si="24"/>
        <v>Debit Card</v>
      </c>
      <c r="N541" s="2" t="str">
        <f t="shared" si="25"/>
        <v>Electronics</v>
      </c>
      <c r="O541" s="2" t="str">
        <f t="shared" si="26"/>
        <v>High Stock</v>
      </c>
    </row>
    <row r="542" spans="1:15" x14ac:dyDescent="0.3">
      <c r="A542" s="5">
        <v>46064</v>
      </c>
      <c r="B542" s="2" t="s">
        <v>1453</v>
      </c>
      <c r="C542" s="2" t="s">
        <v>1454</v>
      </c>
      <c r="D542" s="2" t="s">
        <v>72</v>
      </c>
      <c r="E542" s="2" t="s">
        <v>73</v>
      </c>
      <c r="F542" s="2">
        <v>47</v>
      </c>
      <c r="G542" s="7">
        <v>289.66000000000003</v>
      </c>
      <c r="H542" s="7">
        <v>11571.92</v>
      </c>
      <c r="I542" s="2">
        <v>15</v>
      </c>
      <c r="J542" s="2" t="s">
        <v>53</v>
      </c>
      <c r="K542" s="2" t="s">
        <v>141</v>
      </c>
      <c r="L542" s="2" t="s">
        <v>49</v>
      </c>
      <c r="M542" s="2" t="str">
        <f t="shared" si="24"/>
        <v>Check</v>
      </c>
      <c r="N542" s="2" t="str">
        <f t="shared" si="25"/>
        <v>Furniture</v>
      </c>
      <c r="O542" s="2" t="str">
        <f t="shared" si="26"/>
        <v>High Stock</v>
      </c>
    </row>
    <row r="543" spans="1:15" x14ac:dyDescent="0.3">
      <c r="A543" s="5">
        <v>45721</v>
      </c>
      <c r="B543" s="2" t="s">
        <v>1456</v>
      </c>
      <c r="C543" s="2" t="s">
        <v>1457</v>
      </c>
      <c r="D543" s="2" t="s">
        <v>14</v>
      </c>
      <c r="E543" s="2" t="s">
        <v>15</v>
      </c>
      <c r="F543" s="2">
        <v>10</v>
      </c>
      <c r="G543" s="7">
        <v>91.1</v>
      </c>
      <c r="H543" s="7">
        <v>728.8</v>
      </c>
      <c r="I543" s="2">
        <v>20</v>
      </c>
      <c r="J543" s="2" t="s">
        <v>53</v>
      </c>
      <c r="K543" s="2" t="s">
        <v>170</v>
      </c>
      <c r="L543" s="1" t="s">
        <v>2347</v>
      </c>
      <c r="M543" s="1" t="str">
        <f t="shared" si="24"/>
        <v>Online Payment</v>
      </c>
      <c r="N543" s="2" t="str">
        <f t="shared" si="25"/>
        <v>Peripherals</v>
      </c>
      <c r="O543" s="1" t="str">
        <f t="shared" si="26"/>
        <v>Low Stock</v>
      </c>
    </row>
    <row r="544" spans="1:15" x14ac:dyDescent="0.3">
      <c r="A544" s="5">
        <v>45917</v>
      </c>
      <c r="B544" s="2" t="s">
        <v>1459</v>
      </c>
      <c r="C544" s="2" t="s">
        <v>1420</v>
      </c>
      <c r="D544" s="2" t="s">
        <v>52</v>
      </c>
      <c r="E544" s="2" t="s">
        <v>35</v>
      </c>
      <c r="F544" s="2">
        <v>19</v>
      </c>
      <c r="G544" s="7">
        <v>372.87</v>
      </c>
      <c r="H544" s="7">
        <v>7084.53</v>
      </c>
      <c r="I544" s="2">
        <v>0</v>
      </c>
      <c r="J544" s="2" t="s">
        <v>46</v>
      </c>
      <c r="K544" s="2" t="s">
        <v>78</v>
      </c>
      <c r="L544" s="1" t="s">
        <v>2347</v>
      </c>
      <c r="M544" s="1" t="str">
        <f t="shared" si="24"/>
        <v>Online Payment</v>
      </c>
      <c r="N544" s="2" t="str">
        <f t="shared" si="25"/>
        <v>Electronics</v>
      </c>
      <c r="O544" s="1" t="str">
        <f t="shared" si="26"/>
        <v>High Stock</v>
      </c>
    </row>
    <row r="545" spans="1:15" x14ac:dyDescent="0.3">
      <c r="A545" s="5">
        <v>45829</v>
      </c>
      <c r="B545" s="2" t="s">
        <v>1461</v>
      </c>
      <c r="C545" s="2" t="s">
        <v>1462</v>
      </c>
      <c r="D545" s="2" t="s">
        <v>72</v>
      </c>
      <c r="E545" s="2" t="s">
        <v>73</v>
      </c>
      <c r="F545" s="2">
        <v>4</v>
      </c>
      <c r="G545" s="7">
        <v>238.23</v>
      </c>
      <c r="H545" s="7">
        <v>905.27</v>
      </c>
      <c r="I545" s="2">
        <v>5</v>
      </c>
      <c r="J545" s="2" t="s">
        <v>24</v>
      </c>
      <c r="K545" s="2" t="s">
        <v>104</v>
      </c>
      <c r="L545" s="2" t="s">
        <v>69</v>
      </c>
      <c r="M545" s="2" t="str">
        <f t="shared" si="24"/>
        <v>Debit Card</v>
      </c>
      <c r="N545" s="2" t="str">
        <f t="shared" si="25"/>
        <v>Furniture</v>
      </c>
      <c r="O545" s="2" t="str">
        <f t="shared" si="26"/>
        <v>Low Stock</v>
      </c>
    </row>
    <row r="546" spans="1:15" x14ac:dyDescent="0.3">
      <c r="A546" s="5">
        <v>45732</v>
      </c>
      <c r="B546" s="2" t="s">
        <v>1464</v>
      </c>
      <c r="C546" s="2" t="s">
        <v>77</v>
      </c>
      <c r="D546" s="2" t="s">
        <v>14</v>
      </c>
      <c r="E546" s="2" t="s">
        <v>15</v>
      </c>
      <c r="F546" s="2">
        <v>21</v>
      </c>
      <c r="G546" s="7">
        <v>46.51</v>
      </c>
      <c r="H546" s="7">
        <v>830.2</v>
      </c>
      <c r="I546" s="2">
        <v>15</v>
      </c>
      <c r="J546" s="2" t="s">
        <v>24</v>
      </c>
      <c r="K546" s="2" t="s">
        <v>25</v>
      </c>
      <c r="L546" s="2" t="s">
        <v>31</v>
      </c>
      <c r="M546" s="2" t="str">
        <f t="shared" si="24"/>
        <v>Credit Card</v>
      </c>
      <c r="N546" s="2" t="str">
        <f t="shared" si="25"/>
        <v>Peripherals</v>
      </c>
      <c r="O546" s="2" t="str">
        <f t="shared" si="26"/>
        <v>High Stock</v>
      </c>
    </row>
    <row r="547" spans="1:15" x14ac:dyDescent="0.3">
      <c r="A547" s="5">
        <v>46106</v>
      </c>
      <c r="B547" s="2" t="s">
        <v>1465</v>
      </c>
      <c r="C547" s="2" t="s">
        <v>1466</v>
      </c>
      <c r="D547" s="2" t="s">
        <v>90</v>
      </c>
      <c r="E547" s="2" t="s">
        <v>23</v>
      </c>
      <c r="F547" s="2">
        <v>23</v>
      </c>
      <c r="G547" s="7">
        <v>28.45</v>
      </c>
      <c r="H547" s="7">
        <v>654.35</v>
      </c>
      <c r="I547" s="2">
        <v>0</v>
      </c>
      <c r="J547" s="2" t="s">
        <v>53</v>
      </c>
      <c r="K547" s="2" t="s">
        <v>134</v>
      </c>
      <c r="L547" s="2" t="s">
        <v>31</v>
      </c>
      <c r="M547" s="2" t="str">
        <f t="shared" si="24"/>
        <v>Credit Card</v>
      </c>
      <c r="N547" s="2" t="str">
        <f t="shared" si="25"/>
        <v>Accessories</v>
      </c>
      <c r="O547" s="2" t="str">
        <f t="shared" si="26"/>
        <v>High Stock</v>
      </c>
    </row>
    <row r="548" spans="1:15" x14ac:dyDescent="0.3">
      <c r="A548" s="5">
        <v>45801</v>
      </c>
      <c r="B548" s="2" t="s">
        <v>1468</v>
      </c>
      <c r="C548" s="2" t="s">
        <v>1469</v>
      </c>
      <c r="D548" s="2" t="s">
        <v>82</v>
      </c>
      <c r="E548" s="2" t="s">
        <v>73</v>
      </c>
      <c r="F548" s="2">
        <v>46</v>
      </c>
      <c r="G548" s="7">
        <v>603.1</v>
      </c>
      <c r="H548" s="7">
        <v>24968.34</v>
      </c>
      <c r="I548" s="2">
        <v>10</v>
      </c>
      <c r="J548" s="2" t="s">
        <v>24</v>
      </c>
      <c r="K548" s="2" t="s">
        <v>36</v>
      </c>
      <c r="L548" s="2" t="s">
        <v>49</v>
      </c>
      <c r="M548" s="2" t="str">
        <f t="shared" si="24"/>
        <v>Check</v>
      </c>
      <c r="N548" s="2" t="str">
        <f t="shared" si="25"/>
        <v>Furniture</v>
      </c>
      <c r="O548" s="2" t="str">
        <f t="shared" si="26"/>
        <v>High Stock</v>
      </c>
    </row>
    <row r="549" spans="1:15" x14ac:dyDescent="0.3">
      <c r="A549" s="5">
        <v>45999</v>
      </c>
      <c r="B549" s="2" t="s">
        <v>1470</v>
      </c>
      <c r="C549" s="2" t="s">
        <v>1471</v>
      </c>
      <c r="D549" s="2" t="s">
        <v>103</v>
      </c>
      <c r="E549" s="2" t="s">
        <v>35</v>
      </c>
      <c r="F549" s="2">
        <v>15</v>
      </c>
      <c r="G549" s="7">
        <v>432.69</v>
      </c>
      <c r="H549" s="7">
        <v>6490.35</v>
      </c>
      <c r="I549" s="2">
        <v>0</v>
      </c>
      <c r="J549" s="2" t="s">
        <v>24</v>
      </c>
      <c r="K549" s="2" t="s">
        <v>104</v>
      </c>
      <c r="L549" s="2" t="s">
        <v>49</v>
      </c>
      <c r="M549" s="2" t="str">
        <f t="shared" si="24"/>
        <v>Check</v>
      </c>
      <c r="N549" s="2" t="str">
        <f t="shared" si="25"/>
        <v>Electronics</v>
      </c>
      <c r="O549" s="2" t="str">
        <f t="shared" si="26"/>
        <v>Low Stock</v>
      </c>
    </row>
    <row r="550" spans="1:15" x14ac:dyDescent="0.3">
      <c r="A550" s="5">
        <v>45825</v>
      </c>
      <c r="B550" s="2" t="s">
        <v>1472</v>
      </c>
      <c r="C550" s="2" t="s">
        <v>1473</v>
      </c>
      <c r="D550" s="2" t="s">
        <v>40</v>
      </c>
      <c r="E550" s="2" t="s">
        <v>23</v>
      </c>
      <c r="F550" s="2">
        <v>23</v>
      </c>
      <c r="G550" s="7">
        <v>78.849999999999994</v>
      </c>
      <c r="H550" s="7">
        <v>1541.52</v>
      </c>
      <c r="I550" s="2">
        <v>15</v>
      </c>
      <c r="J550" s="2" t="s">
        <v>46</v>
      </c>
      <c r="K550" s="2" t="s">
        <v>78</v>
      </c>
      <c r="L550" s="2" t="s">
        <v>49</v>
      </c>
      <c r="M550" s="2" t="str">
        <f t="shared" si="24"/>
        <v>Check</v>
      </c>
      <c r="N550" s="2" t="str">
        <f t="shared" si="25"/>
        <v>Accessories</v>
      </c>
      <c r="O550" s="2" t="str">
        <f t="shared" si="26"/>
        <v>High Stock</v>
      </c>
    </row>
    <row r="551" spans="1:15" x14ac:dyDescent="0.3">
      <c r="A551" s="5">
        <v>45765</v>
      </c>
      <c r="B551" s="2" t="s">
        <v>1474</v>
      </c>
      <c r="C551" s="2" t="s">
        <v>391</v>
      </c>
      <c r="D551" s="2" t="s">
        <v>95</v>
      </c>
      <c r="E551" s="2" t="s">
        <v>35</v>
      </c>
      <c r="F551" s="2">
        <v>42</v>
      </c>
      <c r="G551" s="7">
        <v>352.01</v>
      </c>
      <c r="H551" s="7">
        <v>12566.76</v>
      </c>
      <c r="I551" s="2">
        <v>15</v>
      </c>
      <c r="J551" s="2" t="s">
        <v>24</v>
      </c>
      <c r="K551" s="2" t="s">
        <v>41</v>
      </c>
      <c r="L551" s="2" t="s">
        <v>49</v>
      </c>
      <c r="M551" s="2" t="str">
        <f t="shared" si="24"/>
        <v>Check</v>
      </c>
      <c r="N551" s="2" t="str">
        <f t="shared" si="25"/>
        <v>Electronics</v>
      </c>
      <c r="O551" s="2" t="str">
        <f t="shared" si="26"/>
        <v>High Stock</v>
      </c>
    </row>
    <row r="552" spans="1:15" x14ac:dyDescent="0.3">
      <c r="A552" s="5">
        <v>46132</v>
      </c>
      <c r="B552" s="2" t="s">
        <v>1475</v>
      </c>
      <c r="C552" s="2" t="s">
        <v>1476</v>
      </c>
      <c r="D552" s="2" t="s">
        <v>22</v>
      </c>
      <c r="E552" s="2" t="s">
        <v>23</v>
      </c>
      <c r="F552" s="2">
        <v>33</v>
      </c>
      <c r="G552" s="7">
        <v>20.47</v>
      </c>
      <c r="H552" s="7">
        <v>607.96</v>
      </c>
      <c r="I552" s="2">
        <v>10</v>
      </c>
      <c r="J552" s="2" t="s">
        <v>46</v>
      </c>
      <c r="K552" s="2" t="s">
        <v>83</v>
      </c>
      <c r="L552" s="2" t="s">
        <v>69</v>
      </c>
      <c r="M552" s="2" t="str">
        <f t="shared" si="24"/>
        <v>Debit Card</v>
      </c>
      <c r="N552" s="2" t="str">
        <f t="shared" si="25"/>
        <v>Accessories</v>
      </c>
      <c r="O552" s="2" t="str">
        <f t="shared" si="26"/>
        <v>High Stock</v>
      </c>
    </row>
    <row r="553" spans="1:15" x14ac:dyDescent="0.3">
      <c r="A553" s="5">
        <v>46214</v>
      </c>
      <c r="B553" s="2" t="s">
        <v>1477</v>
      </c>
      <c r="C553" s="2" t="s">
        <v>228</v>
      </c>
      <c r="D553" s="2" t="s">
        <v>103</v>
      </c>
      <c r="E553" s="2" t="s">
        <v>35</v>
      </c>
      <c r="F553" s="2">
        <v>1</v>
      </c>
      <c r="G553" s="7">
        <v>367.24</v>
      </c>
      <c r="H553" s="7">
        <v>367.24</v>
      </c>
      <c r="I553" s="2">
        <v>0</v>
      </c>
      <c r="J553" s="2" t="s">
        <v>46</v>
      </c>
      <c r="K553" s="2" t="s">
        <v>83</v>
      </c>
      <c r="L553" s="2" t="s">
        <v>27</v>
      </c>
      <c r="M553" s="2" t="str">
        <f t="shared" si="24"/>
        <v>Cash</v>
      </c>
      <c r="N553" s="2" t="str">
        <f t="shared" si="25"/>
        <v>Electronics</v>
      </c>
      <c r="O553" s="2" t="str">
        <f t="shared" si="26"/>
        <v>Low Stock</v>
      </c>
    </row>
    <row r="554" spans="1:15" x14ac:dyDescent="0.3">
      <c r="A554" s="5">
        <v>45722</v>
      </c>
      <c r="B554" s="2" t="s">
        <v>1478</v>
      </c>
      <c r="C554" s="2" t="s">
        <v>1479</v>
      </c>
      <c r="D554" s="2" t="s">
        <v>82</v>
      </c>
      <c r="E554" s="2" t="s">
        <v>73</v>
      </c>
      <c r="F554" s="2">
        <v>49</v>
      </c>
      <c r="G554" s="7">
        <v>337.74</v>
      </c>
      <c r="H554" s="7">
        <v>16549.259999999998</v>
      </c>
      <c r="I554" s="2">
        <v>0</v>
      </c>
      <c r="J554" s="2" t="s">
        <v>16</v>
      </c>
      <c r="K554" s="2" t="s">
        <v>111</v>
      </c>
      <c r="L554" s="2" t="s">
        <v>27</v>
      </c>
      <c r="M554" s="2" t="str">
        <f t="shared" si="24"/>
        <v>Cash</v>
      </c>
      <c r="N554" s="2" t="str">
        <f t="shared" si="25"/>
        <v>Furniture</v>
      </c>
      <c r="O554" s="2" t="str">
        <f t="shared" si="26"/>
        <v>High Stock</v>
      </c>
    </row>
    <row r="555" spans="1:15" x14ac:dyDescent="0.3">
      <c r="A555" s="5">
        <v>45710</v>
      </c>
      <c r="B555" s="2" t="s">
        <v>1480</v>
      </c>
      <c r="C555" s="2" t="s">
        <v>1481</v>
      </c>
      <c r="D555" s="2" t="s">
        <v>99</v>
      </c>
      <c r="E555" s="2" t="s">
        <v>23</v>
      </c>
      <c r="F555" s="2">
        <v>38</v>
      </c>
      <c r="G555" s="7">
        <v>10.97</v>
      </c>
      <c r="H555" s="7">
        <v>333.49</v>
      </c>
      <c r="I555" s="2">
        <v>20</v>
      </c>
      <c r="J555" s="2" t="s">
        <v>53</v>
      </c>
      <c r="K555" s="2" t="s">
        <v>67</v>
      </c>
      <c r="L555" s="2" t="s">
        <v>31</v>
      </c>
      <c r="M555" s="2" t="str">
        <f t="shared" si="24"/>
        <v>Credit Card</v>
      </c>
      <c r="N555" s="2" t="str">
        <f t="shared" si="25"/>
        <v>Accessories</v>
      </c>
      <c r="O555" s="2" t="str">
        <f t="shared" si="26"/>
        <v>High Stock</v>
      </c>
    </row>
    <row r="556" spans="1:15" x14ac:dyDescent="0.3">
      <c r="A556" s="5">
        <v>45578</v>
      </c>
      <c r="B556" s="2" t="s">
        <v>1482</v>
      </c>
      <c r="C556" s="2" t="s">
        <v>1483</v>
      </c>
      <c r="D556" s="2" t="s">
        <v>103</v>
      </c>
      <c r="E556" s="2" t="s">
        <v>35</v>
      </c>
      <c r="F556" s="2">
        <v>27</v>
      </c>
      <c r="G556" s="7">
        <v>398.24</v>
      </c>
      <c r="H556" s="7">
        <v>10752.48</v>
      </c>
      <c r="I556" s="2">
        <v>0</v>
      </c>
      <c r="J556" s="2" t="s">
        <v>16</v>
      </c>
      <c r="K556" s="2" t="s">
        <v>17</v>
      </c>
      <c r="L556" s="2" t="s">
        <v>27</v>
      </c>
      <c r="M556" s="2" t="str">
        <f t="shared" si="24"/>
        <v>Cash</v>
      </c>
      <c r="N556" s="2" t="str">
        <f t="shared" si="25"/>
        <v>Electronics</v>
      </c>
      <c r="O556" s="2" t="str">
        <f t="shared" si="26"/>
        <v>High Stock</v>
      </c>
    </row>
    <row r="557" spans="1:15" x14ac:dyDescent="0.3">
      <c r="A557" s="5">
        <v>45997</v>
      </c>
      <c r="B557" s="2" t="s">
        <v>1484</v>
      </c>
      <c r="C557" s="2" t="s">
        <v>1008</v>
      </c>
      <c r="D557" s="2" t="s">
        <v>103</v>
      </c>
      <c r="E557" s="2" t="s">
        <v>35</v>
      </c>
      <c r="F557" s="2">
        <v>22</v>
      </c>
      <c r="G557" s="7">
        <v>417.23</v>
      </c>
      <c r="H557" s="7">
        <v>8720.11</v>
      </c>
      <c r="I557" s="2">
        <v>5</v>
      </c>
      <c r="J557" s="2" t="s">
        <v>53</v>
      </c>
      <c r="K557" s="2" t="s">
        <v>170</v>
      </c>
      <c r="L557" s="2" t="s">
        <v>27</v>
      </c>
      <c r="M557" s="2" t="str">
        <f t="shared" si="24"/>
        <v>Cash</v>
      </c>
      <c r="N557" s="2" t="str">
        <f t="shared" si="25"/>
        <v>Electronics</v>
      </c>
      <c r="O557" s="2" t="str">
        <f t="shared" si="26"/>
        <v>High Stock</v>
      </c>
    </row>
    <row r="558" spans="1:15" x14ac:dyDescent="0.3">
      <c r="A558" s="5">
        <v>45726</v>
      </c>
      <c r="B558" s="2" t="s">
        <v>1485</v>
      </c>
      <c r="C558" s="2" t="s">
        <v>1486</v>
      </c>
      <c r="D558" s="2" t="s">
        <v>63</v>
      </c>
      <c r="E558" s="2" t="s">
        <v>15</v>
      </c>
      <c r="F558" s="2">
        <v>17</v>
      </c>
      <c r="G558" s="7">
        <v>74.180000000000007</v>
      </c>
      <c r="H558" s="7">
        <v>1261.06</v>
      </c>
      <c r="I558" s="2">
        <v>0</v>
      </c>
      <c r="J558" s="2" t="s">
        <v>53</v>
      </c>
      <c r="K558" s="2" t="s">
        <v>54</v>
      </c>
      <c r="L558" s="2" t="s">
        <v>69</v>
      </c>
      <c r="M558" s="2" t="str">
        <f t="shared" si="24"/>
        <v>Debit Card</v>
      </c>
      <c r="N558" s="2" t="str">
        <f t="shared" si="25"/>
        <v>Peripherals</v>
      </c>
      <c r="O558" s="2" t="str">
        <f t="shared" si="26"/>
        <v>High Stock</v>
      </c>
    </row>
    <row r="559" spans="1:15" x14ac:dyDescent="0.3">
      <c r="A559" s="5">
        <v>45857</v>
      </c>
      <c r="B559" s="2" t="s">
        <v>1487</v>
      </c>
      <c r="C559" s="2" t="s">
        <v>541</v>
      </c>
      <c r="D559" s="2" t="s">
        <v>45</v>
      </c>
      <c r="E559" s="2" t="s">
        <v>23</v>
      </c>
      <c r="F559" s="2">
        <v>45</v>
      </c>
      <c r="G559" s="7">
        <v>45.44</v>
      </c>
      <c r="H559" s="7">
        <v>1840.32</v>
      </c>
      <c r="I559" s="2">
        <v>10</v>
      </c>
      <c r="J559" s="2" t="s">
        <v>16</v>
      </c>
      <c r="K559" s="2" t="s">
        <v>111</v>
      </c>
      <c r="L559" s="2" t="s">
        <v>69</v>
      </c>
      <c r="M559" s="2" t="str">
        <f t="shared" si="24"/>
        <v>Debit Card</v>
      </c>
      <c r="N559" s="2" t="str">
        <f t="shared" si="25"/>
        <v>Accessories</v>
      </c>
      <c r="O559" s="2" t="str">
        <f t="shared" si="26"/>
        <v>High Stock</v>
      </c>
    </row>
    <row r="560" spans="1:15" x14ac:dyDescent="0.3">
      <c r="A560" s="5">
        <v>45602</v>
      </c>
      <c r="B560" s="2" t="s">
        <v>1488</v>
      </c>
      <c r="C560" s="2" t="s">
        <v>1489</v>
      </c>
      <c r="D560" s="2" t="s">
        <v>123</v>
      </c>
      <c r="E560" s="2" t="s">
        <v>15</v>
      </c>
      <c r="F560" s="2">
        <v>2</v>
      </c>
      <c r="G560" s="7">
        <v>27.32</v>
      </c>
      <c r="H560" s="7">
        <v>49.18</v>
      </c>
      <c r="I560" s="2">
        <v>10</v>
      </c>
      <c r="J560" s="2" t="s">
        <v>24</v>
      </c>
      <c r="K560" s="2" t="s">
        <v>59</v>
      </c>
      <c r="L560" s="1" t="s">
        <v>2347</v>
      </c>
      <c r="M560" s="1" t="str">
        <f t="shared" si="24"/>
        <v>Online Payment</v>
      </c>
      <c r="N560" s="2" t="str">
        <f t="shared" si="25"/>
        <v>Peripherals</v>
      </c>
      <c r="O560" s="1" t="str">
        <f t="shared" si="26"/>
        <v>Low Stock</v>
      </c>
    </row>
    <row r="561" spans="1:15" x14ac:dyDescent="0.3">
      <c r="A561" s="5">
        <v>45626</v>
      </c>
      <c r="B561" s="2" t="s">
        <v>1491</v>
      </c>
      <c r="C561" s="2" t="s">
        <v>1492</v>
      </c>
      <c r="D561" s="2" t="s">
        <v>40</v>
      </c>
      <c r="E561" s="2" t="s">
        <v>23</v>
      </c>
      <c r="F561" s="2">
        <v>42</v>
      </c>
      <c r="G561" s="7">
        <v>74.81</v>
      </c>
      <c r="H561" s="7">
        <v>2827.82</v>
      </c>
      <c r="I561" s="2">
        <v>10</v>
      </c>
      <c r="J561" s="2" t="s">
        <v>53</v>
      </c>
      <c r="K561" s="2" t="s">
        <v>170</v>
      </c>
      <c r="L561" s="2" t="s">
        <v>27</v>
      </c>
      <c r="M561" s="2" t="str">
        <f t="shared" si="24"/>
        <v>Cash</v>
      </c>
      <c r="N561" s="2" t="str">
        <f t="shared" si="25"/>
        <v>Accessories</v>
      </c>
      <c r="O561" s="2" t="str">
        <f t="shared" si="26"/>
        <v>High Stock</v>
      </c>
    </row>
    <row r="562" spans="1:15" x14ac:dyDescent="0.3">
      <c r="A562" s="5">
        <v>45846</v>
      </c>
      <c r="B562" s="2" t="s">
        <v>1493</v>
      </c>
      <c r="C562" s="2" t="s">
        <v>1099</v>
      </c>
      <c r="D562" s="2" t="s">
        <v>22</v>
      </c>
      <c r="E562" s="2" t="s">
        <v>23</v>
      </c>
      <c r="F562" s="2">
        <v>3</v>
      </c>
      <c r="G562" s="7">
        <v>32.42</v>
      </c>
      <c r="H562" s="7">
        <v>97.26</v>
      </c>
      <c r="I562" s="2">
        <v>0</v>
      </c>
      <c r="J562" s="2" t="s">
        <v>46</v>
      </c>
      <c r="K562" s="2" t="s">
        <v>47</v>
      </c>
      <c r="L562" s="2" t="s">
        <v>69</v>
      </c>
      <c r="M562" s="2" t="str">
        <f t="shared" si="24"/>
        <v>Debit Card</v>
      </c>
      <c r="N562" s="2" t="str">
        <f t="shared" si="25"/>
        <v>Accessories</v>
      </c>
      <c r="O562" s="2" t="str">
        <f t="shared" si="26"/>
        <v>Low Stock</v>
      </c>
    </row>
    <row r="563" spans="1:15" x14ac:dyDescent="0.3">
      <c r="A563" s="5">
        <v>45912</v>
      </c>
      <c r="B563" s="2" t="s">
        <v>1495</v>
      </c>
      <c r="C563" s="2" t="s">
        <v>1496</v>
      </c>
      <c r="D563" s="2" t="s">
        <v>123</v>
      </c>
      <c r="E563" s="2" t="s">
        <v>15</v>
      </c>
      <c r="F563" s="2">
        <v>14</v>
      </c>
      <c r="G563" s="7">
        <v>31.76</v>
      </c>
      <c r="H563" s="7">
        <v>400.18</v>
      </c>
      <c r="I563" s="2">
        <v>10</v>
      </c>
      <c r="J563" s="2" t="s">
        <v>46</v>
      </c>
      <c r="K563" s="2" t="s">
        <v>124</v>
      </c>
      <c r="L563" s="2" t="s">
        <v>49</v>
      </c>
      <c r="M563" s="2" t="str">
        <f t="shared" si="24"/>
        <v>Check</v>
      </c>
      <c r="N563" s="2" t="str">
        <f t="shared" si="25"/>
        <v>Peripherals</v>
      </c>
      <c r="O563" s="2" t="str">
        <f t="shared" si="26"/>
        <v>Low Stock</v>
      </c>
    </row>
    <row r="564" spans="1:15" x14ac:dyDescent="0.3">
      <c r="A564" s="5">
        <v>45772</v>
      </c>
      <c r="B564" s="2" t="s">
        <v>1497</v>
      </c>
      <c r="C564" s="2" t="s">
        <v>1498</v>
      </c>
      <c r="D564" s="2" t="s">
        <v>103</v>
      </c>
      <c r="E564" s="2" t="s">
        <v>35</v>
      </c>
      <c r="F564" s="2">
        <v>23</v>
      </c>
      <c r="G564" s="7">
        <v>305.10000000000002</v>
      </c>
      <c r="H564" s="7">
        <v>7017.3</v>
      </c>
      <c r="I564" s="2">
        <v>0</v>
      </c>
      <c r="J564" s="2" t="s">
        <v>24</v>
      </c>
      <c r="K564" s="2" t="s">
        <v>36</v>
      </c>
      <c r="L564" s="2" t="s">
        <v>49</v>
      </c>
      <c r="M564" s="2" t="str">
        <f t="shared" si="24"/>
        <v>Check</v>
      </c>
      <c r="N564" s="2" t="str">
        <f t="shared" si="25"/>
        <v>Electronics</v>
      </c>
      <c r="O564" s="2" t="str">
        <f t="shared" si="26"/>
        <v>High Stock</v>
      </c>
    </row>
    <row r="565" spans="1:15" x14ac:dyDescent="0.3">
      <c r="A565" s="5">
        <v>46204</v>
      </c>
      <c r="B565" s="2" t="s">
        <v>1499</v>
      </c>
      <c r="C565" s="2" t="s">
        <v>768</v>
      </c>
      <c r="D565" s="2" t="s">
        <v>123</v>
      </c>
      <c r="E565" s="2" t="s">
        <v>15</v>
      </c>
      <c r="F565" s="2">
        <v>17</v>
      </c>
      <c r="G565" s="7">
        <v>31.91</v>
      </c>
      <c r="H565" s="7">
        <v>488.22</v>
      </c>
      <c r="I565" s="2">
        <v>10</v>
      </c>
      <c r="J565" s="2" t="s">
        <v>24</v>
      </c>
      <c r="K565" s="2" t="s">
        <v>104</v>
      </c>
      <c r="L565" s="2" t="s">
        <v>49</v>
      </c>
      <c r="M565" s="2" t="str">
        <f t="shared" si="24"/>
        <v>Check</v>
      </c>
      <c r="N565" s="2" t="str">
        <f t="shared" si="25"/>
        <v>Peripherals</v>
      </c>
      <c r="O565" s="2" t="str">
        <f t="shared" si="26"/>
        <v>High Stock</v>
      </c>
    </row>
    <row r="566" spans="1:15" x14ac:dyDescent="0.3">
      <c r="A566" s="5">
        <v>45839</v>
      </c>
      <c r="B566" s="2" t="s">
        <v>1500</v>
      </c>
      <c r="C566" s="2" t="s">
        <v>1501</v>
      </c>
      <c r="D566" s="2" t="s">
        <v>52</v>
      </c>
      <c r="E566" s="2" t="s">
        <v>35</v>
      </c>
      <c r="F566" s="2">
        <v>25</v>
      </c>
      <c r="G566" s="7">
        <v>386.81</v>
      </c>
      <c r="H566" s="7">
        <v>8703.23</v>
      </c>
      <c r="I566" s="2">
        <v>10</v>
      </c>
      <c r="J566" s="2" t="s">
        <v>46</v>
      </c>
      <c r="K566" s="2" t="s">
        <v>78</v>
      </c>
      <c r="L566" s="2" t="s">
        <v>49</v>
      </c>
      <c r="M566" s="2" t="str">
        <f t="shared" si="24"/>
        <v>Check</v>
      </c>
      <c r="N566" s="2" t="str">
        <f t="shared" si="25"/>
        <v>Electronics</v>
      </c>
      <c r="O566" s="2" t="str">
        <f t="shared" si="26"/>
        <v>High Stock</v>
      </c>
    </row>
    <row r="567" spans="1:15" x14ac:dyDescent="0.3">
      <c r="A567" s="5">
        <v>45644</v>
      </c>
      <c r="B567" s="2" t="s">
        <v>1503</v>
      </c>
      <c r="C567" s="2" t="s">
        <v>1504</v>
      </c>
      <c r="D567" s="2" t="s">
        <v>52</v>
      </c>
      <c r="E567" s="2" t="s">
        <v>35</v>
      </c>
      <c r="F567" s="2">
        <v>34</v>
      </c>
      <c r="G567" s="7">
        <v>142.13999999999999</v>
      </c>
      <c r="H567" s="7">
        <v>4832.76</v>
      </c>
      <c r="I567" s="2">
        <v>0</v>
      </c>
      <c r="J567" s="2" t="s">
        <v>24</v>
      </c>
      <c r="K567" s="2" t="s">
        <v>36</v>
      </c>
      <c r="L567" s="2" t="s">
        <v>27</v>
      </c>
      <c r="M567" s="2" t="str">
        <f t="shared" si="24"/>
        <v>Cash</v>
      </c>
      <c r="N567" s="2" t="str">
        <f t="shared" si="25"/>
        <v>Electronics</v>
      </c>
      <c r="O567" s="2" t="str">
        <f t="shared" si="26"/>
        <v>High Stock</v>
      </c>
    </row>
    <row r="568" spans="1:15" x14ac:dyDescent="0.3">
      <c r="A568" s="5">
        <v>45656</v>
      </c>
      <c r="B568" s="2" t="s">
        <v>1506</v>
      </c>
      <c r="C568" s="2" t="s">
        <v>1507</v>
      </c>
      <c r="D568" s="2" t="s">
        <v>99</v>
      </c>
      <c r="E568" s="2" t="s">
        <v>23</v>
      </c>
      <c r="F568" s="2">
        <v>33</v>
      </c>
      <c r="G568" s="7">
        <v>15.85</v>
      </c>
      <c r="H568" s="7">
        <v>470.74</v>
      </c>
      <c r="I568" s="2">
        <v>10</v>
      </c>
      <c r="J568" s="2" t="s">
        <v>46</v>
      </c>
      <c r="K568" s="2" t="s">
        <v>78</v>
      </c>
      <c r="L568" s="2" t="s">
        <v>69</v>
      </c>
      <c r="M568" s="2" t="str">
        <f t="shared" si="24"/>
        <v>Debit Card</v>
      </c>
      <c r="N568" s="2" t="str">
        <f t="shared" si="25"/>
        <v>Accessories</v>
      </c>
      <c r="O568" s="2" t="str">
        <f t="shared" si="26"/>
        <v>High Stock</v>
      </c>
    </row>
    <row r="569" spans="1:15" x14ac:dyDescent="0.3">
      <c r="A569" s="5">
        <v>45887</v>
      </c>
      <c r="B569" s="2" t="s">
        <v>1508</v>
      </c>
      <c r="C569" s="2" t="s">
        <v>1509</v>
      </c>
      <c r="D569" s="2" t="s">
        <v>103</v>
      </c>
      <c r="E569" s="2" t="s">
        <v>35</v>
      </c>
      <c r="F569" s="2">
        <v>13</v>
      </c>
      <c r="G569" s="7">
        <v>537.61</v>
      </c>
      <c r="H569" s="7">
        <v>6639.48</v>
      </c>
      <c r="I569" s="2">
        <v>5</v>
      </c>
      <c r="J569" s="2" t="s">
        <v>16</v>
      </c>
      <c r="K569" s="2" t="s">
        <v>160</v>
      </c>
      <c r="L569" s="2" t="s">
        <v>69</v>
      </c>
      <c r="M569" s="2" t="str">
        <f t="shared" si="24"/>
        <v>Debit Card</v>
      </c>
      <c r="N569" s="2" t="str">
        <f t="shared" si="25"/>
        <v>Electronics</v>
      </c>
      <c r="O569" s="2" t="str">
        <f t="shared" si="26"/>
        <v>Low Stock</v>
      </c>
    </row>
    <row r="570" spans="1:15" x14ac:dyDescent="0.3">
      <c r="A570" s="5">
        <v>46220</v>
      </c>
      <c r="B570" s="2" t="s">
        <v>1511</v>
      </c>
      <c r="C570" s="2" t="s">
        <v>465</v>
      </c>
      <c r="D570" s="2" t="s">
        <v>45</v>
      </c>
      <c r="E570" s="2" t="s">
        <v>23</v>
      </c>
      <c r="F570" s="2">
        <v>9</v>
      </c>
      <c r="G570" s="7">
        <v>184.7</v>
      </c>
      <c r="H570" s="7">
        <v>1496.07</v>
      </c>
      <c r="I570" s="2">
        <v>10</v>
      </c>
      <c r="J570" s="2" t="s">
        <v>24</v>
      </c>
      <c r="K570" s="2" t="s">
        <v>36</v>
      </c>
      <c r="L570" s="2" t="s">
        <v>69</v>
      </c>
      <c r="M570" s="2" t="str">
        <f t="shared" si="24"/>
        <v>Debit Card</v>
      </c>
      <c r="N570" s="2" t="str">
        <f t="shared" si="25"/>
        <v>Accessories</v>
      </c>
      <c r="O570" s="2" t="str">
        <f t="shared" si="26"/>
        <v>Low Stock</v>
      </c>
    </row>
    <row r="571" spans="1:15" x14ac:dyDescent="0.3">
      <c r="A571" s="5">
        <v>46302</v>
      </c>
      <c r="B571" s="2" t="s">
        <v>1513</v>
      </c>
      <c r="C571" s="2" t="s">
        <v>1514</v>
      </c>
      <c r="D571" s="2" t="s">
        <v>95</v>
      </c>
      <c r="E571" s="2" t="s">
        <v>35</v>
      </c>
      <c r="F571" s="2">
        <v>40</v>
      </c>
      <c r="G571" s="7">
        <v>291.51</v>
      </c>
      <c r="H571" s="7">
        <v>11660.4</v>
      </c>
      <c r="I571" s="2">
        <v>0</v>
      </c>
      <c r="J571" s="2" t="s">
        <v>53</v>
      </c>
      <c r="K571" s="2" t="s">
        <v>67</v>
      </c>
      <c r="L571" s="2" t="s">
        <v>69</v>
      </c>
      <c r="M571" s="2" t="str">
        <f t="shared" si="24"/>
        <v>Debit Card</v>
      </c>
      <c r="N571" s="2" t="str">
        <f t="shared" si="25"/>
        <v>Electronics</v>
      </c>
      <c r="O571" s="2" t="str">
        <f t="shared" si="26"/>
        <v>High Stock</v>
      </c>
    </row>
    <row r="572" spans="1:15" x14ac:dyDescent="0.3">
      <c r="A572" s="5">
        <v>46300</v>
      </c>
      <c r="B572" s="2" t="s">
        <v>1515</v>
      </c>
      <c r="C572" s="2" t="s">
        <v>1516</v>
      </c>
      <c r="D572" s="2" t="s">
        <v>14</v>
      </c>
      <c r="E572" s="2" t="s">
        <v>15</v>
      </c>
      <c r="F572" s="2">
        <v>30</v>
      </c>
      <c r="G572" s="7">
        <v>105</v>
      </c>
      <c r="H572" s="7">
        <v>2992.5</v>
      </c>
      <c r="I572" s="2">
        <v>5</v>
      </c>
      <c r="J572" s="2" t="s">
        <v>53</v>
      </c>
      <c r="K572" s="2" t="s">
        <v>67</v>
      </c>
      <c r="L572" s="2" t="s">
        <v>31</v>
      </c>
      <c r="M572" s="2" t="str">
        <f t="shared" si="24"/>
        <v>Credit Card</v>
      </c>
      <c r="N572" s="2" t="str">
        <f t="shared" si="25"/>
        <v>Peripherals</v>
      </c>
      <c r="O572" s="2" t="str">
        <f t="shared" si="26"/>
        <v>High Stock</v>
      </c>
    </row>
    <row r="573" spans="1:15" x14ac:dyDescent="0.3">
      <c r="A573" s="5">
        <v>45828</v>
      </c>
      <c r="B573" s="2" t="s">
        <v>1518</v>
      </c>
      <c r="C573" s="2" t="s">
        <v>1519</v>
      </c>
      <c r="D573" s="2" t="s">
        <v>52</v>
      </c>
      <c r="E573" s="2" t="s">
        <v>35</v>
      </c>
      <c r="F573" s="2">
        <v>41</v>
      </c>
      <c r="G573" s="7">
        <v>212.4</v>
      </c>
      <c r="H573" s="7">
        <v>8272.98</v>
      </c>
      <c r="I573" s="2">
        <v>5</v>
      </c>
      <c r="J573" s="2" t="s">
        <v>24</v>
      </c>
      <c r="K573" s="2" t="s">
        <v>25</v>
      </c>
      <c r="L573" s="2" t="s">
        <v>69</v>
      </c>
      <c r="M573" s="2" t="str">
        <f t="shared" si="24"/>
        <v>Debit Card</v>
      </c>
      <c r="N573" s="2" t="str">
        <f t="shared" si="25"/>
        <v>Electronics</v>
      </c>
      <c r="O573" s="2" t="str">
        <f t="shared" si="26"/>
        <v>High Stock</v>
      </c>
    </row>
    <row r="574" spans="1:15" x14ac:dyDescent="0.3">
      <c r="A574" s="5">
        <v>45850</v>
      </c>
      <c r="B574" s="2" t="s">
        <v>1520</v>
      </c>
      <c r="C574" s="2" t="s">
        <v>656</v>
      </c>
      <c r="D574" s="2" t="s">
        <v>72</v>
      </c>
      <c r="E574" s="2" t="s">
        <v>73</v>
      </c>
      <c r="F574" s="2">
        <v>13</v>
      </c>
      <c r="G574" s="7">
        <v>446.19</v>
      </c>
      <c r="H574" s="7">
        <v>4640.38</v>
      </c>
      <c r="I574" s="2">
        <v>20</v>
      </c>
      <c r="J574" s="2" t="s">
        <v>16</v>
      </c>
      <c r="K574" s="2" t="s">
        <v>160</v>
      </c>
      <c r="L574" s="2" t="s">
        <v>31</v>
      </c>
      <c r="M574" s="2" t="str">
        <f t="shared" si="24"/>
        <v>Credit Card</v>
      </c>
      <c r="N574" s="2" t="str">
        <f t="shared" si="25"/>
        <v>Furniture</v>
      </c>
      <c r="O574" s="2" t="str">
        <f t="shared" si="26"/>
        <v>Low Stock</v>
      </c>
    </row>
    <row r="575" spans="1:15" x14ac:dyDescent="0.3">
      <c r="A575" s="5">
        <v>46184</v>
      </c>
      <c r="B575" s="2" t="s">
        <v>1522</v>
      </c>
      <c r="C575" s="2" t="s">
        <v>1523</v>
      </c>
      <c r="D575" s="2" t="s">
        <v>63</v>
      </c>
      <c r="E575" s="2" t="s">
        <v>15</v>
      </c>
      <c r="F575" s="2">
        <v>1</v>
      </c>
      <c r="G575" s="7">
        <v>37.020000000000003</v>
      </c>
      <c r="H575" s="7">
        <v>37.020000000000003</v>
      </c>
      <c r="I575" s="2">
        <v>0</v>
      </c>
      <c r="J575" s="2" t="s">
        <v>46</v>
      </c>
      <c r="K575" s="2" t="s">
        <v>83</v>
      </c>
      <c r="L575" s="2" t="s">
        <v>31</v>
      </c>
      <c r="M575" s="2" t="str">
        <f t="shared" si="24"/>
        <v>Credit Card</v>
      </c>
      <c r="N575" s="2" t="str">
        <f t="shared" si="25"/>
        <v>Peripherals</v>
      </c>
      <c r="O575" s="2" t="str">
        <f t="shared" si="26"/>
        <v>Low Stock</v>
      </c>
    </row>
    <row r="576" spans="1:15" x14ac:dyDescent="0.3">
      <c r="A576" s="5">
        <v>45941</v>
      </c>
      <c r="B576" s="2" t="s">
        <v>1524</v>
      </c>
      <c r="C576" s="2" t="s">
        <v>1525</v>
      </c>
      <c r="D576" s="2" t="s">
        <v>103</v>
      </c>
      <c r="E576" s="2" t="s">
        <v>35</v>
      </c>
      <c r="F576" s="2">
        <v>44</v>
      </c>
      <c r="G576" s="7">
        <v>400.86</v>
      </c>
      <c r="H576" s="7">
        <v>17637.84</v>
      </c>
      <c r="I576" s="2">
        <v>0</v>
      </c>
      <c r="J576" s="2" t="s">
        <v>16</v>
      </c>
      <c r="K576" s="2" t="s">
        <v>17</v>
      </c>
      <c r="L576" s="2" t="s">
        <v>27</v>
      </c>
      <c r="M576" s="2" t="str">
        <f t="shared" si="24"/>
        <v>Cash</v>
      </c>
      <c r="N576" s="2" t="str">
        <f t="shared" si="25"/>
        <v>Electronics</v>
      </c>
      <c r="O576" s="2" t="str">
        <f t="shared" si="26"/>
        <v>High Stock</v>
      </c>
    </row>
    <row r="577" spans="1:15" x14ac:dyDescent="0.3">
      <c r="A577" s="5">
        <v>45719</v>
      </c>
      <c r="B577" s="2" t="s">
        <v>1527</v>
      </c>
      <c r="C577" s="2" t="s">
        <v>1528</v>
      </c>
      <c r="D577" s="2" t="s">
        <v>34</v>
      </c>
      <c r="E577" s="2" t="s">
        <v>35</v>
      </c>
      <c r="F577" s="2">
        <v>20</v>
      </c>
      <c r="G577" s="7">
        <v>871.75</v>
      </c>
      <c r="H577" s="7">
        <v>16563.25</v>
      </c>
      <c r="I577" s="2">
        <v>5</v>
      </c>
      <c r="J577" s="2" t="s">
        <v>24</v>
      </c>
      <c r="K577" s="2" t="s">
        <v>25</v>
      </c>
      <c r="L577" s="2" t="s">
        <v>31</v>
      </c>
      <c r="M577" s="2" t="str">
        <f t="shared" si="24"/>
        <v>Credit Card</v>
      </c>
      <c r="N577" s="2" t="str">
        <f t="shared" si="25"/>
        <v>Electronics</v>
      </c>
      <c r="O577" s="2" t="str">
        <f t="shared" si="26"/>
        <v>High Stock</v>
      </c>
    </row>
    <row r="578" spans="1:15" x14ac:dyDescent="0.3">
      <c r="A578" s="5">
        <v>45851</v>
      </c>
      <c r="B578" s="2" t="s">
        <v>1529</v>
      </c>
      <c r="C578" s="2" t="s">
        <v>1530</v>
      </c>
      <c r="D578" s="2" t="s">
        <v>82</v>
      </c>
      <c r="E578" s="2" t="s">
        <v>73</v>
      </c>
      <c r="F578" s="2">
        <v>12</v>
      </c>
      <c r="G578" s="7">
        <v>510.58</v>
      </c>
      <c r="H578" s="7">
        <v>5820.61</v>
      </c>
      <c r="I578" s="2">
        <v>5</v>
      </c>
      <c r="J578" s="2" t="s">
        <v>24</v>
      </c>
      <c r="K578" s="2" t="s">
        <v>59</v>
      </c>
      <c r="L578" s="2" t="s">
        <v>49</v>
      </c>
      <c r="M578" s="2" t="str">
        <f t="shared" si="24"/>
        <v>Check</v>
      </c>
      <c r="N578" s="2" t="str">
        <f t="shared" si="25"/>
        <v>Furniture</v>
      </c>
      <c r="O578" s="2" t="str">
        <f t="shared" si="26"/>
        <v>Low Stock</v>
      </c>
    </row>
    <row r="579" spans="1:15" x14ac:dyDescent="0.3">
      <c r="A579" s="5">
        <v>46150</v>
      </c>
      <c r="B579" s="2" t="s">
        <v>1532</v>
      </c>
      <c r="C579" s="2" t="s">
        <v>1533</v>
      </c>
      <c r="D579" s="2" t="s">
        <v>45</v>
      </c>
      <c r="E579" s="2" t="s">
        <v>23</v>
      </c>
      <c r="F579" s="2">
        <v>36</v>
      </c>
      <c r="G579" s="7">
        <v>40.79</v>
      </c>
      <c r="H579" s="7">
        <v>1174.75</v>
      </c>
      <c r="I579" s="2">
        <v>20</v>
      </c>
      <c r="J579" s="2" t="s">
        <v>24</v>
      </c>
      <c r="K579" s="2" t="s">
        <v>104</v>
      </c>
      <c r="L579" s="2" t="s">
        <v>31</v>
      </c>
      <c r="M579" s="2" t="str">
        <f t="shared" ref="M579:M642" si="27">TRIM(L579)</f>
        <v>Credit Card</v>
      </c>
      <c r="N579" s="2" t="str">
        <f t="shared" ref="N579:N642" si="28">PROPER(E579)</f>
        <v>Accessories</v>
      </c>
      <c r="O579" s="2" t="str">
        <f t="shared" ref="O579:O642" si="29">IF(F579&gt;15,"High Stock","Low Stock")</f>
        <v>High Stock</v>
      </c>
    </row>
    <row r="580" spans="1:15" x14ac:dyDescent="0.3">
      <c r="A580" s="5">
        <v>45658</v>
      </c>
      <c r="B580" s="2" t="s">
        <v>1535</v>
      </c>
      <c r="C580" s="2" t="s">
        <v>900</v>
      </c>
      <c r="D580" s="2" t="s">
        <v>95</v>
      </c>
      <c r="E580" s="2" t="s">
        <v>35</v>
      </c>
      <c r="F580" s="2">
        <v>29</v>
      </c>
      <c r="G580" s="7">
        <v>888.38</v>
      </c>
      <c r="H580" s="7">
        <v>25763.02</v>
      </c>
      <c r="I580" s="2">
        <v>0</v>
      </c>
      <c r="J580" s="2" t="s">
        <v>24</v>
      </c>
      <c r="K580" s="2" t="s">
        <v>41</v>
      </c>
      <c r="L580" s="2" t="s">
        <v>69</v>
      </c>
      <c r="M580" s="2" t="str">
        <f t="shared" si="27"/>
        <v>Debit Card</v>
      </c>
      <c r="N580" s="2" t="str">
        <f t="shared" si="28"/>
        <v>Electronics</v>
      </c>
      <c r="O580" s="2" t="str">
        <f t="shared" si="29"/>
        <v>High Stock</v>
      </c>
    </row>
    <row r="581" spans="1:15" x14ac:dyDescent="0.3">
      <c r="A581" s="5">
        <v>46124</v>
      </c>
      <c r="B581" s="2" t="s">
        <v>1537</v>
      </c>
      <c r="C581" s="2" t="s">
        <v>1538</v>
      </c>
      <c r="D581" s="2" t="s">
        <v>82</v>
      </c>
      <c r="E581" s="2" t="s">
        <v>73</v>
      </c>
      <c r="F581" s="2">
        <v>26</v>
      </c>
      <c r="G581" s="7">
        <v>458.47</v>
      </c>
      <c r="H581" s="7">
        <v>11920.22</v>
      </c>
      <c r="I581" s="2">
        <v>0</v>
      </c>
      <c r="J581" s="2" t="s">
        <v>24</v>
      </c>
      <c r="K581" s="2" t="s">
        <v>59</v>
      </c>
      <c r="L581" s="2" t="s">
        <v>69</v>
      </c>
      <c r="M581" s="2" t="str">
        <f t="shared" si="27"/>
        <v>Debit Card</v>
      </c>
      <c r="N581" s="2" t="str">
        <f t="shared" si="28"/>
        <v>Furniture</v>
      </c>
      <c r="O581" s="2" t="str">
        <f t="shared" si="29"/>
        <v>High Stock</v>
      </c>
    </row>
    <row r="582" spans="1:15" x14ac:dyDescent="0.3">
      <c r="A582" s="5">
        <v>46217</v>
      </c>
      <c r="B582" s="2" t="s">
        <v>1540</v>
      </c>
      <c r="C582" s="2" t="s">
        <v>1541</v>
      </c>
      <c r="D582" s="2" t="s">
        <v>72</v>
      </c>
      <c r="E582" s="2" t="s">
        <v>73</v>
      </c>
      <c r="F582" s="2">
        <v>22</v>
      </c>
      <c r="G582" s="7">
        <v>199.82</v>
      </c>
      <c r="H582" s="7">
        <v>3736.63</v>
      </c>
      <c r="I582" s="2">
        <v>15</v>
      </c>
      <c r="J582" s="2" t="s">
        <v>46</v>
      </c>
      <c r="K582" s="2" t="s">
        <v>47</v>
      </c>
      <c r="L582" s="2" t="s">
        <v>49</v>
      </c>
      <c r="M582" s="2" t="str">
        <f t="shared" si="27"/>
        <v>Check</v>
      </c>
      <c r="N582" s="2" t="str">
        <f t="shared" si="28"/>
        <v>Furniture</v>
      </c>
      <c r="O582" s="2" t="str">
        <f t="shared" si="29"/>
        <v>High Stock</v>
      </c>
    </row>
    <row r="583" spans="1:15" x14ac:dyDescent="0.3">
      <c r="A583" s="5">
        <v>45643</v>
      </c>
      <c r="B583" s="2" t="s">
        <v>1542</v>
      </c>
      <c r="C583" s="2" t="s">
        <v>1543</v>
      </c>
      <c r="D583" s="2" t="s">
        <v>123</v>
      </c>
      <c r="E583" s="2" t="s">
        <v>15</v>
      </c>
      <c r="F583" s="2">
        <v>9</v>
      </c>
      <c r="G583" s="7">
        <v>29.81</v>
      </c>
      <c r="H583" s="7">
        <v>268.29000000000002</v>
      </c>
      <c r="I583" s="2">
        <v>0</v>
      </c>
      <c r="J583" s="2" t="s">
        <v>46</v>
      </c>
      <c r="K583" s="2" t="s">
        <v>47</v>
      </c>
      <c r="L583" s="2" t="s">
        <v>49</v>
      </c>
      <c r="M583" s="2" t="str">
        <f t="shared" si="27"/>
        <v>Check</v>
      </c>
      <c r="N583" s="2" t="str">
        <f t="shared" si="28"/>
        <v>Peripherals</v>
      </c>
      <c r="O583" s="2" t="str">
        <f t="shared" si="29"/>
        <v>Low Stock</v>
      </c>
    </row>
    <row r="584" spans="1:15" x14ac:dyDescent="0.3">
      <c r="A584" s="5">
        <v>45896</v>
      </c>
      <c r="B584" s="2" t="s">
        <v>1545</v>
      </c>
      <c r="C584" s="2" t="s">
        <v>371</v>
      </c>
      <c r="D584" s="2" t="s">
        <v>34</v>
      </c>
      <c r="E584" s="2" t="s">
        <v>35</v>
      </c>
      <c r="F584" s="2">
        <v>11</v>
      </c>
      <c r="G584" s="7">
        <v>446.12</v>
      </c>
      <c r="H584" s="7">
        <v>4661.95</v>
      </c>
      <c r="I584" s="2">
        <v>5</v>
      </c>
      <c r="J584" s="2" t="s">
        <v>24</v>
      </c>
      <c r="K584" s="2" t="s">
        <v>36</v>
      </c>
      <c r="L584" s="2" t="s">
        <v>69</v>
      </c>
      <c r="M584" s="2" t="str">
        <f t="shared" si="27"/>
        <v>Debit Card</v>
      </c>
      <c r="N584" s="2" t="str">
        <f t="shared" si="28"/>
        <v>Electronics</v>
      </c>
      <c r="O584" s="2" t="str">
        <f t="shared" si="29"/>
        <v>Low Stock</v>
      </c>
    </row>
    <row r="585" spans="1:15" x14ac:dyDescent="0.3">
      <c r="A585" s="5">
        <v>46159</v>
      </c>
      <c r="B585" s="2" t="s">
        <v>1546</v>
      </c>
      <c r="C585" s="2" t="s">
        <v>241</v>
      </c>
      <c r="D585" s="2" t="s">
        <v>22</v>
      </c>
      <c r="E585" s="2" t="s">
        <v>23</v>
      </c>
      <c r="F585" s="2">
        <v>42</v>
      </c>
      <c r="G585" s="7">
        <v>26.06</v>
      </c>
      <c r="H585" s="7">
        <v>1094.52</v>
      </c>
      <c r="I585" s="2">
        <v>0</v>
      </c>
      <c r="J585" s="2" t="s">
        <v>53</v>
      </c>
      <c r="K585" s="2" t="s">
        <v>141</v>
      </c>
      <c r="L585" s="2" t="s">
        <v>27</v>
      </c>
      <c r="M585" s="2" t="str">
        <f t="shared" si="27"/>
        <v>Cash</v>
      </c>
      <c r="N585" s="2" t="str">
        <f t="shared" si="28"/>
        <v>Accessories</v>
      </c>
      <c r="O585" s="2" t="str">
        <f t="shared" si="29"/>
        <v>High Stock</v>
      </c>
    </row>
    <row r="586" spans="1:15" x14ac:dyDescent="0.3">
      <c r="A586" s="5">
        <v>45636</v>
      </c>
      <c r="B586" s="2" t="s">
        <v>1547</v>
      </c>
      <c r="C586" s="2" t="s">
        <v>1206</v>
      </c>
      <c r="D586" s="2" t="s">
        <v>40</v>
      </c>
      <c r="E586" s="2" t="s">
        <v>23</v>
      </c>
      <c r="F586" s="2">
        <v>48</v>
      </c>
      <c r="G586" s="7">
        <v>34.119999999999997</v>
      </c>
      <c r="H586" s="7">
        <v>1310.21</v>
      </c>
      <c r="I586" s="2">
        <v>20</v>
      </c>
      <c r="J586" s="2" t="s">
        <v>46</v>
      </c>
      <c r="K586" s="2" t="s">
        <v>83</v>
      </c>
      <c r="L586" s="2" t="s">
        <v>69</v>
      </c>
      <c r="M586" s="2" t="str">
        <f t="shared" si="27"/>
        <v>Debit Card</v>
      </c>
      <c r="N586" s="2" t="str">
        <f t="shared" si="28"/>
        <v>Accessories</v>
      </c>
      <c r="O586" s="2" t="str">
        <f t="shared" si="29"/>
        <v>High Stock</v>
      </c>
    </row>
    <row r="587" spans="1:15" x14ac:dyDescent="0.3">
      <c r="A587" s="5">
        <v>46023</v>
      </c>
      <c r="B587" s="2" t="s">
        <v>1549</v>
      </c>
      <c r="C587" s="2" t="s">
        <v>1550</v>
      </c>
      <c r="D587" s="2" t="s">
        <v>90</v>
      </c>
      <c r="E587" s="2" t="s">
        <v>23</v>
      </c>
      <c r="F587" s="2">
        <v>21</v>
      </c>
      <c r="G587" s="7">
        <v>40.14</v>
      </c>
      <c r="H587" s="7">
        <v>758.65</v>
      </c>
      <c r="I587" s="2">
        <v>10</v>
      </c>
      <c r="J587" s="2" t="s">
        <v>53</v>
      </c>
      <c r="K587" s="2" t="s">
        <v>170</v>
      </c>
      <c r="L587" s="2" t="s">
        <v>49</v>
      </c>
      <c r="M587" s="2" t="str">
        <f t="shared" si="27"/>
        <v>Check</v>
      </c>
      <c r="N587" s="2" t="str">
        <f t="shared" si="28"/>
        <v>Accessories</v>
      </c>
      <c r="O587" s="2" t="str">
        <f t="shared" si="29"/>
        <v>High Stock</v>
      </c>
    </row>
    <row r="588" spans="1:15" x14ac:dyDescent="0.3">
      <c r="A588" s="5">
        <v>45594</v>
      </c>
      <c r="B588" s="2" t="s">
        <v>1551</v>
      </c>
      <c r="C588" s="2" t="s">
        <v>1552</v>
      </c>
      <c r="D588" s="2" t="s">
        <v>90</v>
      </c>
      <c r="E588" s="2" t="s">
        <v>23</v>
      </c>
      <c r="F588" s="2">
        <v>25</v>
      </c>
      <c r="G588" s="7">
        <v>15.01</v>
      </c>
      <c r="H588" s="7">
        <v>375.25</v>
      </c>
      <c r="I588" s="2">
        <v>0</v>
      </c>
      <c r="J588" s="2" t="s">
        <v>24</v>
      </c>
      <c r="K588" s="2" t="s">
        <v>59</v>
      </c>
      <c r="L588" s="2" t="s">
        <v>69</v>
      </c>
      <c r="M588" s="2" t="str">
        <f t="shared" si="27"/>
        <v>Debit Card</v>
      </c>
      <c r="N588" s="2" t="str">
        <f t="shared" si="28"/>
        <v>Accessories</v>
      </c>
      <c r="O588" s="2" t="str">
        <f t="shared" si="29"/>
        <v>High Stock</v>
      </c>
    </row>
    <row r="589" spans="1:15" x14ac:dyDescent="0.3">
      <c r="A589" s="5">
        <v>45832</v>
      </c>
      <c r="B589" s="2" t="s">
        <v>1554</v>
      </c>
      <c r="C589" s="2" t="s">
        <v>1555</v>
      </c>
      <c r="D589" s="2" t="s">
        <v>34</v>
      </c>
      <c r="E589" s="2" t="s">
        <v>35</v>
      </c>
      <c r="F589" s="2">
        <v>9</v>
      </c>
      <c r="G589" s="7">
        <v>609.84</v>
      </c>
      <c r="H589" s="7">
        <v>5488.56</v>
      </c>
      <c r="I589" s="2">
        <v>0</v>
      </c>
      <c r="J589" s="2" t="s">
        <v>16</v>
      </c>
      <c r="K589" s="2" t="s">
        <v>111</v>
      </c>
      <c r="L589" s="2" t="s">
        <v>69</v>
      </c>
      <c r="M589" s="2" t="str">
        <f t="shared" si="27"/>
        <v>Debit Card</v>
      </c>
      <c r="N589" s="2" t="str">
        <f t="shared" si="28"/>
        <v>Electronics</v>
      </c>
      <c r="O589" s="2" t="str">
        <f t="shared" si="29"/>
        <v>Low Stock</v>
      </c>
    </row>
    <row r="590" spans="1:15" x14ac:dyDescent="0.3">
      <c r="A590" s="5">
        <v>45784</v>
      </c>
      <c r="B590" s="2" t="s">
        <v>1557</v>
      </c>
      <c r="C590" s="2" t="s">
        <v>1122</v>
      </c>
      <c r="D590" s="2" t="s">
        <v>82</v>
      </c>
      <c r="E590" s="2" t="s">
        <v>73</v>
      </c>
      <c r="F590" s="2">
        <v>50</v>
      </c>
      <c r="G590" s="7">
        <v>422.9</v>
      </c>
      <c r="H590" s="7">
        <v>21145</v>
      </c>
      <c r="I590" s="2">
        <v>0</v>
      </c>
      <c r="J590" s="2" t="s">
        <v>24</v>
      </c>
      <c r="K590" s="2" t="s">
        <v>41</v>
      </c>
      <c r="L590" s="1" t="s">
        <v>2347</v>
      </c>
      <c r="M590" s="1" t="str">
        <f t="shared" si="27"/>
        <v>Online Payment</v>
      </c>
      <c r="N590" s="2" t="str">
        <f t="shared" si="28"/>
        <v>Furniture</v>
      </c>
      <c r="O590" s="1" t="str">
        <f t="shared" si="29"/>
        <v>High Stock</v>
      </c>
    </row>
    <row r="591" spans="1:15" x14ac:dyDescent="0.3">
      <c r="A591" s="5">
        <v>46237</v>
      </c>
      <c r="B591" s="2" t="s">
        <v>1558</v>
      </c>
      <c r="C591" s="2" t="s">
        <v>1559</v>
      </c>
      <c r="D591" s="2" t="s">
        <v>103</v>
      </c>
      <c r="E591" s="2" t="s">
        <v>35</v>
      </c>
      <c r="F591" s="2">
        <v>3</v>
      </c>
      <c r="G591" s="7">
        <v>593.08000000000004</v>
      </c>
      <c r="H591" s="7">
        <v>1423.39</v>
      </c>
      <c r="I591" s="2">
        <v>20</v>
      </c>
      <c r="J591" s="2" t="s">
        <v>53</v>
      </c>
      <c r="K591" s="2" t="s">
        <v>134</v>
      </c>
      <c r="L591" s="2" t="s">
        <v>69</v>
      </c>
      <c r="M591" s="2" t="str">
        <f t="shared" si="27"/>
        <v>Debit Card</v>
      </c>
      <c r="N591" s="2" t="str">
        <f t="shared" si="28"/>
        <v>Electronics</v>
      </c>
      <c r="O591" s="2" t="str">
        <f t="shared" si="29"/>
        <v>Low Stock</v>
      </c>
    </row>
    <row r="592" spans="1:15" x14ac:dyDescent="0.3">
      <c r="A592" s="5">
        <v>45706</v>
      </c>
      <c r="B592" s="2" t="s">
        <v>1561</v>
      </c>
      <c r="C592" s="2" t="s">
        <v>1562</v>
      </c>
      <c r="D592" s="2" t="s">
        <v>63</v>
      </c>
      <c r="E592" s="2" t="s">
        <v>15</v>
      </c>
      <c r="F592" s="2">
        <v>37</v>
      </c>
      <c r="G592" s="7">
        <v>65.87</v>
      </c>
      <c r="H592" s="7">
        <v>2193.4699999999998</v>
      </c>
      <c r="I592" s="2">
        <v>10</v>
      </c>
      <c r="J592" s="2" t="s">
        <v>53</v>
      </c>
      <c r="K592" s="2" t="s">
        <v>67</v>
      </c>
      <c r="L592" s="1" t="s">
        <v>2347</v>
      </c>
      <c r="M592" s="1" t="str">
        <f t="shared" si="27"/>
        <v>Online Payment</v>
      </c>
      <c r="N592" s="2" t="str">
        <f t="shared" si="28"/>
        <v>Peripherals</v>
      </c>
      <c r="O592" s="1" t="str">
        <f t="shared" si="29"/>
        <v>High Stock</v>
      </c>
    </row>
    <row r="593" spans="1:15" x14ac:dyDescent="0.3">
      <c r="A593" s="5">
        <v>45986</v>
      </c>
      <c r="B593" s="2" t="s">
        <v>1563</v>
      </c>
      <c r="C593" s="2" t="s">
        <v>1564</v>
      </c>
      <c r="D593" s="2" t="s">
        <v>99</v>
      </c>
      <c r="E593" s="2" t="s">
        <v>23</v>
      </c>
      <c r="F593" s="2">
        <v>2</v>
      </c>
      <c r="G593" s="7">
        <v>13.26</v>
      </c>
      <c r="H593" s="7">
        <v>26.52</v>
      </c>
      <c r="I593" s="2">
        <v>0</v>
      </c>
      <c r="J593" s="2" t="s">
        <v>16</v>
      </c>
      <c r="K593" s="2" t="s">
        <v>160</v>
      </c>
      <c r="L593" s="2" t="s">
        <v>49</v>
      </c>
      <c r="M593" s="2" t="str">
        <f t="shared" si="27"/>
        <v>Check</v>
      </c>
      <c r="N593" s="2" t="str">
        <f t="shared" si="28"/>
        <v>Accessories</v>
      </c>
      <c r="O593" s="2" t="str">
        <f t="shared" si="29"/>
        <v>Low Stock</v>
      </c>
    </row>
    <row r="594" spans="1:15" x14ac:dyDescent="0.3">
      <c r="A594" s="5">
        <v>45989</v>
      </c>
      <c r="B594" s="2" t="s">
        <v>1566</v>
      </c>
      <c r="C594" s="2" t="s">
        <v>1567</v>
      </c>
      <c r="D594" s="2" t="s">
        <v>45</v>
      </c>
      <c r="E594" s="2" t="s">
        <v>23</v>
      </c>
      <c r="F594" s="2">
        <v>28</v>
      </c>
      <c r="G594" s="7">
        <v>53.02</v>
      </c>
      <c r="H594" s="7">
        <v>1484.56</v>
      </c>
      <c r="I594" s="2">
        <v>0</v>
      </c>
      <c r="J594" s="2" t="s">
        <v>53</v>
      </c>
      <c r="K594" s="2" t="s">
        <v>134</v>
      </c>
      <c r="L594" s="2" t="s">
        <v>49</v>
      </c>
      <c r="M594" s="2" t="str">
        <f t="shared" si="27"/>
        <v>Check</v>
      </c>
      <c r="N594" s="2" t="str">
        <f t="shared" si="28"/>
        <v>Accessories</v>
      </c>
      <c r="O594" s="2" t="str">
        <f t="shared" si="29"/>
        <v>High Stock</v>
      </c>
    </row>
    <row r="595" spans="1:15" x14ac:dyDescent="0.3">
      <c r="A595" s="5">
        <v>46098</v>
      </c>
      <c r="B595" s="2" t="s">
        <v>1568</v>
      </c>
      <c r="C595" s="2" t="s">
        <v>1569</v>
      </c>
      <c r="D595" s="2" t="s">
        <v>52</v>
      </c>
      <c r="E595" s="2" t="s">
        <v>35</v>
      </c>
      <c r="F595" s="2">
        <v>43</v>
      </c>
      <c r="G595" s="7">
        <v>228.04</v>
      </c>
      <c r="H595" s="7">
        <v>9315.43</v>
      </c>
      <c r="I595" s="2">
        <v>5</v>
      </c>
      <c r="J595" s="2" t="s">
        <v>16</v>
      </c>
      <c r="K595" s="2" t="s">
        <v>91</v>
      </c>
      <c r="L595" s="2" t="s">
        <v>49</v>
      </c>
      <c r="M595" s="2" t="str">
        <f t="shared" si="27"/>
        <v>Check</v>
      </c>
      <c r="N595" s="2" t="str">
        <f t="shared" si="28"/>
        <v>Electronics</v>
      </c>
      <c r="O595" s="2" t="str">
        <f t="shared" si="29"/>
        <v>High Stock</v>
      </c>
    </row>
    <row r="596" spans="1:15" x14ac:dyDescent="0.3">
      <c r="A596" s="5">
        <v>45988</v>
      </c>
      <c r="B596" s="2" t="s">
        <v>1570</v>
      </c>
      <c r="C596" s="2" t="s">
        <v>1571</v>
      </c>
      <c r="D596" s="2" t="s">
        <v>34</v>
      </c>
      <c r="E596" s="2" t="s">
        <v>35</v>
      </c>
      <c r="F596" s="2">
        <v>31</v>
      </c>
      <c r="G596" s="7">
        <v>747.63</v>
      </c>
      <c r="H596" s="7">
        <v>23176.53</v>
      </c>
      <c r="I596" s="2">
        <v>0</v>
      </c>
      <c r="J596" s="2" t="s">
        <v>53</v>
      </c>
      <c r="K596" s="2" t="s">
        <v>67</v>
      </c>
      <c r="L596" s="1" t="s">
        <v>2347</v>
      </c>
      <c r="M596" s="1" t="str">
        <f t="shared" si="27"/>
        <v>Online Payment</v>
      </c>
      <c r="N596" s="2" t="str">
        <f t="shared" si="28"/>
        <v>Electronics</v>
      </c>
      <c r="O596" s="1" t="str">
        <f t="shared" si="29"/>
        <v>High Stock</v>
      </c>
    </row>
    <row r="597" spans="1:15" x14ac:dyDescent="0.3">
      <c r="A597" s="5">
        <v>45617</v>
      </c>
      <c r="B597" s="2" t="s">
        <v>1573</v>
      </c>
      <c r="C597" s="2" t="s">
        <v>359</v>
      </c>
      <c r="D597" s="2" t="s">
        <v>14</v>
      </c>
      <c r="E597" s="2" t="s">
        <v>15</v>
      </c>
      <c r="F597" s="2">
        <v>29</v>
      </c>
      <c r="G597" s="7">
        <v>72.61</v>
      </c>
      <c r="H597" s="7">
        <v>2105.69</v>
      </c>
      <c r="I597" s="2">
        <v>0</v>
      </c>
      <c r="J597" s="2" t="s">
        <v>24</v>
      </c>
      <c r="K597" s="2" t="s">
        <v>25</v>
      </c>
      <c r="L597" s="2" t="s">
        <v>69</v>
      </c>
      <c r="M597" s="2" t="str">
        <f t="shared" si="27"/>
        <v>Debit Card</v>
      </c>
      <c r="N597" s="2" t="str">
        <f t="shared" si="28"/>
        <v>Peripherals</v>
      </c>
      <c r="O597" s="2" t="str">
        <f t="shared" si="29"/>
        <v>High Stock</v>
      </c>
    </row>
    <row r="598" spans="1:15" x14ac:dyDescent="0.3">
      <c r="A598" s="5">
        <v>46016</v>
      </c>
      <c r="B598" s="2" t="s">
        <v>1575</v>
      </c>
      <c r="C598" s="2" t="s">
        <v>1562</v>
      </c>
      <c r="D598" s="2" t="s">
        <v>63</v>
      </c>
      <c r="E598" s="2" t="s">
        <v>15</v>
      </c>
      <c r="F598" s="2">
        <v>45</v>
      </c>
      <c r="G598" s="7">
        <v>66.099999999999994</v>
      </c>
      <c r="H598" s="7">
        <v>2379.6</v>
      </c>
      <c r="I598" s="2">
        <v>20</v>
      </c>
      <c r="J598" s="2" t="s">
        <v>46</v>
      </c>
      <c r="K598" s="2" t="s">
        <v>124</v>
      </c>
      <c r="L598" s="2" t="s">
        <v>69</v>
      </c>
      <c r="M598" s="2" t="str">
        <f t="shared" si="27"/>
        <v>Debit Card</v>
      </c>
      <c r="N598" s="2" t="str">
        <f t="shared" si="28"/>
        <v>Peripherals</v>
      </c>
      <c r="O598" s="2" t="str">
        <f t="shared" si="29"/>
        <v>High Stock</v>
      </c>
    </row>
    <row r="599" spans="1:15" x14ac:dyDescent="0.3">
      <c r="A599" s="5">
        <v>46234</v>
      </c>
      <c r="B599" s="2" t="s">
        <v>1576</v>
      </c>
      <c r="C599" s="2" t="s">
        <v>376</v>
      </c>
      <c r="D599" s="2" t="s">
        <v>72</v>
      </c>
      <c r="E599" s="2" t="s">
        <v>73</v>
      </c>
      <c r="F599" s="2">
        <v>50</v>
      </c>
      <c r="G599" s="7">
        <v>335.95</v>
      </c>
      <c r="H599" s="7">
        <v>13438</v>
      </c>
      <c r="I599" s="2">
        <v>20</v>
      </c>
      <c r="J599" s="2" t="s">
        <v>53</v>
      </c>
      <c r="K599" s="2" t="s">
        <v>134</v>
      </c>
      <c r="L599" s="2" t="s">
        <v>27</v>
      </c>
      <c r="M599" s="2" t="str">
        <f t="shared" si="27"/>
        <v>Cash</v>
      </c>
      <c r="N599" s="2" t="str">
        <f t="shared" si="28"/>
        <v>Furniture</v>
      </c>
      <c r="O599" s="2" t="str">
        <f t="shared" si="29"/>
        <v>High Stock</v>
      </c>
    </row>
    <row r="600" spans="1:15" x14ac:dyDescent="0.3">
      <c r="A600" s="5">
        <v>45707</v>
      </c>
      <c r="B600" s="2" t="s">
        <v>1578</v>
      </c>
      <c r="C600" s="2" t="s">
        <v>223</v>
      </c>
      <c r="D600" s="2" t="s">
        <v>95</v>
      </c>
      <c r="E600" s="2" t="s">
        <v>35</v>
      </c>
      <c r="F600" s="2">
        <v>13</v>
      </c>
      <c r="G600" s="7">
        <v>969.26</v>
      </c>
      <c r="H600" s="7">
        <v>12600.38</v>
      </c>
      <c r="I600" s="2">
        <v>0</v>
      </c>
      <c r="J600" s="2" t="s">
        <v>46</v>
      </c>
      <c r="K600" s="2" t="s">
        <v>47</v>
      </c>
      <c r="L600" s="2" t="s">
        <v>31</v>
      </c>
      <c r="M600" s="2" t="str">
        <f t="shared" si="27"/>
        <v>Credit Card</v>
      </c>
      <c r="N600" s="2" t="str">
        <f t="shared" si="28"/>
        <v>Electronics</v>
      </c>
      <c r="O600" s="2" t="str">
        <f t="shared" si="29"/>
        <v>Low Stock</v>
      </c>
    </row>
    <row r="601" spans="1:15" x14ac:dyDescent="0.3">
      <c r="A601" s="5">
        <v>46036</v>
      </c>
      <c r="B601" s="2" t="s">
        <v>1580</v>
      </c>
      <c r="C601" s="2" t="s">
        <v>1581</v>
      </c>
      <c r="D601" s="2" t="s">
        <v>14</v>
      </c>
      <c r="E601" s="2" t="s">
        <v>15</v>
      </c>
      <c r="F601" s="2">
        <v>44</v>
      </c>
      <c r="G601" s="7">
        <v>55.8</v>
      </c>
      <c r="H601" s="7">
        <v>2209.6799999999998</v>
      </c>
      <c r="I601" s="2">
        <v>10</v>
      </c>
      <c r="J601" s="2" t="s">
        <v>46</v>
      </c>
      <c r="K601" s="2" t="s">
        <v>124</v>
      </c>
      <c r="L601" s="2" t="s">
        <v>69</v>
      </c>
      <c r="M601" s="2" t="str">
        <f t="shared" si="27"/>
        <v>Debit Card</v>
      </c>
      <c r="N601" s="2" t="str">
        <f t="shared" si="28"/>
        <v>Peripherals</v>
      </c>
      <c r="O601" s="2" t="str">
        <f t="shared" si="29"/>
        <v>High Stock</v>
      </c>
    </row>
    <row r="602" spans="1:15" x14ac:dyDescent="0.3">
      <c r="A602" s="5">
        <v>45863</v>
      </c>
      <c r="B602" s="2" t="s">
        <v>1583</v>
      </c>
      <c r="C602" s="2" t="s">
        <v>1584</v>
      </c>
      <c r="D602" s="2" t="s">
        <v>63</v>
      </c>
      <c r="E602" s="2" t="s">
        <v>15</v>
      </c>
      <c r="F602" s="2">
        <v>24</v>
      </c>
      <c r="G602" s="7">
        <v>37.840000000000003</v>
      </c>
      <c r="H602" s="7">
        <v>726.53</v>
      </c>
      <c r="I602" s="2">
        <v>20</v>
      </c>
      <c r="J602" s="2" t="s">
        <v>16</v>
      </c>
      <c r="K602" s="2" t="s">
        <v>91</v>
      </c>
      <c r="L602" s="1" t="s">
        <v>2347</v>
      </c>
      <c r="M602" s="1" t="str">
        <f t="shared" si="27"/>
        <v>Online Payment</v>
      </c>
      <c r="N602" s="2" t="str">
        <f t="shared" si="28"/>
        <v>Peripherals</v>
      </c>
      <c r="O602" s="1" t="str">
        <f t="shared" si="29"/>
        <v>High Stock</v>
      </c>
    </row>
    <row r="603" spans="1:15" x14ac:dyDescent="0.3">
      <c r="A603" s="5">
        <v>46292</v>
      </c>
      <c r="B603" s="2" t="s">
        <v>1585</v>
      </c>
      <c r="C603" s="2" t="s">
        <v>1168</v>
      </c>
      <c r="D603" s="2" t="s">
        <v>52</v>
      </c>
      <c r="E603" s="2" t="s">
        <v>35</v>
      </c>
      <c r="F603" s="2">
        <v>45</v>
      </c>
      <c r="G603" s="7">
        <v>283.91000000000003</v>
      </c>
      <c r="H603" s="7">
        <v>12137.15</v>
      </c>
      <c r="I603" s="2">
        <v>5</v>
      </c>
      <c r="J603" s="2" t="s">
        <v>16</v>
      </c>
      <c r="K603" s="2" t="s">
        <v>17</v>
      </c>
      <c r="L603" s="2" t="s">
        <v>69</v>
      </c>
      <c r="M603" s="2" t="str">
        <f t="shared" si="27"/>
        <v>Debit Card</v>
      </c>
      <c r="N603" s="2" t="str">
        <f t="shared" si="28"/>
        <v>Electronics</v>
      </c>
      <c r="O603" s="2" t="str">
        <f t="shared" si="29"/>
        <v>High Stock</v>
      </c>
    </row>
    <row r="604" spans="1:15" x14ac:dyDescent="0.3">
      <c r="A604" s="5">
        <v>45906</v>
      </c>
      <c r="B604" s="2" t="s">
        <v>1586</v>
      </c>
      <c r="C604" s="2" t="s">
        <v>1587</v>
      </c>
      <c r="D604" s="2" t="s">
        <v>95</v>
      </c>
      <c r="E604" s="2" t="s">
        <v>35</v>
      </c>
      <c r="F604" s="2">
        <v>13</v>
      </c>
      <c r="G604" s="7">
        <v>1134.18</v>
      </c>
      <c r="H604" s="7">
        <v>14007.12</v>
      </c>
      <c r="I604" s="2">
        <v>5</v>
      </c>
      <c r="J604" s="2" t="s">
        <v>53</v>
      </c>
      <c r="K604" s="2" t="s">
        <v>54</v>
      </c>
      <c r="L604" s="2" t="s">
        <v>69</v>
      </c>
      <c r="M604" s="2" t="str">
        <f t="shared" si="27"/>
        <v>Debit Card</v>
      </c>
      <c r="N604" s="2" t="str">
        <f t="shared" si="28"/>
        <v>Electronics</v>
      </c>
      <c r="O604" s="2" t="str">
        <f t="shared" si="29"/>
        <v>Low Stock</v>
      </c>
    </row>
    <row r="605" spans="1:15" x14ac:dyDescent="0.3">
      <c r="A605" s="5">
        <v>45592</v>
      </c>
      <c r="B605" s="2" t="s">
        <v>1589</v>
      </c>
      <c r="C605" s="2" t="s">
        <v>1259</v>
      </c>
      <c r="D605" s="2" t="s">
        <v>72</v>
      </c>
      <c r="E605" s="2" t="s">
        <v>73</v>
      </c>
      <c r="F605" s="2">
        <v>8</v>
      </c>
      <c r="G605" s="7">
        <v>200.64</v>
      </c>
      <c r="H605" s="7">
        <v>1605.12</v>
      </c>
      <c r="I605" s="2">
        <v>0</v>
      </c>
      <c r="J605" s="2" t="s">
        <v>53</v>
      </c>
      <c r="K605" s="2" t="s">
        <v>67</v>
      </c>
      <c r="L605" s="2" t="s">
        <v>49</v>
      </c>
      <c r="M605" s="2" t="str">
        <f t="shared" si="27"/>
        <v>Check</v>
      </c>
      <c r="N605" s="2" t="str">
        <f t="shared" si="28"/>
        <v>Furniture</v>
      </c>
      <c r="O605" s="2" t="str">
        <f t="shared" si="29"/>
        <v>Low Stock</v>
      </c>
    </row>
    <row r="606" spans="1:15" x14ac:dyDescent="0.3">
      <c r="A606" s="5">
        <v>45628</v>
      </c>
      <c r="B606" s="2" t="s">
        <v>1591</v>
      </c>
      <c r="C606" s="2" t="s">
        <v>1592</v>
      </c>
      <c r="D606" s="2" t="s">
        <v>95</v>
      </c>
      <c r="E606" s="2" t="s">
        <v>35</v>
      </c>
      <c r="F606" s="2">
        <v>23</v>
      </c>
      <c r="G606" s="7">
        <v>1067.8900000000001</v>
      </c>
      <c r="H606" s="7">
        <v>23333.4</v>
      </c>
      <c r="I606" s="2">
        <v>5</v>
      </c>
      <c r="J606" s="2" t="s">
        <v>24</v>
      </c>
      <c r="K606" s="2" t="s">
        <v>59</v>
      </c>
      <c r="L606" s="2" t="s">
        <v>27</v>
      </c>
      <c r="M606" s="2" t="str">
        <f t="shared" si="27"/>
        <v>Cash</v>
      </c>
      <c r="N606" s="2" t="str">
        <f t="shared" si="28"/>
        <v>Electronics</v>
      </c>
      <c r="O606" s="2" t="str">
        <f t="shared" si="29"/>
        <v>High Stock</v>
      </c>
    </row>
    <row r="607" spans="1:15" x14ac:dyDescent="0.3">
      <c r="A607" s="5">
        <v>45891</v>
      </c>
      <c r="B607" s="2" t="s">
        <v>1594</v>
      </c>
      <c r="C607" s="2" t="s">
        <v>1595</v>
      </c>
      <c r="D607" s="2" t="s">
        <v>63</v>
      </c>
      <c r="E607" s="2" t="s">
        <v>15</v>
      </c>
      <c r="F607" s="2">
        <v>44</v>
      </c>
      <c r="G607" s="7">
        <v>36.85</v>
      </c>
      <c r="H607" s="7">
        <v>1540.33</v>
      </c>
      <c r="I607" s="2">
        <v>5</v>
      </c>
      <c r="J607" s="2" t="s">
        <v>24</v>
      </c>
      <c r="K607" s="2" t="s">
        <v>36</v>
      </c>
      <c r="L607" s="2" t="s">
        <v>27</v>
      </c>
      <c r="M607" s="2" t="str">
        <f t="shared" si="27"/>
        <v>Cash</v>
      </c>
      <c r="N607" s="2" t="str">
        <f t="shared" si="28"/>
        <v>Peripherals</v>
      </c>
      <c r="O607" s="2" t="str">
        <f t="shared" si="29"/>
        <v>High Stock</v>
      </c>
    </row>
    <row r="608" spans="1:15" x14ac:dyDescent="0.3">
      <c r="A608" s="5">
        <v>45759</v>
      </c>
      <c r="B608" s="2" t="s">
        <v>1596</v>
      </c>
      <c r="C608" s="2" t="s">
        <v>253</v>
      </c>
      <c r="D608" s="2" t="s">
        <v>103</v>
      </c>
      <c r="E608" s="2" t="s">
        <v>35</v>
      </c>
      <c r="F608" s="2">
        <v>31</v>
      </c>
      <c r="G608" s="7">
        <v>430.04</v>
      </c>
      <c r="H608" s="7">
        <v>13331.24</v>
      </c>
      <c r="I608" s="2">
        <v>0</v>
      </c>
      <c r="J608" s="2" t="s">
        <v>46</v>
      </c>
      <c r="K608" s="2" t="s">
        <v>47</v>
      </c>
      <c r="L608" s="2" t="s">
        <v>31</v>
      </c>
      <c r="M608" s="2" t="str">
        <f t="shared" si="27"/>
        <v>Credit Card</v>
      </c>
      <c r="N608" s="2" t="str">
        <f t="shared" si="28"/>
        <v>Electronics</v>
      </c>
      <c r="O608" s="2" t="str">
        <f t="shared" si="29"/>
        <v>High Stock</v>
      </c>
    </row>
    <row r="609" spans="1:15" x14ac:dyDescent="0.3">
      <c r="A609" s="5">
        <v>46072</v>
      </c>
      <c r="B609" s="2" t="s">
        <v>1597</v>
      </c>
      <c r="C609" s="2" t="s">
        <v>1061</v>
      </c>
      <c r="D609" s="2" t="s">
        <v>22</v>
      </c>
      <c r="E609" s="2" t="s">
        <v>23</v>
      </c>
      <c r="F609" s="2">
        <v>9</v>
      </c>
      <c r="G609" s="7">
        <v>39.04</v>
      </c>
      <c r="H609" s="7">
        <v>316.22000000000003</v>
      </c>
      <c r="I609" s="2">
        <v>10</v>
      </c>
      <c r="J609" s="2" t="s">
        <v>46</v>
      </c>
      <c r="K609" s="2" t="s">
        <v>124</v>
      </c>
      <c r="L609" s="1" t="s">
        <v>2347</v>
      </c>
      <c r="M609" s="1" t="str">
        <f t="shared" si="27"/>
        <v>Online Payment</v>
      </c>
      <c r="N609" s="2" t="str">
        <f t="shared" si="28"/>
        <v>Accessories</v>
      </c>
      <c r="O609" s="1" t="str">
        <f t="shared" si="29"/>
        <v>Low Stock</v>
      </c>
    </row>
    <row r="610" spans="1:15" x14ac:dyDescent="0.3">
      <c r="A610" s="5">
        <v>46015</v>
      </c>
      <c r="B610" s="2" t="s">
        <v>1599</v>
      </c>
      <c r="C610" s="2" t="s">
        <v>250</v>
      </c>
      <c r="D610" s="2" t="s">
        <v>95</v>
      </c>
      <c r="E610" s="2" t="s">
        <v>35</v>
      </c>
      <c r="F610" s="2">
        <v>6</v>
      </c>
      <c r="G610" s="7">
        <v>891.81</v>
      </c>
      <c r="H610" s="7">
        <v>5350.86</v>
      </c>
      <c r="I610" s="2">
        <v>0</v>
      </c>
      <c r="J610" s="2" t="s">
        <v>53</v>
      </c>
      <c r="K610" s="2" t="s">
        <v>67</v>
      </c>
      <c r="L610" s="2" t="s">
        <v>27</v>
      </c>
      <c r="M610" s="2" t="str">
        <f t="shared" si="27"/>
        <v>Cash</v>
      </c>
      <c r="N610" s="2" t="str">
        <f t="shared" si="28"/>
        <v>Electronics</v>
      </c>
      <c r="O610" s="2" t="str">
        <f t="shared" si="29"/>
        <v>Low Stock</v>
      </c>
    </row>
    <row r="611" spans="1:15" x14ac:dyDescent="0.3">
      <c r="A611" s="5">
        <v>46047</v>
      </c>
      <c r="B611" s="2" t="s">
        <v>1600</v>
      </c>
      <c r="C611" s="2" t="s">
        <v>1601</v>
      </c>
      <c r="D611" s="2" t="s">
        <v>22</v>
      </c>
      <c r="E611" s="2" t="s">
        <v>23</v>
      </c>
      <c r="F611" s="2">
        <v>1</v>
      </c>
      <c r="G611" s="7">
        <v>37.9</v>
      </c>
      <c r="H611" s="7">
        <v>36</v>
      </c>
      <c r="I611" s="2">
        <v>5</v>
      </c>
      <c r="J611" s="2" t="s">
        <v>53</v>
      </c>
      <c r="K611" s="2" t="s">
        <v>54</v>
      </c>
      <c r="L611" s="2" t="s">
        <v>49</v>
      </c>
      <c r="M611" s="2" t="str">
        <f t="shared" si="27"/>
        <v>Check</v>
      </c>
      <c r="N611" s="2" t="str">
        <f t="shared" si="28"/>
        <v>Accessories</v>
      </c>
      <c r="O611" s="2" t="str">
        <f t="shared" si="29"/>
        <v>Low Stock</v>
      </c>
    </row>
    <row r="612" spans="1:15" x14ac:dyDescent="0.3">
      <c r="A612" s="5">
        <v>45899</v>
      </c>
      <c r="B612" s="2" t="s">
        <v>1603</v>
      </c>
      <c r="C612" s="2" t="s">
        <v>282</v>
      </c>
      <c r="D612" s="2" t="s">
        <v>103</v>
      </c>
      <c r="E612" s="2" t="s">
        <v>35</v>
      </c>
      <c r="F612" s="2">
        <v>10</v>
      </c>
      <c r="G612" s="7">
        <v>499.87</v>
      </c>
      <c r="H612" s="7">
        <v>4248.8900000000003</v>
      </c>
      <c r="I612" s="2">
        <v>15</v>
      </c>
      <c r="J612" s="2" t="s">
        <v>53</v>
      </c>
      <c r="K612" s="2" t="s">
        <v>170</v>
      </c>
      <c r="L612" s="2" t="s">
        <v>31</v>
      </c>
      <c r="M612" s="2" t="str">
        <f t="shared" si="27"/>
        <v>Credit Card</v>
      </c>
      <c r="N612" s="2" t="str">
        <f t="shared" si="28"/>
        <v>Electronics</v>
      </c>
      <c r="O612" s="2" t="str">
        <f t="shared" si="29"/>
        <v>Low Stock</v>
      </c>
    </row>
    <row r="613" spans="1:15" x14ac:dyDescent="0.3">
      <c r="A613" s="5">
        <v>45850</v>
      </c>
      <c r="B613" s="2" t="s">
        <v>1605</v>
      </c>
      <c r="C613" s="2" t="s">
        <v>1606</v>
      </c>
      <c r="D613" s="2" t="s">
        <v>103</v>
      </c>
      <c r="E613" s="2" t="s">
        <v>35</v>
      </c>
      <c r="F613" s="2">
        <v>47</v>
      </c>
      <c r="G613" s="7">
        <v>580.49</v>
      </c>
      <c r="H613" s="7">
        <v>27283.03</v>
      </c>
      <c r="I613" s="2">
        <v>0</v>
      </c>
      <c r="J613" s="2" t="s">
        <v>24</v>
      </c>
      <c r="K613" s="2" t="s">
        <v>25</v>
      </c>
      <c r="L613" s="2" t="s">
        <v>69</v>
      </c>
      <c r="M613" s="2" t="str">
        <f t="shared" si="27"/>
        <v>Debit Card</v>
      </c>
      <c r="N613" s="2" t="str">
        <f t="shared" si="28"/>
        <v>Electronics</v>
      </c>
      <c r="O613" s="2" t="str">
        <f t="shared" si="29"/>
        <v>High Stock</v>
      </c>
    </row>
    <row r="614" spans="1:15" x14ac:dyDescent="0.3">
      <c r="A614" s="5">
        <v>46062</v>
      </c>
      <c r="B614" s="2" t="s">
        <v>1607</v>
      </c>
      <c r="C614" s="2" t="s">
        <v>342</v>
      </c>
      <c r="D614" s="2" t="s">
        <v>90</v>
      </c>
      <c r="E614" s="2" t="s">
        <v>23</v>
      </c>
      <c r="F614" s="2">
        <v>28</v>
      </c>
      <c r="G614" s="7">
        <v>23.83</v>
      </c>
      <c r="H614" s="7">
        <v>667.24</v>
      </c>
      <c r="I614" s="2">
        <v>0</v>
      </c>
      <c r="J614" s="2" t="s">
        <v>53</v>
      </c>
      <c r="K614" s="2" t="s">
        <v>141</v>
      </c>
      <c r="L614" s="2" t="s">
        <v>49</v>
      </c>
      <c r="M614" s="2" t="str">
        <f t="shared" si="27"/>
        <v>Check</v>
      </c>
      <c r="N614" s="2" t="str">
        <f t="shared" si="28"/>
        <v>Accessories</v>
      </c>
      <c r="O614" s="2" t="str">
        <f t="shared" si="29"/>
        <v>High Stock</v>
      </c>
    </row>
    <row r="615" spans="1:15" x14ac:dyDescent="0.3">
      <c r="A615" s="5">
        <v>45998</v>
      </c>
      <c r="B615" s="2" t="s">
        <v>1609</v>
      </c>
      <c r="C615" s="2" t="s">
        <v>1610</v>
      </c>
      <c r="D615" s="2" t="s">
        <v>72</v>
      </c>
      <c r="E615" s="2" t="s">
        <v>73</v>
      </c>
      <c r="F615" s="2">
        <v>26</v>
      </c>
      <c r="G615" s="7">
        <v>302.49</v>
      </c>
      <c r="H615" s="7">
        <v>6291.79</v>
      </c>
      <c r="I615" s="2">
        <v>20</v>
      </c>
      <c r="J615" s="2" t="s">
        <v>53</v>
      </c>
      <c r="K615" s="2" t="s">
        <v>67</v>
      </c>
      <c r="L615" s="2" t="s">
        <v>27</v>
      </c>
      <c r="M615" s="2" t="str">
        <f t="shared" si="27"/>
        <v>Cash</v>
      </c>
      <c r="N615" s="2" t="str">
        <f t="shared" si="28"/>
        <v>Furniture</v>
      </c>
      <c r="O615" s="2" t="str">
        <f t="shared" si="29"/>
        <v>High Stock</v>
      </c>
    </row>
    <row r="616" spans="1:15" x14ac:dyDescent="0.3">
      <c r="A616" s="5">
        <v>45587</v>
      </c>
      <c r="B616" s="2" t="s">
        <v>1612</v>
      </c>
      <c r="C616" s="2" t="s">
        <v>1613</v>
      </c>
      <c r="D616" s="2" t="s">
        <v>14</v>
      </c>
      <c r="E616" s="2" t="s">
        <v>15</v>
      </c>
      <c r="F616" s="2">
        <v>19</v>
      </c>
      <c r="G616" s="7">
        <v>102.04</v>
      </c>
      <c r="H616" s="7">
        <v>1841.82</v>
      </c>
      <c r="I616" s="2">
        <v>5</v>
      </c>
      <c r="J616" s="2" t="s">
        <v>16</v>
      </c>
      <c r="K616" s="2" t="s">
        <v>111</v>
      </c>
      <c r="L616" s="2" t="s">
        <v>69</v>
      </c>
      <c r="M616" s="2" t="str">
        <f t="shared" si="27"/>
        <v>Debit Card</v>
      </c>
      <c r="N616" s="2" t="str">
        <f t="shared" si="28"/>
        <v>Peripherals</v>
      </c>
      <c r="O616" s="2" t="str">
        <f t="shared" si="29"/>
        <v>High Stock</v>
      </c>
    </row>
    <row r="617" spans="1:15" x14ac:dyDescent="0.3">
      <c r="A617" s="5">
        <v>46087</v>
      </c>
      <c r="B617" s="2" t="s">
        <v>1614</v>
      </c>
      <c r="C617" s="2" t="s">
        <v>1615</v>
      </c>
      <c r="D617" s="2" t="s">
        <v>99</v>
      </c>
      <c r="E617" s="2" t="s">
        <v>23</v>
      </c>
      <c r="F617" s="2">
        <v>43</v>
      </c>
      <c r="G617" s="7">
        <v>12.53</v>
      </c>
      <c r="H617" s="7">
        <v>431.03</v>
      </c>
      <c r="I617" s="2">
        <v>20</v>
      </c>
      <c r="J617" s="2" t="s">
        <v>24</v>
      </c>
      <c r="K617" s="2" t="s">
        <v>36</v>
      </c>
      <c r="L617" s="2" t="s">
        <v>69</v>
      </c>
      <c r="M617" s="2" t="str">
        <f t="shared" si="27"/>
        <v>Debit Card</v>
      </c>
      <c r="N617" s="2" t="str">
        <f t="shared" si="28"/>
        <v>Accessories</v>
      </c>
      <c r="O617" s="2" t="str">
        <f t="shared" si="29"/>
        <v>High Stock</v>
      </c>
    </row>
    <row r="618" spans="1:15" x14ac:dyDescent="0.3">
      <c r="A618" s="5">
        <v>45970</v>
      </c>
      <c r="B618" s="2" t="s">
        <v>1616</v>
      </c>
      <c r="C618" s="2" t="s">
        <v>179</v>
      </c>
      <c r="D618" s="2" t="s">
        <v>40</v>
      </c>
      <c r="E618" s="2" t="s">
        <v>23</v>
      </c>
      <c r="F618" s="2">
        <v>26</v>
      </c>
      <c r="G618" s="7">
        <v>43.84</v>
      </c>
      <c r="H618" s="7">
        <v>1139.8399999999999</v>
      </c>
      <c r="I618" s="2">
        <v>0</v>
      </c>
      <c r="J618" s="2" t="s">
        <v>46</v>
      </c>
      <c r="K618" s="2" t="s">
        <v>124</v>
      </c>
      <c r="L618" s="2" t="s">
        <v>27</v>
      </c>
      <c r="M618" s="2" t="str">
        <f t="shared" si="27"/>
        <v>Cash</v>
      </c>
      <c r="N618" s="2" t="str">
        <f t="shared" si="28"/>
        <v>Accessories</v>
      </c>
      <c r="O618" s="2" t="str">
        <f t="shared" si="29"/>
        <v>High Stock</v>
      </c>
    </row>
    <row r="619" spans="1:15" x14ac:dyDescent="0.3">
      <c r="A619" s="5">
        <v>45923</v>
      </c>
      <c r="B619" s="2" t="s">
        <v>1617</v>
      </c>
      <c r="C619" s="2" t="s">
        <v>1618</v>
      </c>
      <c r="D619" s="2" t="s">
        <v>22</v>
      </c>
      <c r="E619" s="2" t="s">
        <v>23</v>
      </c>
      <c r="F619" s="2">
        <v>32</v>
      </c>
      <c r="G619" s="7">
        <v>33.56</v>
      </c>
      <c r="H619" s="7">
        <v>912.83</v>
      </c>
      <c r="I619" s="2">
        <v>15</v>
      </c>
      <c r="J619" s="2" t="s">
        <v>24</v>
      </c>
      <c r="K619" s="2" t="s">
        <v>104</v>
      </c>
      <c r="L619" s="2" t="s">
        <v>27</v>
      </c>
      <c r="M619" s="2" t="str">
        <f t="shared" si="27"/>
        <v>Cash</v>
      </c>
      <c r="N619" s="2" t="str">
        <f t="shared" si="28"/>
        <v>Accessories</v>
      </c>
      <c r="O619" s="2" t="str">
        <f t="shared" si="29"/>
        <v>High Stock</v>
      </c>
    </row>
    <row r="620" spans="1:15" x14ac:dyDescent="0.3">
      <c r="A620" s="5">
        <v>46101</v>
      </c>
      <c r="B620" s="2" t="s">
        <v>1619</v>
      </c>
      <c r="C620" s="2" t="s">
        <v>1620</v>
      </c>
      <c r="D620" s="2" t="s">
        <v>34</v>
      </c>
      <c r="E620" s="2" t="s">
        <v>35</v>
      </c>
      <c r="F620" s="2">
        <v>6</v>
      </c>
      <c r="G620" s="7">
        <v>803.02</v>
      </c>
      <c r="H620" s="7">
        <v>4818.12</v>
      </c>
      <c r="I620" s="2">
        <v>0</v>
      </c>
      <c r="J620" s="2" t="s">
        <v>46</v>
      </c>
      <c r="K620" s="2" t="s">
        <v>78</v>
      </c>
      <c r="L620" s="2" t="s">
        <v>69</v>
      </c>
      <c r="M620" s="2" t="str">
        <f t="shared" si="27"/>
        <v>Debit Card</v>
      </c>
      <c r="N620" s="2" t="str">
        <f t="shared" si="28"/>
        <v>Electronics</v>
      </c>
      <c r="O620" s="2" t="str">
        <f t="shared" si="29"/>
        <v>Low Stock</v>
      </c>
    </row>
    <row r="621" spans="1:15" x14ac:dyDescent="0.3">
      <c r="A621" s="5">
        <v>45751</v>
      </c>
      <c r="B621" s="2" t="s">
        <v>1621</v>
      </c>
      <c r="C621" s="2" t="s">
        <v>1541</v>
      </c>
      <c r="D621" s="2" t="s">
        <v>90</v>
      </c>
      <c r="E621" s="2" t="s">
        <v>23</v>
      </c>
      <c r="F621" s="2">
        <v>17</v>
      </c>
      <c r="G621" s="7">
        <v>25.18</v>
      </c>
      <c r="H621" s="7">
        <v>406.66</v>
      </c>
      <c r="I621" s="2">
        <v>5</v>
      </c>
      <c r="J621" s="2" t="s">
        <v>53</v>
      </c>
      <c r="K621" s="2" t="s">
        <v>141</v>
      </c>
      <c r="L621" s="1" t="s">
        <v>2347</v>
      </c>
      <c r="M621" s="1" t="str">
        <f t="shared" si="27"/>
        <v>Online Payment</v>
      </c>
      <c r="N621" s="2" t="str">
        <f t="shared" si="28"/>
        <v>Accessories</v>
      </c>
      <c r="O621" s="1" t="str">
        <f t="shared" si="29"/>
        <v>High Stock</v>
      </c>
    </row>
    <row r="622" spans="1:15" x14ac:dyDescent="0.3">
      <c r="A622" s="5">
        <v>46083</v>
      </c>
      <c r="B622" s="2" t="s">
        <v>1622</v>
      </c>
      <c r="C622" s="2" t="s">
        <v>1471</v>
      </c>
      <c r="D622" s="2" t="s">
        <v>95</v>
      </c>
      <c r="E622" s="2" t="s">
        <v>35</v>
      </c>
      <c r="F622" s="2">
        <v>2</v>
      </c>
      <c r="G622" s="7">
        <v>255.27</v>
      </c>
      <c r="H622" s="7">
        <v>485.01</v>
      </c>
      <c r="I622" s="2">
        <v>5</v>
      </c>
      <c r="J622" s="2" t="s">
        <v>53</v>
      </c>
      <c r="K622" s="2" t="s">
        <v>67</v>
      </c>
      <c r="L622" s="2" t="s">
        <v>69</v>
      </c>
      <c r="M622" s="2" t="str">
        <f t="shared" si="27"/>
        <v>Debit Card</v>
      </c>
      <c r="N622" s="2" t="str">
        <f t="shared" si="28"/>
        <v>Electronics</v>
      </c>
      <c r="O622" s="2" t="str">
        <f t="shared" si="29"/>
        <v>Low Stock</v>
      </c>
    </row>
    <row r="623" spans="1:15" x14ac:dyDescent="0.3">
      <c r="A623" s="5">
        <v>45759</v>
      </c>
      <c r="B623" s="2" t="s">
        <v>1623</v>
      </c>
      <c r="C623" s="2" t="s">
        <v>1624</v>
      </c>
      <c r="D623" s="2" t="s">
        <v>103</v>
      </c>
      <c r="E623" s="2" t="s">
        <v>35</v>
      </c>
      <c r="F623" s="2">
        <v>1</v>
      </c>
      <c r="G623" s="7">
        <v>394.23</v>
      </c>
      <c r="H623" s="7">
        <v>394.23</v>
      </c>
      <c r="I623" s="2">
        <v>0</v>
      </c>
      <c r="J623" s="2" t="s">
        <v>53</v>
      </c>
      <c r="K623" s="2" t="s">
        <v>141</v>
      </c>
      <c r="L623" s="1" t="s">
        <v>2347</v>
      </c>
      <c r="M623" s="1" t="str">
        <f t="shared" si="27"/>
        <v>Online Payment</v>
      </c>
      <c r="N623" s="2" t="str">
        <f t="shared" si="28"/>
        <v>Electronics</v>
      </c>
      <c r="O623" s="1" t="str">
        <f t="shared" si="29"/>
        <v>Low Stock</v>
      </c>
    </row>
    <row r="624" spans="1:15" x14ac:dyDescent="0.3">
      <c r="A624" s="5">
        <v>46293</v>
      </c>
      <c r="B624" s="2" t="s">
        <v>1625</v>
      </c>
      <c r="C624" s="2" t="s">
        <v>1626</v>
      </c>
      <c r="D624" s="2" t="s">
        <v>72</v>
      </c>
      <c r="E624" s="2" t="s">
        <v>73</v>
      </c>
      <c r="F624" s="2">
        <v>11</v>
      </c>
      <c r="G624" s="7">
        <v>185.84</v>
      </c>
      <c r="H624" s="7">
        <v>2044.24</v>
      </c>
      <c r="I624" s="2">
        <v>0</v>
      </c>
      <c r="J624" s="2" t="s">
        <v>24</v>
      </c>
      <c r="K624" s="2" t="s">
        <v>25</v>
      </c>
      <c r="L624" s="2" t="s">
        <v>27</v>
      </c>
      <c r="M624" s="2" t="str">
        <f t="shared" si="27"/>
        <v>Cash</v>
      </c>
      <c r="N624" s="2" t="str">
        <f t="shared" si="28"/>
        <v>Furniture</v>
      </c>
      <c r="O624" s="2" t="str">
        <f t="shared" si="29"/>
        <v>Low Stock</v>
      </c>
    </row>
    <row r="625" spans="1:15" x14ac:dyDescent="0.3">
      <c r="A625" s="5">
        <v>46081</v>
      </c>
      <c r="B625" s="2" t="s">
        <v>1627</v>
      </c>
      <c r="C625" s="2" t="s">
        <v>1628</v>
      </c>
      <c r="D625" s="2" t="s">
        <v>123</v>
      </c>
      <c r="E625" s="2" t="s">
        <v>15</v>
      </c>
      <c r="F625" s="2">
        <v>19</v>
      </c>
      <c r="G625" s="7">
        <v>49.36</v>
      </c>
      <c r="H625" s="7">
        <v>937.84</v>
      </c>
      <c r="I625" s="2">
        <v>0</v>
      </c>
      <c r="J625" s="2" t="s">
        <v>24</v>
      </c>
      <c r="K625" s="2" t="s">
        <v>59</v>
      </c>
      <c r="L625" s="1" t="s">
        <v>2347</v>
      </c>
      <c r="M625" s="1" t="str">
        <f t="shared" si="27"/>
        <v>Online Payment</v>
      </c>
      <c r="N625" s="2" t="str">
        <f t="shared" si="28"/>
        <v>Peripherals</v>
      </c>
      <c r="O625" s="1" t="str">
        <f t="shared" si="29"/>
        <v>High Stock</v>
      </c>
    </row>
    <row r="626" spans="1:15" x14ac:dyDescent="0.3">
      <c r="A626" s="5">
        <v>46246</v>
      </c>
      <c r="B626" s="2" t="s">
        <v>1629</v>
      </c>
      <c r="C626" s="2" t="s">
        <v>1630</v>
      </c>
      <c r="D626" s="2" t="s">
        <v>52</v>
      </c>
      <c r="E626" s="2" t="s">
        <v>35</v>
      </c>
      <c r="F626" s="2">
        <v>50</v>
      </c>
      <c r="G626" s="7">
        <v>277.97000000000003</v>
      </c>
      <c r="H626" s="7">
        <v>11118.8</v>
      </c>
      <c r="I626" s="2">
        <v>20</v>
      </c>
      <c r="J626" s="2" t="s">
        <v>46</v>
      </c>
      <c r="K626" s="2" t="s">
        <v>83</v>
      </c>
      <c r="L626" s="2" t="s">
        <v>49</v>
      </c>
      <c r="M626" s="2" t="str">
        <f t="shared" si="27"/>
        <v>Check</v>
      </c>
      <c r="N626" s="2" t="str">
        <f t="shared" si="28"/>
        <v>Electronics</v>
      </c>
      <c r="O626" s="2" t="str">
        <f t="shared" si="29"/>
        <v>High Stock</v>
      </c>
    </row>
    <row r="627" spans="1:15" x14ac:dyDescent="0.3">
      <c r="A627" s="5">
        <v>46237</v>
      </c>
      <c r="B627" s="2" t="s">
        <v>1631</v>
      </c>
      <c r="C627" s="2" t="s">
        <v>1632</v>
      </c>
      <c r="D627" s="2" t="s">
        <v>14</v>
      </c>
      <c r="E627" s="2" t="s">
        <v>15</v>
      </c>
      <c r="F627" s="2">
        <v>37</v>
      </c>
      <c r="G627" s="7">
        <v>92.54</v>
      </c>
      <c r="H627" s="7">
        <v>3252.78</v>
      </c>
      <c r="I627" s="2">
        <v>5</v>
      </c>
      <c r="J627" s="2" t="s">
        <v>24</v>
      </c>
      <c r="K627" s="2" t="s">
        <v>36</v>
      </c>
      <c r="L627" s="2" t="s">
        <v>31</v>
      </c>
      <c r="M627" s="2" t="str">
        <f t="shared" si="27"/>
        <v>Credit Card</v>
      </c>
      <c r="N627" s="2" t="str">
        <f t="shared" si="28"/>
        <v>Peripherals</v>
      </c>
      <c r="O627" s="2" t="str">
        <f t="shared" si="29"/>
        <v>High Stock</v>
      </c>
    </row>
    <row r="628" spans="1:15" x14ac:dyDescent="0.3">
      <c r="A628" s="5">
        <v>45750</v>
      </c>
      <c r="B628" s="2" t="s">
        <v>1633</v>
      </c>
      <c r="C628" s="2" t="s">
        <v>1634</v>
      </c>
      <c r="D628" s="2" t="s">
        <v>14</v>
      </c>
      <c r="E628" s="2" t="s">
        <v>15</v>
      </c>
      <c r="F628" s="2">
        <v>12</v>
      </c>
      <c r="G628" s="7">
        <v>92.37</v>
      </c>
      <c r="H628" s="7">
        <v>942.17</v>
      </c>
      <c r="I628" s="2">
        <v>15</v>
      </c>
      <c r="J628" s="2" t="s">
        <v>16</v>
      </c>
      <c r="K628" s="2" t="s">
        <v>160</v>
      </c>
      <c r="L628" s="2" t="s">
        <v>27</v>
      </c>
      <c r="M628" s="2" t="str">
        <f t="shared" si="27"/>
        <v>Cash</v>
      </c>
      <c r="N628" s="2" t="str">
        <f t="shared" si="28"/>
        <v>Peripherals</v>
      </c>
      <c r="O628" s="2" t="str">
        <f t="shared" si="29"/>
        <v>Low Stock</v>
      </c>
    </row>
    <row r="629" spans="1:15" x14ac:dyDescent="0.3">
      <c r="A629" s="5">
        <v>45952</v>
      </c>
      <c r="B629" s="2" t="s">
        <v>1636</v>
      </c>
      <c r="C629" s="2" t="s">
        <v>1637</v>
      </c>
      <c r="D629" s="2" t="s">
        <v>103</v>
      </c>
      <c r="E629" s="2" t="s">
        <v>35</v>
      </c>
      <c r="F629" s="2">
        <v>48</v>
      </c>
      <c r="G629" s="7">
        <v>525.29</v>
      </c>
      <c r="H629" s="7">
        <v>21431.83</v>
      </c>
      <c r="I629" s="2">
        <v>15</v>
      </c>
      <c r="J629" s="2" t="s">
        <v>16</v>
      </c>
      <c r="K629" s="2" t="s">
        <v>91</v>
      </c>
      <c r="L629" s="2" t="s">
        <v>27</v>
      </c>
      <c r="M629" s="2" t="str">
        <f t="shared" si="27"/>
        <v>Cash</v>
      </c>
      <c r="N629" s="2" t="str">
        <f t="shared" si="28"/>
        <v>Electronics</v>
      </c>
      <c r="O629" s="2" t="str">
        <f t="shared" si="29"/>
        <v>High Stock</v>
      </c>
    </row>
    <row r="630" spans="1:15" x14ac:dyDescent="0.3">
      <c r="A630" s="5">
        <v>45635</v>
      </c>
      <c r="B630" s="2" t="s">
        <v>1638</v>
      </c>
      <c r="C630" s="2" t="s">
        <v>1639</v>
      </c>
      <c r="D630" s="2" t="s">
        <v>90</v>
      </c>
      <c r="E630" s="2" t="s">
        <v>23</v>
      </c>
      <c r="F630" s="2">
        <v>41</v>
      </c>
      <c r="G630" s="7">
        <v>43.17</v>
      </c>
      <c r="H630" s="7">
        <v>1592.97</v>
      </c>
      <c r="I630" s="2">
        <v>10</v>
      </c>
      <c r="J630" s="2" t="s">
        <v>46</v>
      </c>
      <c r="K630" s="2" t="s">
        <v>124</v>
      </c>
      <c r="L630" s="2" t="s">
        <v>69</v>
      </c>
      <c r="M630" s="2" t="str">
        <f t="shared" si="27"/>
        <v>Debit Card</v>
      </c>
      <c r="N630" s="2" t="str">
        <f t="shared" si="28"/>
        <v>Accessories</v>
      </c>
      <c r="O630" s="2" t="str">
        <f t="shared" si="29"/>
        <v>High Stock</v>
      </c>
    </row>
    <row r="631" spans="1:15" x14ac:dyDescent="0.3">
      <c r="A631" s="5">
        <v>45787</v>
      </c>
      <c r="B631" s="2" t="s">
        <v>1641</v>
      </c>
      <c r="C631" s="2" t="s">
        <v>1642</v>
      </c>
      <c r="D631" s="2" t="s">
        <v>103</v>
      </c>
      <c r="E631" s="2" t="s">
        <v>35</v>
      </c>
      <c r="F631" s="2">
        <v>14</v>
      </c>
      <c r="G631" s="7">
        <v>425.03</v>
      </c>
      <c r="H631" s="7">
        <v>5652.9</v>
      </c>
      <c r="I631" s="2">
        <v>5</v>
      </c>
      <c r="J631" s="2" t="s">
        <v>16</v>
      </c>
      <c r="K631" s="2" t="s">
        <v>111</v>
      </c>
      <c r="L631" s="2" t="s">
        <v>69</v>
      </c>
      <c r="M631" s="2" t="str">
        <f t="shared" si="27"/>
        <v>Debit Card</v>
      </c>
      <c r="N631" s="2" t="str">
        <f t="shared" si="28"/>
        <v>Electronics</v>
      </c>
      <c r="O631" s="2" t="str">
        <f t="shared" si="29"/>
        <v>Low Stock</v>
      </c>
    </row>
    <row r="632" spans="1:15" x14ac:dyDescent="0.3">
      <c r="A632" s="5">
        <v>45632</v>
      </c>
      <c r="B632" s="2" t="s">
        <v>1644</v>
      </c>
      <c r="C632" s="2" t="s">
        <v>1645</v>
      </c>
      <c r="D632" s="2" t="s">
        <v>63</v>
      </c>
      <c r="E632" s="2" t="s">
        <v>15</v>
      </c>
      <c r="F632" s="2">
        <v>24</v>
      </c>
      <c r="G632" s="7">
        <v>31.83</v>
      </c>
      <c r="H632" s="7">
        <v>763.92</v>
      </c>
      <c r="I632" s="2">
        <v>0</v>
      </c>
      <c r="J632" s="2" t="s">
        <v>46</v>
      </c>
      <c r="K632" s="2" t="s">
        <v>244</v>
      </c>
      <c r="L632" s="1" t="s">
        <v>2347</v>
      </c>
      <c r="M632" s="1" t="str">
        <f t="shared" si="27"/>
        <v>Online Payment</v>
      </c>
      <c r="N632" s="2" t="str">
        <f t="shared" si="28"/>
        <v>Peripherals</v>
      </c>
      <c r="O632" s="1" t="str">
        <f t="shared" si="29"/>
        <v>High Stock</v>
      </c>
    </row>
    <row r="633" spans="1:15" x14ac:dyDescent="0.3">
      <c r="A633" s="5">
        <v>45734</v>
      </c>
      <c r="B633" s="2" t="s">
        <v>1647</v>
      </c>
      <c r="C633" s="2" t="s">
        <v>71</v>
      </c>
      <c r="D633" s="2" t="s">
        <v>45</v>
      </c>
      <c r="E633" s="2" t="s">
        <v>23</v>
      </c>
      <c r="F633" s="2">
        <v>46</v>
      </c>
      <c r="G633" s="7">
        <v>149.07</v>
      </c>
      <c r="H633" s="7">
        <v>5828.64</v>
      </c>
      <c r="I633" s="2">
        <v>15</v>
      </c>
      <c r="J633" s="2" t="s">
        <v>53</v>
      </c>
      <c r="K633" s="2" t="s">
        <v>170</v>
      </c>
      <c r="L633" s="2" t="s">
        <v>49</v>
      </c>
      <c r="M633" s="2" t="str">
        <f t="shared" si="27"/>
        <v>Check</v>
      </c>
      <c r="N633" s="2" t="str">
        <f t="shared" si="28"/>
        <v>Accessories</v>
      </c>
      <c r="O633" s="2" t="str">
        <f t="shared" si="29"/>
        <v>High Stock</v>
      </c>
    </row>
    <row r="634" spans="1:15" x14ac:dyDescent="0.3">
      <c r="A634" s="5">
        <v>45935</v>
      </c>
      <c r="B634" s="2" t="s">
        <v>1649</v>
      </c>
      <c r="C634" s="2" t="s">
        <v>700</v>
      </c>
      <c r="D634" s="2" t="s">
        <v>52</v>
      </c>
      <c r="E634" s="2" t="s">
        <v>35</v>
      </c>
      <c r="F634" s="2">
        <v>44</v>
      </c>
      <c r="G634" s="7">
        <v>302.27999999999997</v>
      </c>
      <c r="H634" s="7">
        <v>11305.27</v>
      </c>
      <c r="I634" s="2">
        <v>15</v>
      </c>
      <c r="J634" s="2" t="s">
        <v>53</v>
      </c>
      <c r="K634" s="2" t="s">
        <v>67</v>
      </c>
      <c r="L634" s="2" t="s">
        <v>31</v>
      </c>
      <c r="M634" s="2" t="str">
        <f t="shared" si="27"/>
        <v>Credit Card</v>
      </c>
      <c r="N634" s="2" t="str">
        <f t="shared" si="28"/>
        <v>Electronics</v>
      </c>
      <c r="O634" s="2" t="str">
        <f t="shared" si="29"/>
        <v>High Stock</v>
      </c>
    </row>
    <row r="635" spans="1:15" x14ac:dyDescent="0.3">
      <c r="A635" s="5">
        <v>45653</v>
      </c>
      <c r="B635" s="2" t="s">
        <v>1651</v>
      </c>
      <c r="C635" s="2" t="s">
        <v>1652</v>
      </c>
      <c r="D635" s="2" t="s">
        <v>90</v>
      </c>
      <c r="E635" s="2" t="s">
        <v>23</v>
      </c>
      <c r="F635" s="2">
        <v>27</v>
      </c>
      <c r="G635" s="7">
        <v>20.62</v>
      </c>
      <c r="H635" s="7">
        <v>556.74</v>
      </c>
      <c r="I635" s="2">
        <v>0</v>
      </c>
      <c r="J635" s="2" t="s">
        <v>53</v>
      </c>
      <c r="K635" s="2" t="s">
        <v>170</v>
      </c>
      <c r="L635" s="2" t="s">
        <v>49</v>
      </c>
      <c r="M635" s="2" t="str">
        <f t="shared" si="27"/>
        <v>Check</v>
      </c>
      <c r="N635" s="2" t="str">
        <f t="shared" si="28"/>
        <v>Accessories</v>
      </c>
      <c r="O635" s="2" t="str">
        <f t="shared" si="29"/>
        <v>High Stock</v>
      </c>
    </row>
    <row r="636" spans="1:15" x14ac:dyDescent="0.3">
      <c r="A636" s="5">
        <v>45962</v>
      </c>
      <c r="B636" s="2" t="s">
        <v>1653</v>
      </c>
      <c r="C636" s="2" t="s">
        <v>1654</v>
      </c>
      <c r="D636" s="2" t="s">
        <v>63</v>
      </c>
      <c r="E636" s="2" t="s">
        <v>15</v>
      </c>
      <c r="F636" s="2">
        <v>16</v>
      </c>
      <c r="G636" s="7">
        <v>61.48</v>
      </c>
      <c r="H636" s="7">
        <v>934.5</v>
      </c>
      <c r="I636" s="2">
        <v>5</v>
      </c>
      <c r="J636" s="2" t="s">
        <v>46</v>
      </c>
      <c r="K636" s="2" t="s">
        <v>83</v>
      </c>
      <c r="L636" s="2" t="s">
        <v>69</v>
      </c>
      <c r="M636" s="2" t="str">
        <f t="shared" si="27"/>
        <v>Debit Card</v>
      </c>
      <c r="N636" s="2" t="str">
        <f t="shared" si="28"/>
        <v>Peripherals</v>
      </c>
      <c r="O636" s="2" t="str">
        <f t="shared" si="29"/>
        <v>High Stock</v>
      </c>
    </row>
    <row r="637" spans="1:15" x14ac:dyDescent="0.3">
      <c r="A637" s="5">
        <v>45886</v>
      </c>
      <c r="B637" s="2" t="s">
        <v>1655</v>
      </c>
      <c r="C637" s="2" t="s">
        <v>144</v>
      </c>
      <c r="D637" s="2" t="s">
        <v>123</v>
      </c>
      <c r="E637" s="2" t="s">
        <v>15</v>
      </c>
      <c r="F637" s="2">
        <v>16</v>
      </c>
      <c r="G637" s="7">
        <v>26.31</v>
      </c>
      <c r="H637" s="7">
        <v>378.86</v>
      </c>
      <c r="I637" s="2">
        <v>10</v>
      </c>
      <c r="J637" s="2" t="s">
        <v>53</v>
      </c>
      <c r="K637" s="2" t="s">
        <v>170</v>
      </c>
      <c r="L637" s="1" t="s">
        <v>2347</v>
      </c>
      <c r="M637" s="1" t="str">
        <f t="shared" si="27"/>
        <v>Online Payment</v>
      </c>
      <c r="N637" s="2" t="str">
        <f t="shared" si="28"/>
        <v>Peripherals</v>
      </c>
      <c r="O637" s="1" t="str">
        <f t="shared" si="29"/>
        <v>High Stock</v>
      </c>
    </row>
    <row r="638" spans="1:15" x14ac:dyDescent="0.3">
      <c r="A638" s="5">
        <v>46174</v>
      </c>
      <c r="B638" s="2" t="s">
        <v>1656</v>
      </c>
      <c r="C638" s="2" t="s">
        <v>1657</v>
      </c>
      <c r="D638" s="2" t="s">
        <v>52</v>
      </c>
      <c r="E638" s="2" t="s">
        <v>35</v>
      </c>
      <c r="F638" s="2">
        <v>42</v>
      </c>
      <c r="G638" s="7">
        <v>270.57</v>
      </c>
      <c r="H638" s="7">
        <v>9091.15</v>
      </c>
      <c r="I638" s="2">
        <v>20</v>
      </c>
      <c r="J638" s="2" t="s">
        <v>46</v>
      </c>
      <c r="K638" s="2" t="s">
        <v>244</v>
      </c>
      <c r="L638" s="2" t="s">
        <v>31</v>
      </c>
      <c r="M638" s="2" t="str">
        <f t="shared" si="27"/>
        <v>Credit Card</v>
      </c>
      <c r="N638" s="2" t="str">
        <f t="shared" si="28"/>
        <v>Electronics</v>
      </c>
      <c r="O638" s="2" t="str">
        <f t="shared" si="29"/>
        <v>High Stock</v>
      </c>
    </row>
    <row r="639" spans="1:15" x14ac:dyDescent="0.3">
      <c r="A639" s="5">
        <v>45994</v>
      </c>
      <c r="B639" s="2" t="s">
        <v>1659</v>
      </c>
      <c r="C639" s="2" t="s">
        <v>499</v>
      </c>
      <c r="D639" s="2" t="s">
        <v>90</v>
      </c>
      <c r="E639" s="2" t="s">
        <v>23</v>
      </c>
      <c r="F639" s="2">
        <v>47</v>
      </c>
      <c r="G639" s="7">
        <v>33.880000000000003</v>
      </c>
      <c r="H639" s="7">
        <v>1512.74</v>
      </c>
      <c r="I639" s="2">
        <v>5</v>
      </c>
      <c r="J639" s="2" t="s">
        <v>24</v>
      </c>
      <c r="K639" s="2" t="s">
        <v>59</v>
      </c>
      <c r="L639" s="2" t="s">
        <v>27</v>
      </c>
      <c r="M639" s="2" t="str">
        <f t="shared" si="27"/>
        <v>Cash</v>
      </c>
      <c r="N639" s="2" t="str">
        <f t="shared" si="28"/>
        <v>Accessories</v>
      </c>
      <c r="O639" s="2" t="str">
        <f t="shared" si="29"/>
        <v>High Stock</v>
      </c>
    </row>
    <row r="640" spans="1:15" x14ac:dyDescent="0.3">
      <c r="A640" s="5">
        <v>46243</v>
      </c>
      <c r="B640" s="2" t="s">
        <v>1661</v>
      </c>
      <c r="C640" s="2" t="s">
        <v>1662</v>
      </c>
      <c r="D640" s="2" t="s">
        <v>40</v>
      </c>
      <c r="E640" s="2" t="s">
        <v>23</v>
      </c>
      <c r="F640" s="2">
        <v>9</v>
      </c>
      <c r="G640" s="7">
        <v>41.75</v>
      </c>
      <c r="H640" s="7">
        <v>375.75</v>
      </c>
      <c r="I640" s="2">
        <v>0</v>
      </c>
      <c r="J640" s="2" t="s">
        <v>16</v>
      </c>
      <c r="K640" s="2" t="s">
        <v>74</v>
      </c>
      <c r="L640" s="2" t="s">
        <v>69</v>
      </c>
      <c r="M640" s="2" t="str">
        <f t="shared" si="27"/>
        <v>Debit Card</v>
      </c>
      <c r="N640" s="2" t="str">
        <f t="shared" si="28"/>
        <v>Accessories</v>
      </c>
      <c r="O640" s="2" t="str">
        <f t="shared" si="29"/>
        <v>Low Stock</v>
      </c>
    </row>
    <row r="641" spans="1:15" x14ac:dyDescent="0.3">
      <c r="A641" s="5">
        <v>45974</v>
      </c>
      <c r="B641" s="2" t="s">
        <v>1664</v>
      </c>
      <c r="C641" s="2" t="s">
        <v>1665</v>
      </c>
      <c r="D641" s="2" t="s">
        <v>90</v>
      </c>
      <c r="E641" s="2" t="s">
        <v>23</v>
      </c>
      <c r="F641" s="2">
        <v>32</v>
      </c>
      <c r="G641" s="7">
        <v>43.7</v>
      </c>
      <c r="H641" s="7">
        <v>1258.56</v>
      </c>
      <c r="I641" s="2">
        <v>10</v>
      </c>
      <c r="J641" s="2" t="s">
        <v>24</v>
      </c>
      <c r="K641" s="2" t="s">
        <v>59</v>
      </c>
      <c r="L641" s="2" t="s">
        <v>31</v>
      </c>
      <c r="M641" s="2" t="str">
        <f t="shared" si="27"/>
        <v>Credit Card</v>
      </c>
      <c r="N641" s="2" t="str">
        <f t="shared" si="28"/>
        <v>Accessories</v>
      </c>
      <c r="O641" s="2" t="str">
        <f t="shared" si="29"/>
        <v>High Stock</v>
      </c>
    </row>
    <row r="642" spans="1:15" x14ac:dyDescent="0.3">
      <c r="A642" s="5">
        <v>46091</v>
      </c>
      <c r="B642" s="2" t="s">
        <v>1666</v>
      </c>
      <c r="C642" s="2" t="s">
        <v>1667</v>
      </c>
      <c r="D642" s="2" t="s">
        <v>123</v>
      </c>
      <c r="E642" s="2" t="s">
        <v>15</v>
      </c>
      <c r="F642" s="2">
        <v>50</v>
      </c>
      <c r="G642" s="7">
        <v>15.48</v>
      </c>
      <c r="H642" s="7">
        <v>774</v>
      </c>
      <c r="I642" s="2">
        <v>0</v>
      </c>
      <c r="J642" s="2" t="s">
        <v>24</v>
      </c>
      <c r="K642" s="2" t="s">
        <v>36</v>
      </c>
      <c r="L642" s="2" t="s">
        <v>69</v>
      </c>
      <c r="M642" s="2" t="str">
        <f t="shared" si="27"/>
        <v>Debit Card</v>
      </c>
      <c r="N642" s="2" t="str">
        <f t="shared" si="28"/>
        <v>Peripherals</v>
      </c>
      <c r="O642" s="2" t="str">
        <f t="shared" si="29"/>
        <v>High Stock</v>
      </c>
    </row>
    <row r="643" spans="1:15" x14ac:dyDescent="0.3">
      <c r="A643" s="5">
        <v>45900</v>
      </c>
      <c r="B643" s="2" t="s">
        <v>1669</v>
      </c>
      <c r="C643" s="2" t="s">
        <v>1403</v>
      </c>
      <c r="D643" s="2" t="s">
        <v>40</v>
      </c>
      <c r="E643" s="2" t="s">
        <v>23</v>
      </c>
      <c r="F643" s="2">
        <v>16</v>
      </c>
      <c r="G643" s="7">
        <v>57.93</v>
      </c>
      <c r="H643" s="7">
        <v>926.88</v>
      </c>
      <c r="I643" s="2">
        <v>0</v>
      </c>
      <c r="J643" s="2" t="s">
        <v>24</v>
      </c>
      <c r="K643" s="2" t="s">
        <v>41</v>
      </c>
      <c r="L643" s="1" t="s">
        <v>2347</v>
      </c>
      <c r="M643" s="1" t="str">
        <f t="shared" ref="M643:M706" si="30">TRIM(L643)</f>
        <v>Online Payment</v>
      </c>
      <c r="N643" s="2" t="str">
        <f t="shared" ref="N643:N706" si="31">PROPER(E643)</f>
        <v>Accessories</v>
      </c>
      <c r="O643" s="1" t="str">
        <f t="shared" ref="O643:O706" si="32">IF(F643&gt;15,"High Stock","Low Stock")</f>
        <v>High Stock</v>
      </c>
    </row>
    <row r="644" spans="1:15" x14ac:dyDescent="0.3">
      <c r="A644" s="5">
        <v>46195</v>
      </c>
      <c r="B644" s="2" t="s">
        <v>1670</v>
      </c>
      <c r="C644" s="2" t="s">
        <v>1671</v>
      </c>
      <c r="D644" s="2" t="s">
        <v>99</v>
      </c>
      <c r="E644" s="2" t="s">
        <v>23</v>
      </c>
      <c r="F644" s="2">
        <v>29</v>
      </c>
      <c r="G644" s="7">
        <v>26.09</v>
      </c>
      <c r="H644" s="7">
        <v>756.61</v>
      </c>
      <c r="I644" s="2">
        <v>0</v>
      </c>
      <c r="J644" s="2" t="s">
        <v>16</v>
      </c>
      <c r="K644" s="2" t="s">
        <v>17</v>
      </c>
      <c r="L644" s="2" t="s">
        <v>69</v>
      </c>
      <c r="M644" s="2" t="str">
        <f t="shared" si="30"/>
        <v>Debit Card</v>
      </c>
      <c r="N644" s="2" t="str">
        <f t="shared" si="31"/>
        <v>Accessories</v>
      </c>
      <c r="O644" s="2" t="str">
        <f t="shared" si="32"/>
        <v>High Stock</v>
      </c>
    </row>
    <row r="645" spans="1:15" x14ac:dyDescent="0.3">
      <c r="A645" s="5">
        <v>45779</v>
      </c>
      <c r="B645" s="2" t="s">
        <v>1672</v>
      </c>
      <c r="C645" s="2" t="s">
        <v>949</v>
      </c>
      <c r="D645" s="2" t="s">
        <v>72</v>
      </c>
      <c r="E645" s="2" t="s">
        <v>73</v>
      </c>
      <c r="F645" s="2">
        <v>6</v>
      </c>
      <c r="G645" s="7">
        <v>276.25</v>
      </c>
      <c r="H645" s="7">
        <v>1408.88</v>
      </c>
      <c r="I645" s="2">
        <v>15</v>
      </c>
      <c r="J645" s="2" t="s">
        <v>46</v>
      </c>
      <c r="K645" s="2" t="s">
        <v>83</v>
      </c>
      <c r="L645" s="2" t="s">
        <v>27</v>
      </c>
      <c r="M645" s="2" t="str">
        <f t="shared" si="30"/>
        <v>Cash</v>
      </c>
      <c r="N645" s="2" t="str">
        <f t="shared" si="31"/>
        <v>Furniture</v>
      </c>
      <c r="O645" s="2" t="str">
        <f t="shared" si="32"/>
        <v>Low Stock</v>
      </c>
    </row>
    <row r="646" spans="1:15" x14ac:dyDescent="0.3">
      <c r="A646" s="5">
        <v>45632</v>
      </c>
      <c r="B646" s="2" t="s">
        <v>1673</v>
      </c>
      <c r="C646" s="2" t="s">
        <v>1674</v>
      </c>
      <c r="D646" s="2" t="s">
        <v>52</v>
      </c>
      <c r="E646" s="2" t="s">
        <v>35</v>
      </c>
      <c r="F646" s="2">
        <v>42</v>
      </c>
      <c r="G646" s="7">
        <v>381.24</v>
      </c>
      <c r="H646" s="7">
        <v>15211.48</v>
      </c>
      <c r="I646" s="2">
        <v>5</v>
      </c>
      <c r="J646" s="2" t="s">
        <v>24</v>
      </c>
      <c r="K646" s="2" t="s">
        <v>104</v>
      </c>
      <c r="L646" s="1" t="s">
        <v>2347</v>
      </c>
      <c r="M646" s="1" t="str">
        <f t="shared" si="30"/>
        <v>Online Payment</v>
      </c>
      <c r="N646" s="2" t="str">
        <f t="shared" si="31"/>
        <v>Electronics</v>
      </c>
      <c r="O646" s="1" t="str">
        <f t="shared" si="32"/>
        <v>High Stock</v>
      </c>
    </row>
    <row r="647" spans="1:15" x14ac:dyDescent="0.3">
      <c r="A647" s="5">
        <v>46016</v>
      </c>
      <c r="B647" s="2" t="s">
        <v>1675</v>
      </c>
      <c r="C647" s="2" t="s">
        <v>1676</v>
      </c>
      <c r="D647" s="2" t="s">
        <v>34</v>
      </c>
      <c r="E647" s="2" t="s">
        <v>35</v>
      </c>
      <c r="F647" s="2">
        <v>10</v>
      </c>
      <c r="G647" s="7">
        <v>461.84</v>
      </c>
      <c r="H647" s="7">
        <v>4156.5600000000004</v>
      </c>
      <c r="I647" s="2">
        <v>10</v>
      </c>
      <c r="J647" s="2" t="s">
        <v>24</v>
      </c>
      <c r="K647" s="2" t="s">
        <v>104</v>
      </c>
      <c r="L647" s="2" t="s">
        <v>31</v>
      </c>
      <c r="M647" s="2" t="str">
        <f t="shared" si="30"/>
        <v>Credit Card</v>
      </c>
      <c r="N647" s="2" t="str">
        <f t="shared" si="31"/>
        <v>Electronics</v>
      </c>
      <c r="O647" s="2" t="str">
        <f t="shared" si="32"/>
        <v>Low Stock</v>
      </c>
    </row>
    <row r="648" spans="1:15" x14ac:dyDescent="0.3">
      <c r="A648" s="5">
        <v>46173</v>
      </c>
      <c r="B648" s="2" t="s">
        <v>1677</v>
      </c>
      <c r="C648" s="2" t="s">
        <v>1678</v>
      </c>
      <c r="D648" s="2" t="s">
        <v>82</v>
      </c>
      <c r="E648" s="2" t="s">
        <v>73</v>
      </c>
      <c r="F648" s="2">
        <v>7</v>
      </c>
      <c r="G648" s="7">
        <v>543.16999999999996</v>
      </c>
      <c r="H648" s="7">
        <v>3802.19</v>
      </c>
      <c r="I648" s="2">
        <v>0</v>
      </c>
      <c r="J648" s="2" t="s">
        <v>53</v>
      </c>
      <c r="K648" s="2" t="s">
        <v>54</v>
      </c>
      <c r="L648" s="2" t="s">
        <v>69</v>
      </c>
      <c r="M648" s="2" t="str">
        <f t="shared" si="30"/>
        <v>Debit Card</v>
      </c>
      <c r="N648" s="2" t="str">
        <f t="shared" si="31"/>
        <v>Furniture</v>
      </c>
      <c r="O648" s="2" t="str">
        <f t="shared" si="32"/>
        <v>Low Stock</v>
      </c>
    </row>
    <row r="649" spans="1:15" x14ac:dyDescent="0.3">
      <c r="A649" s="5">
        <v>46121</v>
      </c>
      <c r="B649" s="2" t="s">
        <v>1680</v>
      </c>
      <c r="C649" s="2" t="s">
        <v>1681</v>
      </c>
      <c r="D649" s="2" t="s">
        <v>40</v>
      </c>
      <c r="E649" s="2" t="s">
        <v>23</v>
      </c>
      <c r="F649" s="2">
        <v>46</v>
      </c>
      <c r="G649" s="7">
        <v>31.49</v>
      </c>
      <c r="H649" s="7">
        <v>1376.11</v>
      </c>
      <c r="I649" s="2">
        <v>5</v>
      </c>
      <c r="J649" s="2" t="s">
        <v>24</v>
      </c>
      <c r="K649" s="2" t="s">
        <v>25</v>
      </c>
      <c r="L649" s="1" t="s">
        <v>2347</v>
      </c>
      <c r="M649" s="1" t="str">
        <f t="shared" si="30"/>
        <v>Online Payment</v>
      </c>
      <c r="N649" s="2" t="str">
        <f t="shared" si="31"/>
        <v>Accessories</v>
      </c>
      <c r="O649" s="1" t="str">
        <f t="shared" si="32"/>
        <v>High Stock</v>
      </c>
    </row>
    <row r="650" spans="1:15" x14ac:dyDescent="0.3">
      <c r="A650" s="5">
        <v>45801</v>
      </c>
      <c r="B650" s="2" t="s">
        <v>1682</v>
      </c>
      <c r="C650" s="2" t="s">
        <v>1683</v>
      </c>
      <c r="D650" s="2" t="s">
        <v>63</v>
      </c>
      <c r="E650" s="2" t="s">
        <v>15</v>
      </c>
      <c r="F650" s="2">
        <v>32</v>
      </c>
      <c r="G650" s="7">
        <v>45.15</v>
      </c>
      <c r="H650" s="7">
        <v>1372.56</v>
      </c>
      <c r="I650" s="2">
        <v>5</v>
      </c>
      <c r="J650" s="2" t="s">
        <v>53</v>
      </c>
      <c r="K650" s="2" t="s">
        <v>170</v>
      </c>
      <c r="L650" s="2" t="s">
        <v>49</v>
      </c>
      <c r="M650" s="2" t="str">
        <f t="shared" si="30"/>
        <v>Check</v>
      </c>
      <c r="N650" s="2" t="str">
        <f t="shared" si="31"/>
        <v>Peripherals</v>
      </c>
      <c r="O650" s="2" t="str">
        <f t="shared" si="32"/>
        <v>High Stock</v>
      </c>
    </row>
    <row r="651" spans="1:15" x14ac:dyDescent="0.3">
      <c r="A651" s="5">
        <v>46255</v>
      </c>
      <c r="B651" s="2" t="s">
        <v>1684</v>
      </c>
      <c r="C651" s="2" t="s">
        <v>1685</v>
      </c>
      <c r="D651" s="2" t="s">
        <v>45</v>
      </c>
      <c r="E651" s="2" t="s">
        <v>23</v>
      </c>
      <c r="F651" s="2">
        <v>7</v>
      </c>
      <c r="G651" s="7">
        <v>161.66</v>
      </c>
      <c r="H651" s="7">
        <v>905.3</v>
      </c>
      <c r="I651" s="2">
        <v>20</v>
      </c>
      <c r="J651" s="2" t="s">
        <v>46</v>
      </c>
      <c r="K651" s="2" t="s">
        <v>47</v>
      </c>
      <c r="L651" s="1" t="s">
        <v>2347</v>
      </c>
      <c r="M651" s="1" t="str">
        <f t="shared" si="30"/>
        <v>Online Payment</v>
      </c>
      <c r="N651" s="2" t="str">
        <f t="shared" si="31"/>
        <v>Accessories</v>
      </c>
      <c r="O651" s="1" t="str">
        <f t="shared" si="32"/>
        <v>Low Stock</v>
      </c>
    </row>
    <row r="652" spans="1:15" x14ac:dyDescent="0.3">
      <c r="A652" s="5">
        <v>46114</v>
      </c>
      <c r="B652" s="2" t="s">
        <v>1686</v>
      </c>
      <c r="C652" s="2" t="s">
        <v>185</v>
      </c>
      <c r="D652" s="2" t="s">
        <v>99</v>
      </c>
      <c r="E652" s="2" t="s">
        <v>23</v>
      </c>
      <c r="F652" s="2">
        <v>29</v>
      </c>
      <c r="G652" s="7">
        <v>18.559999999999999</v>
      </c>
      <c r="H652" s="7">
        <v>538.24</v>
      </c>
      <c r="I652" s="2">
        <v>0</v>
      </c>
      <c r="J652" s="2" t="s">
        <v>16</v>
      </c>
      <c r="K652" s="2" t="s">
        <v>74</v>
      </c>
      <c r="L652" s="1" t="s">
        <v>2347</v>
      </c>
      <c r="M652" s="1" t="str">
        <f t="shared" si="30"/>
        <v>Online Payment</v>
      </c>
      <c r="N652" s="2" t="str">
        <f t="shared" si="31"/>
        <v>Accessories</v>
      </c>
      <c r="O652" s="1" t="str">
        <f t="shared" si="32"/>
        <v>High Stock</v>
      </c>
    </row>
    <row r="653" spans="1:15" x14ac:dyDescent="0.3">
      <c r="A653" s="5">
        <v>45866</v>
      </c>
      <c r="B653" s="2" t="s">
        <v>1687</v>
      </c>
      <c r="C653" s="2" t="s">
        <v>1688</v>
      </c>
      <c r="D653" s="2" t="s">
        <v>123</v>
      </c>
      <c r="E653" s="2" t="s">
        <v>15</v>
      </c>
      <c r="F653" s="2">
        <v>47</v>
      </c>
      <c r="G653" s="7">
        <v>35.04</v>
      </c>
      <c r="H653" s="7">
        <v>1646.88</v>
      </c>
      <c r="I653" s="2">
        <v>0</v>
      </c>
      <c r="J653" s="2" t="s">
        <v>16</v>
      </c>
      <c r="K653" s="2" t="s">
        <v>17</v>
      </c>
      <c r="L653" s="2" t="s">
        <v>27</v>
      </c>
      <c r="M653" s="2" t="str">
        <f t="shared" si="30"/>
        <v>Cash</v>
      </c>
      <c r="N653" s="2" t="str">
        <f t="shared" si="31"/>
        <v>Peripherals</v>
      </c>
      <c r="O653" s="2" t="str">
        <f t="shared" si="32"/>
        <v>High Stock</v>
      </c>
    </row>
    <row r="654" spans="1:15" x14ac:dyDescent="0.3">
      <c r="A654" s="5">
        <v>46080</v>
      </c>
      <c r="B654" s="2" t="s">
        <v>1689</v>
      </c>
      <c r="C654" s="2" t="s">
        <v>66</v>
      </c>
      <c r="D654" s="2" t="s">
        <v>63</v>
      </c>
      <c r="E654" s="2" t="s">
        <v>15</v>
      </c>
      <c r="F654" s="2">
        <v>33</v>
      </c>
      <c r="G654" s="7">
        <v>45.36</v>
      </c>
      <c r="H654" s="7">
        <v>1422.04</v>
      </c>
      <c r="I654" s="2">
        <v>5</v>
      </c>
      <c r="J654" s="2" t="s">
        <v>24</v>
      </c>
      <c r="K654" s="2" t="s">
        <v>25</v>
      </c>
      <c r="L654" s="1" t="s">
        <v>2347</v>
      </c>
      <c r="M654" s="1" t="str">
        <f t="shared" si="30"/>
        <v>Online Payment</v>
      </c>
      <c r="N654" s="2" t="str">
        <f t="shared" si="31"/>
        <v>Peripherals</v>
      </c>
      <c r="O654" s="1" t="str">
        <f t="shared" si="32"/>
        <v>High Stock</v>
      </c>
    </row>
    <row r="655" spans="1:15" x14ac:dyDescent="0.3">
      <c r="A655" s="5">
        <v>45912</v>
      </c>
      <c r="B655" s="2" t="s">
        <v>1690</v>
      </c>
      <c r="C655" s="2" t="s">
        <v>1691</v>
      </c>
      <c r="D655" s="2" t="s">
        <v>95</v>
      </c>
      <c r="E655" s="2" t="s">
        <v>35</v>
      </c>
      <c r="F655" s="2">
        <v>47</v>
      </c>
      <c r="G655" s="7">
        <v>963.71</v>
      </c>
      <c r="H655" s="7">
        <v>45294.37</v>
      </c>
      <c r="I655" s="2">
        <v>0</v>
      </c>
      <c r="J655" s="2" t="s">
        <v>24</v>
      </c>
      <c r="K655" s="2" t="s">
        <v>41</v>
      </c>
      <c r="L655" s="2" t="s">
        <v>27</v>
      </c>
      <c r="M655" s="2" t="str">
        <f t="shared" si="30"/>
        <v>Cash</v>
      </c>
      <c r="N655" s="2" t="str">
        <f t="shared" si="31"/>
        <v>Electronics</v>
      </c>
      <c r="O655" s="2" t="str">
        <f t="shared" si="32"/>
        <v>High Stock</v>
      </c>
    </row>
    <row r="656" spans="1:15" x14ac:dyDescent="0.3">
      <c r="A656" s="5">
        <v>45592</v>
      </c>
      <c r="B656" s="2" t="s">
        <v>1692</v>
      </c>
      <c r="C656" s="2" t="s">
        <v>1693</v>
      </c>
      <c r="D656" s="2" t="s">
        <v>82</v>
      </c>
      <c r="E656" s="2" t="s">
        <v>73</v>
      </c>
      <c r="F656" s="2">
        <v>39</v>
      </c>
      <c r="G656" s="7">
        <v>718.61</v>
      </c>
      <c r="H656" s="7">
        <v>28025.79</v>
      </c>
      <c r="I656" s="2">
        <v>0</v>
      </c>
      <c r="J656" s="2" t="s">
        <v>46</v>
      </c>
      <c r="K656" s="2" t="s">
        <v>244</v>
      </c>
      <c r="L656" s="1" t="s">
        <v>2347</v>
      </c>
      <c r="M656" s="1" t="str">
        <f t="shared" si="30"/>
        <v>Online Payment</v>
      </c>
      <c r="N656" s="2" t="str">
        <f t="shared" si="31"/>
        <v>Furniture</v>
      </c>
      <c r="O656" s="1" t="str">
        <f t="shared" si="32"/>
        <v>High Stock</v>
      </c>
    </row>
    <row r="657" spans="1:15" x14ac:dyDescent="0.3">
      <c r="A657" s="5">
        <v>46280</v>
      </c>
      <c r="B657" s="2" t="s">
        <v>1694</v>
      </c>
      <c r="C657" s="2" t="s">
        <v>1695</v>
      </c>
      <c r="D657" s="2" t="s">
        <v>40</v>
      </c>
      <c r="E657" s="2" t="s">
        <v>23</v>
      </c>
      <c r="F657" s="2">
        <v>37</v>
      </c>
      <c r="G657" s="7">
        <v>50.9</v>
      </c>
      <c r="H657" s="7">
        <v>1600.8</v>
      </c>
      <c r="I657" s="2">
        <v>15</v>
      </c>
      <c r="J657" s="2" t="s">
        <v>46</v>
      </c>
      <c r="K657" s="2" t="s">
        <v>78</v>
      </c>
      <c r="L657" s="2" t="s">
        <v>49</v>
      </c>
      <c r="M657" s="2" t="str">
        <f t="shared" si="30"/>
        <v>Check</v>
      </c>
      <c r="N657" s="2" t="str">
        <f t="shared" si="31"/>
        <v>Accessories</v>
      </c>
      <c r="O657" s="2" t="str">
        <f t="shared" si="32"/>
        <v>High Stock</v>
      </c>
    </row>
    <row r="658" spans="1:15" x14ac:dyDescent="0.3">
      <c r="A658" s="5">
        <v>46054</v>
      </c>
      <c r="B658" s="2" t="s">
        <v>1697</v>
      </c>
      <c r="C658" s="2" t="s">
        <v>169</v>
      </c>
      <c r="D658" s="2" t="s">
        <v>52</v>
      </c>
      <c r="E658" s="2" t="s">
        <v>35</v>
      </c>
      <c r="F658" s="2">
        <v>49</v>
      </c>
      <c r="G658" s="7">
        <v>255.24</v>
      </c>
      <c r="H658" s="7">
        <v>12506.76</v>
      </c>
      <c r="I658" s="2">
        <v>0</v>
      </c>
      <c r="J658" s="2" t="s">
        <v>24</v>
      </c>
      <c r="K658" s="2" t="s">
        <v>41</v>
      </c>
      <c r="L658" s="2" t="s">
        <v>31</v>
      </c>
      <c r="M658" s="2" t="str">
        <f t="shared" si="30"/>
        <v>Credit Card</v>
      </c>
      <c r="N658" s="2" t="str">
        <f t="shared" si="31"/>
        <v>Electronics</v>
      </c>
      <c r="O658" s="2" t="str">
        <f t="shared" si="32"/>
        <v>High Stock</v>
      </c>
    </row>
    <row r="659" spans="1:15" x14ac:dyDescent="0.3">
      <c r="A659" s="5">
        <v>45874</v>
      </c>
      <c r="B659" s="2" t="s">
        <v>1698</v>
      </c>
      <c r="C659" s="2" t="s">
        <v>1699</v>
      </c>
      <c r="D659" s="2" t="s">
        <v>123</v>
      </c>
      <c r="E659" s="2" t="s">
        <v>15</v>
      </c>
      <c r="F659" s="2">
        <v>28</v>
      </c>
      <c r="G659" s="7">
        <v>42.43</v>
      </c>
      <c r="H659" s="7">
        <v>1188.04</v>
      </c>
      <c r="I659" s="2">
        <v>0</v>
      </c>
      <c r="J659" s="2" t="s">
        <v>53</v>
      </c>
      <c r="K659" s="2" t="s">
        <v>134</v>
      </c>
      <c r="L659" s="2" t="s">
        <v>69</v>
      </c>
      <c r="M659" s="2" t="str">
        <f t="shared" si="30"/>
        <v>Debit Card</v>
      </c>
      <c r="N659" s="2" t="str">
        <f t="shared" si="31"/>
        <v>Peripherals</v>
      </c>
      <c r="O659" s="2" t="str">
        <f t="shared" si="32"/>
        <v>High Stock</v>
      </c>
    </row>
    <row r="660" spans="1:15" x14ac:dyDescent="0.3">
      <c r="A660" s="5">
        <v>45663</v>
      </c>
      <c r="B660" s="2" t="s">
        <v>1701</v>
      </c>
      <c r="C660" s="2" t="s">
        <v>1144</v>
      </c>
      <c r="D660" s="2" t="s">
        <v>95</v>
      </c>
      <c r="E660" s="2" t="s">
        <v>35</v>
      </c>
      <c r="F660" s="2">
        <v>29</v>
      </c>
      <c r="G660" s="7">
        <v>441.88</v>
      </c>
      <c r="H660" s="7">
        <v>12173.79</v>
      </c>
      <c r="I660" s="2">
        <v>5</v>
      </c>
      <c r="J660" s="2" t="s">
        <v>46</v>
      </c>
      <c r="K660" s="2" t="s">
        <v>83</v>
      </c>
      <c r="L660" s="1" t="s">
        <v>2347</v>
      </c>
      <c r="M660" s="1" t="str">
        <f t="shared" si="30"/>
        <v>Online Payment</v>
      </c>
      <c r="N660" s="2" t="str">
        <f t="shared" si="31"/>
        <v>Electronics</v>
      </c>
      <c r="O660" s="1" t="str">
        <f t="shared" si="32"/>
        <v>High Stock</v>
      </c>
    </row>
    <row r="661" spans="1:15" x14ac:dyDescent="0.3">
      <c r="A661" s="5">
        <v>46108</v>
      </c>
      <c r="B661" s="2" t="s">
        <v>1703</v>
      </c>
      <c r="C661" s="2" t="s">
        <v>1704</v>
      </c>
      <c r="D661" s="2" t="s">
        <v>90</v>
      </c>
      <c r="E661" s="2" t="s">
        <v>23</v>
      </c>
      <c r="F661" s="2">
        <v>26</v>
      </c>
      <c r="G661" s="7">
        <v>42.42</v>
      </c>
      <c r="H661" s="7">
        <v>1102.92</v>
      </c>
      <c r="I661" s="2">
        <v>0</v>
      </c>
      <c r="J661" s="2" t="s">
        <v>46</v>
      </c>
      <c r="K661" s="2" t="s">
        <v>124</v>
      </c>
      <c r="L661" s="2" t="s">
        <v>49</v>
      </c>
      <c r="M661" s="2" t="str">
        <f t="shared" si="30"/>
        <v>Check</v>
      </c>
      <c r="N661" s="2" t="str">
        <f t="shared" si="31"/>
        <v>Accessories</v>
      </c>
      <c r="O661" s="2" t="str">
        <f t="shared" si="32"/>
        <v>High Stock</v>
      </c>
    </row>
    <row r="662" spans="1:15" x14ac:dyDescent="0.3">
      <c r="A662" s="5">
        <v>46048</v>
      </c>
      <c r="B662" s="2" t="s">
        <v>1706</v>
      </c>
      <c r="C662" s="2" t="s">
        <v>1707</v>
      </c>
      <c r="D662" s="2" t="s">
        <v>45</v>
      </c>
      <c r="E662" s="2" t="s">
        <v>23</v>
      </c>
      <c r="F662" s="2">
        <v>1</v>
      </c>
      <c r="G662" s="7">
        <v>137.63999999999999</v>
      </c>
      <c r="H662" s="7">
        <v>116.99</v>
      </c>
      <c r="I662" s="2">
        <v>15</v>
      </c>
      <c r="J662" s="2" t="s">
        <v>53</v>
      </c>
      <c r="K662" s="2" t="s">
        <v>170</v>
      </c>
      <c r="L662" s="2" t="s">
        <v>31</v>
      </c>
      <c r="M662" s="2" t="str">
        <f t="shared" si="30"/>
        <v>Credit Card</v>
      </c>
      <c r="N662" s="2" t="str">
        <f t="shared" si="31"/>
        <v>Accessories</v>
      </c>
      <c r="O662" s="2" t="str">
        <f t="shared" si="32"/>
        <v>Low Stock</v>
      </c>
    </row>
    <row r="663" spans="1:15" x14ac:dyDescent="0.3">
      <c r="A663" s="5">
        <v>45918</v>
      </c>
      <c r="B663" s="2" t="s">
        <v>1709</v>
      </c>
      <c r="C663" s="2" t="s">
        <v>1710</v>
      </c>
      <c r="D663" s="2" t="s">
        <v>90</v>
      </c>
      <c r="E663" s="2" t="s">
        <v>23</v>
      </c>
      <c r="F663" s="2">
        <v>29</v>
      </c>
      <c r="G663" s="7">
        <v>42.06</v>
      </c>
      <c r="H663" s="7">
        <v>1219.74</v>
      </c>
      <c r="I663" s="2">
        <v>0</v>
      </c>
      <c r="J663" s="2" t="s">
        <v>53</v>
      </c>
      <c r="K663" s="2" t="s">
        <v>141</v>
      </c>
      <c r="L663" s="2" t="s">
        <v>49</v>
      </c>
      <c r="M663" s="2" t="str">
        <f t="shared" si="30"/>
        <v>Check</v>
      </c>
      <c r="N663" s="2" t="str">
        <f t="shared" si="31"/>
        <v>Accessories</v>
      </c>
      <c r="O663" s="2" t="str">
        <f t="shared" si="32"/>
        <v>High Stock</v>
      </c>
    </row>
    <row r="664" spans="1:15" x14ac:dyDescent="0.3">
      <c r="A664" s="5">
        <v>45800</v>
      </c>
      <c r="B664" s="2" t="s">
        <v>1711</v>
      </c>
      <c r="C664" s="2" t="s">
        <v>1712</v>
      </c>
      <c r="D664" s="2" t="s">
        <v>63</v>
      </c>
      <c r="E664" s="2" t="s">
        <v>15</v>
      </c>
      <c r="F664" s="2">
        <v>17</v>
      </c>
      <c r="G664" s="7">
        <v>34.25</v>
      </c>
      <c r="H664" s="7">
        <v>582.25</v>
      </c>
      <c r="I664" s="2">
        <v>0</v>
      </c>
      <c r="J664" s="2" t="s">
        <v>16</v>
      </c>
      <c r="K664" s="2" t="s">
        <v>111</v>
      </c>
      <c r="L664" s="2" t="s">
        <v>49</v>
      </c>
      <c r="M664" s="2" t="str">
        <f t="shared" si="30"/>
        <v>Check</v>
      </c>
      <c r="N664" s="2" t="str">
        <f t="shared" si="31"/>
        <v>Peripherals</v>
      </c>
      <c r="O664" s="2" t="str">
        <f t="shared" si="32"/>
        <v>High Stock</v>
      </c>
    </row>
    <row r="665" spans="1:15" x14ac:dyDescent="0.3">
      <c r="A665" s="5">
        <v>46245</v>
      </c>
      <c r="B665" s="2" t="s">
        <v>1713</v>
      </c>
      <c r="C665" s="2" t="s">
        <v>1714</v>
      </c>
      <c r="D665" s="2" t="s">
        <v>95</v>
      </c>
      <c r="E665" s="2" t="s">
        <v>35</v>
      </c>
      <c r="F665" s="2">
        <v>27</v>
      </c>
      <c r="G665" s="7">
        <v>438.77</v>
      </c>
      <c r="H665" s="7">
        <v>11846.79</v>
      </c>
      <c r="I665" s="2">
        <v>0</v>
      </c>
      <c r="J665" s="2" t="s">
        <v>24</v>
      </c>
      <c r="K665" s="2" t="s">
        <v>36</v>
      </c>
      <c r="L665" s="2" t="s">
        <v>27</v>
      </c>
      <c r="M665" s="2" t="str">
        <f t="shared" si="30"/>
        <v>Cash</v>
      </c>
      <c r="N665" s="2" t="str">
        <f t="shared" si="31"/>
        <v>Electronics</v>
      </c>
      <c r="O665" s="2" t="str">
        <f t="shared" si="32"/>
        <v>High Stock</v>
      </c>
    </row>
    <row r="666" spans="1:15" x14ac:dyDescent="0.3">
      <c r="A666" s="5">
        <v>46227</v>
      </c>
      <c r="B666" s="2" t="s">
        <v>1716</v>
      </c>
      <c r="C666" s="2" t="s">
        <v>1717</v>
      </c>
      <c r="D666" s="2" t="s">
        <v>103</v>
      </c>
      <c r="E666" s="2" t="s">
        <v>35</v>
      </c>
      <c r="F666" s="2">
        <v>13</v>
      </c>
      <c r="G666" s="7">
        <v>585.21</v>
      </c>
      <c r="H666" s="7">
        <v>6086.18</v>
      </c>
      <c r="I666" s="2">
        <v>20</v>
      </c>
      <c r="J666" s="2" t="s">
        <v>46</v>
      </c>
      <c r="K666" s="2" t="s">
        <v>47</v>
      </c>
      <c r="L666" s="2" t="s">
        <v>31</v>
      </c>
      <c r="M666" s="2" t="str">
        <f t="shared" si="30"/>
        <v>Credit Card</v>
      </c>
      <c r="N666" s="2" t="str">
        <f t="shared" si="31"/>
        <v>Electronics</v>
      </c>
      <c r="O666" s="2" t="str">
        <f t="shared" si="32"/>
        <v>Low Stock</v>
      </c>
    </row>
    <row r="667" spans="1:15" x14ac:dyDescent="0.3">
      <c r="A667" s="5">
        <v>45759</v>
      </c>
      <c r="B667" s="2" t="s">
        <v>1719</v>
      </c>
      <c r="C667" s="2" t="s">
        <v>710</v>
      </c>
      <c r="D667" s="2" t="s">
        <v>82</v>
      </c>
      <c r="E667" s="2" t="s">
        <v>73</v>
      </c>
      <c r="F667" s="2">
        <v>45</v>
      </c>
      <c r="G667" s="7">
        <v>630.27</v>
      </c>
      <c r="H667" s="7">
        <v>28362.15</v>
      </c>
      <c r="I667" s="2">
        <v>0</v>
      </c>
      <c r="J667" s="2" t="s">
        <v>53</v>
      </c>
      <c r="K667" s="2" t="s">
        <v>134</v>
      </c>
      <c r="L667" s="2" t="s">
        <v>27</v>
      </c>
      <c r="M667" s="2" t="str">
        <f t="shared" si="30"/>
        <v>Cash</v>
      </c>
      <c r="N667" s="2" t="str">
        <f t="shared" si="31"/>
        <v>Furniture</v>
      </c>
      <c r="O667" s="2" t="str">
        <f t="shared" si="32"/>
        <v>High Stock</v>
      </c>
    </row>
    <row r="668" spans="1:15" x14ac:dyDescent="0.3">
      <c r="A668" s="5">
        <v>45767</v>
      </c>
      <c r="B668" s="2" t="s">
        <v>1720</v>
      </c>
      <c r="C668" s="2" t="s">
        <v>1721</v>
      </c>
      <c r="D668" s="2" t="s">
        <v>34</v>
      </c>
      <c r="E668" s="2" t="s">
        <v>35</v>
      </c>
      <c r="F668" s="2">
        <v>46</v>
      </c>
      <c r="G668" s="7">
        <v>670.33</v>
      </c>
      <c r="H668" s="7">
        <v>27751.66</v>
      </c>
      <c r="I668" s="2">
        <v>10</v>
      </c>
      <c r="J668" s="2" t="s">
        <v>46</v>
      </c>
      <c r="K668" s="2" t="s">
        <v>83</v>
      </c>
      <c r="L668" s="2" t="s">
        <v>31</v>
      </c>
      <c r="M668" s="2" t="str">
        <f t="shared" si="30"/>
        <v>Credit Card</v>
      </c>
      <c r="N668" s="2" t="str">
        <f t="shared" si="31"/>
        <v>Electronics</v>
      </c>
      <c r="O668" s="2" t="str">
        <f t="shared" si="32"/>
        <v>High Stock</v>
      </c>
    </row>
    <row r="669" spans="1:15" x14ac:dyDescent="0.3">
      <c r="A669" s="5">
        <v>46153</v>
      </c>
      <c r="B669" s="2" t="s">
        <v>1723</v>
      </c>
      <c r="C669" s="2" t="s">
        <v>1724</v>
      </c>
      <c r="D669" s="2" t="s">
        <v>95</v>
      </c>
      <c r="E669" s="2" t="s">
        <v>35</v>
      </c>
      <c r="F669" s="2">
        <v>8</v>
      </c>
      <c r="G669" s="7">
        <v>223.8</v>
      </c>
      <c r="H669" s="7">
        <v>1790.4</v>
      </c>
      <c r="I669" s="2">
        <v>0</v>
      </c>
      <c r="J669" s="2" t="s">
        <v>24</v>
      </c>
      <c r="K669" s="2" t="s">
        <v>36</v>
      </c>
      <c r="L669" s="2" t="s">
        <v>69</v>
      </c>
      <c r="M669" s="2" t="str">
        <f t="shared" si="30"/>
        <v>Debit Card</v>
      </c>
      <c r="N669" s="2" t="str">
        <f t="shared" si="31"/>
        <v>Electronics</v>
      </c>
      <c r="O669" s="2" t="str">
        <f t="shared" si="32"/>
        <v>Low Stock</v>
      </c>
    </row>
    <row r="670" spans="1:15" x14ac:dyDescent="0.3">
      <c r="A670" s="5">
        <v>46238</v>
      </c>
      <c r="B670" s="2" t="s">
        <v>1725</v>
      </c>
      <c r="C670" s="2" t="s">
        <v>1726</v>
      </c>
      <c r="D670" s="2" t="s">
        <v>45</v>
      </c>
      <c r="E670" s="2" t="s">
        <v>23</v>
      </c>
      <c r="F670" s="2">
        <v>11</v>
      </c>
      <c r="G670" s="7">
        <v>159.22</v>
      </c>
      <c r="H670" s="7">
        <v>1751.42</v>
      </c>
      <c r="I670" s="2">
        <v>0</v>
      </c>
      <c r="J670" s="2" t="s">
        <v>53</v>
      </c>
      <c r="K670" s="2" t="s">
        <v>134</v>
      </c>
      <c r="L670" s="2" t="s">
        <v>69</v>
      </c>
      <c r="M670" s="2" t="str">
        <f t="shared" si="30"/>
        <v>Debit Card</v>
      </c>
      <c r="N670" s="2" t="str">
        <f t="shared" si="31"/>
        <v>Accessories</v>
      </c>
      <c r="O670" s="2" t="str">
        <f t="shared" si="32"/>
        <v>Low Stock</v>
      </c>
    </row>
    <row r="671" spans="1:15" x14ac:dyDescent="0.3">
      <c r="A671" s="5">
        <v>46193</v>
      </c>
      <c r="B671" s="2" t="s">
        <v>1728</v>
      </c>
      <c r="C671" s="2" t="s">
        <v>267</v>
      </c>
      <c r="D671" s="2" t="s">
        <v>40</v>
      </c>
      <c r="E671" s="2" t="s">
        <v>23</v>
      </c>
      <c r="F671" s="2">
        <v>43</v>
      </c>
      <c r="G671" s="7">
        <v>34.44</v>
      </c>
      <c r="H671" s="7">
        <v>1480.92</v>
      </c>
      <c r="I671" s="2">
        <v>0</v>
      </c>
      <c r="J671" s="2" t="s">
        <v>24</v>
      </c>
      <c r="K671" s="2" t="s">
        <v>36</v>
      </c>
      <c r="L671" s="2" t="s">
        <v>31</v>
      </c>
      <c r="M671" s="2" t="str">
        <f t="shared" si="30"/>
        <v>Credit Card</v>
      </c>
      <c r="N671" s="2" t="str">
        <f t="shared" si="31"/>
        <v>Accessories</v>
      </c>
      <c r="O671" s="2" t="str">
        <f t="shared" si="32"/>
        <v>High Stock</v>
      </c>
    </row>
    <row r="672" spans="1:15" x14ac:dyDescent="0.3">
      <c r="A672" s="5">
        <v>46244</v>
      </c>
      <c r="B672" s="2" t="s">
        <v>1730</v>
      </c>
      <c r="C672" s="2" t="s">
        <v>1731</v>
      </c>
      <c r="D672" s="2" t="s">
        <v>82</v>
      </c>
      <c r="E672" s="2" t="s">
        <v>73</v>
      </c>
      <c r="F672" s="2">
        <v>29</v>
      </c>
      <c r="G672" s="7">
        <v>469.02</v>
      </c>
      <c r="H672" s="7">
        <v>13601.58</v>
      </c>
      <c r="I672" s="2">
        <v>0</v>
      </c>
      <c r="J672" s="2" t="s">
        <v>24</v>
      </c>
      <c r="K672" s="2" t="s">
        <v>104</v>
      </c>
      <c r="L672" s="2" t="s">
        <v>69</v>
      </c>
      <c r="M672" s="2" t="str">
        <f t="shared" si="30"/>
        <v>Debit Card</v>
      </c>
      <c r="N672" s="2" t="str">
        <f t="shared" si="31"/>
        <v>Furniture</v>
      </c>
      <c r="O672" s="2" t="str">
        <f t="shared" si="32"/>
        <v>High Stock</v>
      </c>
    </row>
    <row r="673" spans="1:15" x14ac:dyDescent="0.3">
      <c r="A673" s="5">
        <v>46076</v>
      </c>
      <c r="B673" s="2" t="s">
        <v>1732</v>
      </c>
      <c r="C673" s="2" t="s">
        <v>1733</v>
      </c>
      <c r="D673" s="2" t="s">
        <v>22</v>
      </c>
      <c r="E673" s="2" t="s">
        <v>23</v>
      </c>
      <c r="F673" s="2">
        <v>2</v>
      </c>
      <c r="G673" s="7">
        <v>21.65</v>
      </c>
      <c r="H673" s="7">
        <v>38.97</v>
      </c>
      <c r="I673" s="2">
        <v>10</v>
      </c>
      <c r="J673" s="2" t="s">
        <v>16</v>
      </c>
      <c r="K673" s="2" t="s">
        <v>160</v>
      </c>
      <c r="L673" s="2" t="s">
        <v>69</v>
      </c>
      <c r="M673" s="2" t="str">
        <f t="shared" si="30"/>
        <v>Debit Card</v>
      </c>
      <c r="N673" s="2" t="str">
        <f t="shared" si="31"/>
        <v>Accessories</v>
      </c>
      <c r="O673" s="2" t="str">
        <f t="shared" si="32"/>
        <v>Low Stock</v>
      </c>
    </row>
    <row r="674" spans="1:15" x14ac:dyDescent="0.3">
      <c r="A674" s="5">
        <v>46163</v>
      </c>
      <c r="B674" s="2" t="s">
        <v>1734</v>
      </c>
      <c r="C674" s="2" t="s">
        <v>1735</v>
      </c>
      <c r="D674" s="2" t="s">
        <v>72</v>
      </c>
      <c r="E674" s="2" t="s">
        <v>73</v>
      </c>
      <c r="F674" s="2">
        <v>5</v>
      </c>
      <c r="G674" s="7">
        <v>447.85</v>
      </c>
      <c r="H674" s="7">
        <v>2239.25</v>
      </c>
      <c r="I674" s="2">
        <v>0</v>
      </c>
      <c r="J674" s="2" t="s">
        <v>16</v>
      </c>
      <c r="K674" s="2" t="s">
        <v>160</v>
      </c>
      <c r="L674" s="2" t="s">
        <v>49</v>
      </c>
      <c r="M674" s="2" t="str">
        <f t="shared" si="30"/>
        <v>Check</v>
      </c>
      <c r="N674" s="2" t="str">
        <f t="shared" si="31"/>
        <v>Furniture</v>
      </c>
      <c r="O674" s="2" t="str">
        <f t="shared" si="32"/>
        <v>Low Stock</v>
      </c>
    </row>
    <row r="675" spans="1:15" x14ac:dyDescent="0.3">
      <c r="A675" s="5">
        <v>45802</v>
      </c>
      <c r="B675" s="2" t="s">
        <v>1737</v>
      </c>
      <c r="C675" s="2" t="s">
        <v>1738</v>
      </c>
      <c r="D675" s="2" t="s">
        <v>82</v>
      </c>
      <c r="E675" s="2" t="s">
        <v>73</v>
      </c>
      <c r="F675" s="2">
        <v>16</v>
      </c>
      <c r="G675" s="7">
        <v>445.23</v>
      </c>
      <c r="H675" s="7">
        <v>7123.68</v>
      </c>
      <c r="I675" s="2">
        <v>0</v>
      </c>
      <c r="J675" s="2" t="s">
        <v>16</v>
      </c>
      <c r="K675" s="2" t="s">
        <v>74</v>
      </c>
      <c r="L675" s="2" t="s">
        <v>31</v>
      </c>
      <c r="M675" s="2" t="str">
        <f t="shared" si="30"/>
        <v>Credit Card</v>
      </c>
      <c r="N675" s="2" t="str">
        <f t="shared" si="31"/>
        <v>Furniture</v>
      </c>
      <c r="O675" s="2" t="str">
        <f t="shared" si="32"/>
        <v>High Stock</v>
      </c>
    </row>
    <row r="676" spans="1:15" x14ac:dyDescent="0.3">
      <c r="A676" s="5">
        <v>46000</v>
      </c>
      <c r="B676" s="2" t="s">
        <v>1740</v>
      </c>
      <c r="C676" s="2" t="s">
        <v>1741</v>
      </c>
      <c r="D676" s="2" t="s">
        <v>22</v>
      </c>
      <c r="E676" s="2" t="s">
        <v>23</v>
      </c>
      <c r="F676" s="2">
        <v>14</v>
      </c>
      <c r="G676" s="7">
        <v>25.31</v>
      </c>
      <c r="H676" s="7">
        <v>354.34</v>
      </c>
      <c r="I676" s="2">
        <v>0</v>
      </c>
      <c r="J676" s="2" t="s">
        <v>24</v>
      </c>
      <c r="K676" s="2" t="s">
        <v>104</v>
      </c>
      <c r="L676" s="1" t="s">
        <v>2347</v>
      </c>
      <c r="M676" s="1" t="str">
        <f t="shared" si="30"/>
        <v>Online Payment</v>
      </c>
      <c r="N676" s="2" t="str">
        <f t="shared" si="31"/>
        <v>Accessories</v>
      </c>
      <c r="O676" s="1" t="str">
        <f t="shared" si="32"/>
        <v>Low Stock</v>
      </c>
    </row>
    <row r="677" spans="1:15" x14ac:dyDescent="0.3">
      <c r="A677" s="5">
        <v>46194</v>
      </c>
      <c r="B677" s="2" t="s">
        <v>1742</v>
      </c>
      <c r="C677" s="2" t="s">
        <v>1058</v>
      </c>
      <c r="D677" s="2" t="s">
        <v>63</v>
      </c>
      <c r="E677" s="2" t="s">
        <v>15</v>
      </c>
      <c r="F677" s="2">
        <v>28</v>
      </c>
      <c r="G677" s="7">
        <v>53.14</v>
      </c>
      <c r="H677" s="7">
        <v>1487.92</v>
      </c>
      <c r="I677" s="2">
        <v>0</v>
      </c>
      <c r="J677" s="2" t="s">
        <v>53</v>
      </c>
      <c r="K677" s="2" t="s">
        <v>141</v>
      </c>
      <c r="L677" s="2" t="s">
        <v>69</v>
      </c>
      <c r="M677" s="2" t="str">
        <f t="shared" si="30"/>
        <v>Debit Card</v>
      </c>
      <c r="N677" s="2" t="str">
        <f t="shared" si="31"/>
        <v>Peripherals</v>
      </c>
      <c r="O677" s="2" t="str">
        <f t="shared" si="32"/>
        <v>High Stock</v>
      </c>
    </row>
    <row r="678" spans="1:15" x14ac:dyDescent="0.3">
      <c r="A678" s="5">
        <v>46133</v>
      </c>
      <c r="B678" s="2" t="s">
        <v>1743</v>
      </c>
      <c r="C678" s="2" t="s">
        <v>1102</v>
      </c>
      <c r="D678" s="2" t="s">
        <v>95</v>
      </c>
      <c r="E678" s="2" t="s">
        <v>35</v>
      </c>
      <c r="F678" s="2">
        <v>22</v>
      </c>
      <c r="G678" s="7">
        <v>1060.18</v>
      </c>
      <c r="H678" s="7">
        <v>23323.96</v>
      </c>
      <c r="I678" s="2">
        <v>0</v>
      </c>
      <c r="J678" s="2" t="s">
        <v>24</v>
      </c>
      <c r="K678" s="2" t="s">
        <v>59</v>
      </c>
      <c r="L678" s="2" t="s">
        <v>31</v>
      </c>
      <c r="M678" s="2" t="str">
        <f t="shared" si="30"/>
        <v>Credit Card</v>
      </c>
      <c r="N678" s="2" t="str">
        <f t="shared" si="31"/>
        <v>Electronics</v>
      </c>
      <c r="O678" s="2" t="str">
        <f t="shared" si="32"/>
        <v>High Stock</v>
      </c>
    </row>
    <row r="679" spans="1:15" x14ac:dyDescent="0.3">
      <c r="A679" s="5">
        <v>45857</v>
      </c>
      <c r="B679" s="2" t="s">
        <v>1744</v>
      </c>
      <c r="C679" s="2" t="s">
        <v>703</v>
      </c>
      <c r="D679" s="2" t="s">
        <v>45</v>
      </c>
      <c r="E679" s="2" t="s">
        <v>23</v>
      </c>
      <c r="F679" s="2">
        <v>36</v>
      </c>
      <c r="G679" s="7">
        <v>97.3</v>
      </c>
      <c r="H679" s="7">
        <v>3152.52</v>
      </c>
      <c r="I679" s="2">
        <v>10</v>
      </c>
      <c r="J679" s="2" t="s">
        <v>16</v>
      </c>
      <c r="K679" s="2" t="s">
        <v>160</v>
      </c>
      <c r="L679" s="2" t="s">
        <v>69</v>
      </c>
      <c r="M679" s="2" t="str">
        <f t="shared" si="30"/>
        <v>Debit Card</v>
      </c>
      <c r="N679" s="2" t="str">
        <f t="shared" si="31"/>
        <v>Accessories</v>
      </c>
      <c r="O679" s="2" t="str">
        <f t="shared" si="32"/>
        <v>High Stock</v>
      </c>
    </row>
    <row r="680" spans="1:15" x14ac:dyDescent="0.3">
      <c r="A680" s="5">
        <v>46091</v>
      </c>
      <c r="B680" s="2" t="s">
        <v>1745</v>
      </c>
      <c r="C680" s="2" t="s">
        <v>1746</v>
      </c>
      <c r="D680" s="2" t="s">
        <v>63</v>
      </c>
      <c r="E680" s="2" t="s">
        <v>15</v>
      </c>
      <c r="F680" s="2">
        <v>14</v>
      </c>
      <c r="G680" s="7">
        <v>56.99</v>
      </c>
      <c r="H680" s="7">
        <v>757.97</v>
      </c>
      <c r="I680" s="2">
        <v>5</v>
      </c>
      <c r="J680" s="2" t="s">
        <v>46</v>
      </c>
      <c r="K680" s="2" t="s">
        <v>47</v>
      </c>
      <c r="L680" s="1" t="s">
        <v>2347</v>
      </c>
      <c r="M680" s="1" t="str">
        <f t="shared" si="30"/>
        <v>Online Payment</v>
      </c>
      <c r="N680" s="2" t="str">
        <f t="shared" si="31"/>
        <v>Peripherals</v>
      </c>
      <c r="O680" s="1" t="str">
        <f t="shared" si="32"/>
        <v>Low Stock</v>
      </c>
    </row>
    <row r="681" spans="1:15" x14ac:dyDescent="0.3">
      <c r="A681" s="5">
        <v>45578</v>
      </c>
      <c r="B681" s="2" t="s">
        <v>1747</v>
      </c>
      <c r="C681" s="2" t="s">
        <v>1748</v>
      </c>
      <c r="D681" s="2" t="s">
        <v>45</v>
      </c>
      <c r="E681" s="2" t="s">
        <v>23</v>
      </c>
      <c r="F681" s="2">
        <v>5</v>
      </c>
      <c r="G681" s="7">
        <v>34.17</v>
      </c>
      <c r="H681" s="7">
        <v>153.77000000000001</v>
      </c>
      <c r="I681" s="2">
        <v>10</v>
      </c>
      <c r="J681" s="2" t="s">
        <v>24</v>
      </c>
      <c r="K681" s="2" t="s">
        <v>36</v>
      </c>
      <c r="L681" s="2" t="s">
        <v>27</v>
      </c>
      <c r="M681" s="2" t="str">
        <f t="shared" si="30"/>
        <v>Cash</v>
      </c>
      <c r="N681" s="2" t="str">
        <f t="shared" si="31"/>
        <v>Accessories</v>
      </c>
      <c r="O681" s="2" t="str">
        <f t="shared" si="32"/>
        <v>Low Stock</v>
      </c>
    </row>
    <row r="682" spans="1:15" x14ac:dyDescent="0.3">
      <c r="A682" s="5">
        <v>46079</v>
      </c>
      <c r="B682" s="2" t="s">
        <v>1749</v>
      </c>
      <c r="C682" s="2" t="s">
        <v>1750</v>
      </c>
      <c r="D682" s="2" t="s">
        <v>34</v>
      </c>
      <c r="E682" s="2" t="s">
        <v>35</v>
      </c>
      <c r="F682" s="2">
        <v>46</v>
      </c>
      <c r="G682" s="7">
        <v>608.76</v>
      </c>
      <c r="H682" s="7">
        <v>22402.37</v>
      </c>
      <c r="I682" s="2">
        <v>20</v>
      </c>
      <c r="J682" s="2" t="s">
        <v>16</v>
      </c>
      <c r="K682" s="2" t="s">
        <v>74</v>
      </c>
      <c r="L682" s="2" t="s">
        <v>69</v>
      </c>
      <c r="M682" s="2" t="str">
        <f t="shared" si="30"/>
        <v>Debit Card</v>
      </c>
      <c r="N682" s="2" t="str">
        <f t="shared" si="31"/>
        <v>Electronics</v>
      </c>
      <c r="O682" s="2" t="str">
        <f t="shared" si="32"/>
        <v>High Stock</v>
      </c>
    </row>
    <row r="683" spans="1:15" x14ac:dyDescent="0.3">
      <c r="A683" s="5">
        <v>46135</v>
      </c>
      <c r="B683" s="2" t="s">
        <v>1751</v>
      </c>
      <c r="C683" s="2" t="s">
        <v>1752</v>
      </c>
      <c r="D683" s="2" t="s">
        <v>34</v>
      </c>
      <c r="E683" s="2" t="s">
        <v>35</v>
      </c>
      <c r="F683" s="2">
        <v>26</v>
      </c>
      <c r="G683" s="7">
        <v>426.52</v>
      </c>
      <c r="H683" s="7">
        <v>11089.52</v>
      </c>
      <c r="I683" s="2">
        <v>0</v>
      </c>
      <c r="J683" s="2" t="s">
        <v>53</v>
      </c>
      <c r="K683" s="2" t="s">
        <v>54</v>
      </c>
      <c r="L683" s="2" t="s">
        <v>49</v>
      </c>
      <c r="M683" s="2" t="str">
        <f t="shared" si="30"/>
        <v>Check</v>
      </c>
      <c r="N683" s="2" t="str">
        <f t="shared" si="31"/>
        <v>Electronics</v>
      </c>
      <c r="O683" s="2" t="str">
        <f t="shared" si="32"/>
        <v>High Stock</v>
      </c>
    </row>
    <row r="684" spans="1:15" x14ac:dyDescent="0.3">
      <c r="A684" s="5">
        <v>45876</v>
      </c>
      <c r="B684" s="2" t="s">
        <v>1754</v>
      </c>
      <c r="C684" s="2" t="s">
        <v>1755</v>
      </c>
      <c r="D684" s="2" t="s">
        <v>72</v>
      </c>
      <c r="E684" s="2" t="s">
        <v>73</v>
      </c>
      <c r="F684" s="2">
        <v>32</v>
      </c>
      <c r="G684" s="7">
        <v>385</v>
      </c>
      <c r="H684" s="7">
        <v>11088</v>
      </c>
      <c r="I684" s="2">
        <v>10</v>
      </c>
      <c r="J684" s="2" t="s">
        <v>53</v>
      </c>
      <c r="K684" s="2" t="s">
        <v>141</v>
      </c>
      <c r="L684" s="2" t="s">
        <v>27</v>
      </c>
      <c r="M684" s="2" t="str">
        <f t="shared" si="30"/>
        <v>Cash</v>
      </c>
      <c r="N684" s="2" t="str">
        <f t="shared" si="31"/>
        <v>Furniture</v>
      </c>
      <c r="O684" s="2" t="str">
        <f t="shared" si="32"/>
        <v>High Stock</v>
      </c>
    </row>
    <row r="685" spans="1:15" x14ac:dyDescent="0.3">
      <c r="A685" s="5">
        <v>45798</v>
      </c>
      <c r="B685" s="2" t="s">
        <v>1756</v>
      </c>
      <c r="C685" s="2" t="s">
        <v>1757</v>
      </c>
      <c r="D685" s="2" t="s">
        <v>90</v>
      </c>
      <c r="E685" s="2" t="s">
        <v>23</v>
      </c>
      <c r="F685" s="2">
        <v>13</v>
      </c>
      <c r="G685" s="7">
        <v>29.92</v>
      </c>
      <c r="H685" s="7">
        <v>369.51</v>
      </c>
      <c r="I685" s="2">
        <v>5</v>
      </c>
      <c r="J685" s="2" t="s">
        <v>53</v>
      </c>
      <c r="K685" s="2" t="s">
        <v>67</v>
      </c>
      <c r="L685" s="1" t="s">
        <v>2347</v>
      </c>
      <c r="M685" s="1" t="str">
        <f t="shared" si="30"/>
        <v>Online Payment</v>
      </c>
      <c r="N685" s="2" t="str">
        <f t="shared" si="31"/>
        <v>Accessories</v>
      </c>
      <c r="O685" s="1" t="str">
        <f t="shared" si="32"/>
        <v>Low Stock</v>
      </c>
    </row>
    <row r="686" spans="1:15" x14ac:dyDescent="0.3">
      <c r="A686" s="5">
        <v>45871</v>
      </c>
      <c r="B686" s="2" t="s">
        <v>1758</v>
      </c>
      <c r="C686" s="2" t="s">
        <v>1759</v>
      </c>
      <c r="D686" s="2" t="s">
        <v>90</v>
      </c>
      <c r="E686" s="2" t="s">
        <v>23</v>
      </c>
      <c r="F686" s="2">
        <v>20</v>
      </c>
      <c r="G686" s="7">
        <v>27.13</v>
      </c>
      <c r="H686" s="7">
        <v>461.21</v>
      </c>
      <c r="I686" s="2">
        <v>15</v>
      </c>
      <c r="J686" s="2" t="s">
        <v>16</v>
      </c>
      <c r="K686" s="2" t="s">
        <v>17</v>
      </c>
      <c r="L686" s="2" t="s">
        <v>69</v>
      </c>
      <c r="M686" s="2" t="str">
        <f t="shared" si="30"/>
        <v>Debit Card</v>
      </c>
      <c r="N686" s="2" t="str">
        <f t="shared" si="31"/>
        <v>Accessories</v>
      </c>
      <c r="O686" s="2" t="str">
        <f t="shared" si="32"/>
        <v>High Stock</v>
      </c>
    </row>
    <row r="687" spans="1:15" x14ac:dyDescent="0.3">
      <c r="A687" s="5">
        <v>45748</v>
      </c>
      <c r="B687" s="2" t="s">
        <v>1760</v>
      </c>
      <c r="C687" s="2" t="s">
        <v>705</v>
      </c>
      <c r="D687" s="2" t="s">
        <v>22</v>
      </c>
      <c r="E687" s="2" t="s">
        <v>23</v>
      </c>
      <c r="F687" s="2">
        <v>31</v>
      </c>
      <c r="G687" s="7">
        <v>20.48</v>
      </c>
      <c r="H687" s="7">
        <v>603.14</v>
      </c>
      <c r="I687" s="2">
        <v>5</v>
      </c>
      <c r="J687" s="2" t="s">
        <v>46</v>
      </c>
      <c r="K687" s="2" t="s">
        <v>124</v>
      </c>
      <c r="L687" s="2" t="s">
        <v>69</v>
      </c>
      <c r="M687" s="2" t="str">
        <f t="shared" si="30"/>
        <v>Debit Card</v>
      </c>
      <c r="N687" s="2" t="str">
        <f t="shared" si="31"/>
        <v>Accessories</v>
      </c>
      <c r="O687" s="2" t="str">
        <f t="shared" si="32"/>
        <v>High Stock</v>
      </c>
    </row>
    <row r="688" spans="1:15" x14ac:dyDescent="0.3">
      <c r="A688" s="5">
        <v>46243</v>
      </c>
      <c r="B688" s="2" t="s">
        <v>1761</v>
      </c>
      <c r="C688" s="2" t="s">
        <v>1762</v>
      </c>
      <c r="D688" s="2" t="s">
        <v>95</v>
      </c>
      <c r="E688" s="2" t="s">
        <v>35</v>
      </c>
      <c r="F688" s="2">
        <v>33</v>
      </c>
      <c r="G688" s="7">
        <v>495.95</v>
      </c>
      <c r="H688" s="7">
        <v>16366.35</v>
      </c>
      <c r="I688" s="2">
        <v>0</v>
      </c>
      <c r="J688" s="2" t="s">
        <v>46</v>
      </c>
      <c r="K688" s="2" t="s">
        <v>124</v>
      </c>
      <c r="L688" s="2" t="s">
        <v>49</v>
      </c>
      <c r="M688" s="2" t="str">
        <f t="shared" si="30"/>
        <v>Check</v>
      </c>
      <c r="N688" s="2" t="str">
        <f t="shared" si="31"/>
        <v>Electronics</v>
      </c>
      <c r="O688" s="2" t="str">
        <f t="shared" si="32"/>
        <v>High Stock</v>
      </c>
    </row>
    <row r="689" spans="1:15" x14ac:dyDescent="0.3">
      <c r="A689" s="5">
        <v>46040</v>
      </c>
      <c r="B689" s="2" t="s">
        <v>1763</v>
      </c>
      <c r="C689" s="2" t="s">
        <v>1764</v>
      </c>
      <c r="D689" s="2" t="s">
        <v>40</v>
      </c>
      <c r="E689" s="2" t="s">
        <v>23</v>
      </c>
      <c r="F689" s="2">
        <v>30</v>
      </c>
      <c r="G689" s="7">
        <v>53.53</v>
      </c>
      <c r="H689" s="7">
        <v>1605.9</v>
      </c>
      <c r="I689" s="2">
        <v>0</v>
      </c>
      <c r="J689" s="2" t="s">
        <v>46</v>
      </c>
      <c r="K689" s="2" t="s">
        <v>244</v>
      </c>
      <c r="L689" s="2" t="s">
        <v>27</v>
      </c>
      <c r="M689" s="2" t="str">
        <f t="shared" si="30"/>
        <v>Cash</v>
      </c>
      <c r="N689" s="2" t="str">
        <f t="shared" si="31"/>
        <v>Accessories</v>
      </c>
      <c r="O689" s="2" t="str">
        <f t="shared" si="32"/>
        <v>High Stock</v>
      </c>
    </row>
    <row r="690" spans="1:15" x14ac:dyDescent="0.3">
      <c r="A690" s="5">
        <v>45612</v>
      </c>
      <c r="B690" s="2" t="s">
        <v>1765</v>
      </c>
      <c r="C690" s="2" t="s">
        <v>1056</v>
      </c>
      <c r="D690" s="2" t="s">
        <v>34</v>
      </c>
      <c r="E690" s="2" t="s">
        <v>35</v>
      </c>
      <c r="F690" s="2">
        <v>26</v>
      </c>
      <c r="G690" s="7">
        <v>587.47</v>
      </c>
      <c r="H690" s="7">
        <v>15274.22</v>
      </c>
      <c r="I690" s="2">
        <v>0</v>
      </c>
      <c r="J690" s="2" t="s">
        <v>24</v>
      </c>
      <c r="K690" s="2" t="s">
        <v>25</v>
      </c>
      <c r="L690" s="1" t="s">
        <v>2347</v>
      </c>
      <c r="M690" s="1" t="str">
        <f t="shared" si="30"/>
        <v>Online Payment</v>
      </c>
      <c r="N690" s="2" t="str">
        <f t="shared" si="31"/>
        <v>Electronics</v>
      </c>
      <c r="O690" s="1" t="str">
        <f t="shared" si="32"/>
        <v>High Stock</v>
      </c>
    </row>
    <row r="691" spans="1:15" x14ac:dyDescent="0.3">
      <c r="A691" s="5">
        <v>46007</v>
      </c>
      <c r="B691" s="2" t="s">
        <v>1766</v>
      </c>
      <c r="C691" s="2" t="s">
        <v>1767</v>
      </c>
      <c r="D691" s="2" t="s">
        <v>63</v>
      </c>
      <c r="E691" s="2" t="s">
        <v>15</v>
      </c>
      <c r="F691" s="2">
        <v>34</v>
      </c>
      <c r="G691" s="7">
        <v>67.02</v>
      </c>
      <c r="H691" s="7">
        <v>1936.88</v>
      </c>
      <c r="I691" s="2">
        <v>15</v>
      </c>
      <c r="J691" s="2" t="s">
        <v>46</v>
      </c>
      <c r="K691" s="2" t="s">
        <v>124</v>
      </c>
      <c r="L691" s="2" t="s">
        <v>31</v>
      </c>
      <c r="M691" s="2" t="str">
        <f t="shared" si="30"/>
        <v>Credit Card</v>
      </c>
      <c r="N691" s="2" t="str">
        <f t="shared" si="31"/>
        <v>Peripherals</v>
      </c>
      <c r="O691" s="2" t="str">
        <f t="shared" si="32"/>
        <v>High Stock</v>
      </c>
    </row>
    <row r="692" spans="1:15" x14ac:dyDescent="0.3">
      <c r="A692" s="5">
        <v>46135</v>
      </c>
      <c r="B692" s="2" t="s">
        <v>1769</v>
      </c>
      <c r="C692" s="2" t="s">
        <v>1770</v>
      </c>
      <c r="D692" s="2" t="s">
        <v>22</v>
      </c>
      <c r="E692" s="2" t="s">
        <v>23</v>
      </c>
      <c r="F692" s="2">
        <v>20</v>
      </c>
      <c r="G692" s="7">
        <v>37.33</v>
      </c>
      <c r="H692" s="7">
        <v>671.94</v>
      </c>
      <c r="I692" s="2">
        <v>10</v>
      </c>
      <c r="J692" s="2" t="s">
        <v>46</v>
      </c>
      <c r="K692" s="2" t="s">
        <v>47</v>
      </c>
      <c r="L692" s="2" t="s">
        <v>27</v>
      </c>
      <c r="M692" s="2" t="str">
        <f t="shared" si="30"/>
        <v>Cash</v>
      </c>
      <c r="N692" s="2" t="str">
        <f t="shared" si="31"/>
        <v>Accessories</v>
      </c>
      <c r="O692" s="2" t="str">
        <f t="shared" si="32"/>
        <v>High Stock</v>
      </c>
    </row>
    <row r="693" spans="1:15" x14ac:dyDescent="0.3">
      <c r="A693" s="5">
        <v>45669</v>
      </c>
      <c r="B693" s="2" t="s">
        <v>1771</v>
      </c>
      <c r="C693" s="2" t="s">
        <v>1772</v>
      </c>
      <c r="D693" s="2" t="s">
        <v>95</v>
      </c>
      <c r="E693" s="2" t="s">
        <v>35</v>
      </c>
      <c r="F693" s="2">
        <v>34</v>
      </c>
      <c r="G693" s="7">
        <v>248.44</v>
      </c>
      <c r="H693" s="7">
        <v>7602.26</v>
      </c>
      <c r="I693" s="2">
        <v>10</v>
      </c>
      <c r="J693" s="2" t="s">
        <v>53</v>
      </c>
      <c r="K693" s="2" t="s">
        <v>54</v>
      </c>
      <c r="L693" s="2" t="s">
        <v>31</v>
      </c>
      <c r="M693" s="2" t="str">
        <f t="shared" si="30"/>
        <v>Credit Card</v>
      </c>
      <c r="N693" s="2" t="str">
        <f t="shared" si="31"/>
        <v>Electronics</v>
      </c>
      <c r="O693" s="2" t="str">
        <f t="shared" si="32"/>
        <v>High Stock</v>
      </c>
    </row>
    <row r="694" spans="1:15" x14ac:dyDescent="0.3">
      <c r="A694" s="5">
        <v>45732</v>
      </c>
      <c r="B694" s="2" t="s">
        <v>1773</v>
      </c>
      <c r="C694" s="2" t="s">
        <v>1774</v>
      </c>
      <c r="D694" s="2" t="s">
        <v>123</v>
      </c>
      <c r="E694" s="2" t="s">
        <v>15</v>
      </c>
      <c r="F694" s="2">
        <v>5</v>
      </c>
      <c r="G694" s="7">
        <v>24.69</v>
      </c>
      <c r="H694" s="7">
        <v>98.76</v>
      </c>
      <c r="I694" s="2">
        <v>20</v>
      </c>
      <c r="J694" s="2" t="s">
        <v>16</v>
      </c>
      <c r="K694" s="2" t="s">
        <v>74</v>
      </c>
      <c r="L694" s="2" t="s">
        <v>69</v>
      </c>
      <c r="M694" s="2" t="str">
        <f t="shared" si="30"/>
        <v>Debit Card</v>
      </c>
      <c r="N694" s="2" t="str">
        <f t="shared" si="31"/>
        <v>Peripherals</v>
      </c>
      <c r="O694" s="2" t="str">
        <f t="shared" si="32"/>
        <v>Low Stock</v>
      </c>
    </row>
    <row r="695" spans="1:15" x14ac:dyDescent="0.3">
      <c r="A695" s="5">
        <v>45848</v>
      </c>
      <c r="B695" s="2" t="s">
        <v>1775</v>
      </c>
      <c r="C695" s="2" t="s">
        <v>1776</v>
      </c>
      <c r="D695" s="2" t="s">
        <v>40</v>
      </c>
      <c r="E695" s="2" t="s">
        <v>23</v>
      </c>
      <c r="F695" s="2">
        <v>11</v>
      </c>
      <c r="G695" s="7">
        <v>31.37</v>
      </c>
      <c r="H695" s="7">
        <v>345.07</v>
      </c>
      <c r="I695" s="2">
        <v>0</v>
      </c>
      <c r="J695" s="2" t="s">
        <v>24</v>
      </c>
      <c r="K695" s="2" t="s">
        <v>104</v>
      </c>
      <c r="L695" s="2" t="s">
        <v>27</v>
      </c>
      <c r="M695" s="2" t="str">
        <f t="shared" si="30"/>
        <v>Cash</v>
      </c>
      <c r="N695" s="2" t="str">
        <f t="shared" si="31"/>
        <v>Accessories</v>
      </c>
      <c r="O695" s="2" t="str">
        <f t="shared" si="32"/>
        <v>Low Stock</v>
      </c>
    </row>
    <row r="696" spans="1:15" x14ac:dyDescent="0.3">
      <c r="A696" s="5">
        <v>45678</v>
      </c>
      <c r="B696" s="2" t="s">
        <v>1777</v>
      </c>
      <c r="C696" s="2" t="s">
        <v>1778</v>
      </c>
      <c r="D696" s="2" t="s">
        <v>95</v>
      </c>
      <c r="E696" s="2" t="s">
        <v>35</v>
      </c>
      <c r="F696" s="2">
        <v>23</v>
      </c>
      <c r="G696" s="7">
        <v>882.01</v>
      </c>
      <c r="H696" s="7">
        <v>18257.61</v>
      </c>
      <c r="I696" s="2">
        <v>10</v>
      </c>
      <c r="J696" s="2" t="s">
        <v>46</v>
      </c>
      <c r="K696" s="2" t="s">
        <v>244</v>
      </c>
      <c r="L696" s="2" t="s">
        <v>69</v>
      </c>
      <c r="M696" s="2" t="str">
        <f t="shared" si="30"/>
        <v>Debit Card</v>
      </c>
      <c r="N696" s="2" t="str">
        <f t="shared" si="31"/>
        <v>Electronics</v>
      </c>
      <c r="O696" s="2" t="str">
        <f t="shared" si="32"/>
        <v>High Stock</v>
      </c>
    </row>
    <row r="697" spans="1:15" x14ac:dyDescent="0.3">
      <c r="A697" s="5">
        <v>46040</v>
      </c>
      <c r="B697" s="2" t="s">
        <v>1779</v>
      </c>
      <c r="C697" s="2" t="s">
        <v>932</v>
      </c>
      <c r="D697" s="2" t="s">
        <v>14</v>
      </c>
      <c r="E697" s="2" t="s">
        <v>15</v>
      </c>
      <c r="F697" s="2">
        <v>1</v>
      </c>
      <c r="G697" s="7">
        <v>62.8</v>
      </c>
      <c r="H697" s="7">
        <v>59.66</v>
      </c>
      <c r="I697" s="2">
        <v>5</v>
      </c>
      <c r="J697" s="2" t="s">
        <v>16</v>
      </c>
      <c r="K697" s="2" t="s">
        <v>111</v>
      </c>
      <c r="L697" s="2" t="s">
        <v>27</v>
      </c>
      <c r="M697" s="2" t="str">
        <f t="shared" si="30"/>
        <v>Cash</v>
      </c>
      <c r="N697" s="2" t="str">
        <f t="shared" si="31"/>
        <v>Peripherals</v>
      </c>
      <c r="O697" s="2" t="str">
        <f t="shared" si="32"/>
        <v>Low Stock</v>
      </c>
    </row>
    <row r="698" spans="1:15" x14ac:dyDescent="0.3">
      <c r="A698" s="5">
        <v>45576</v>
      </c>
      <c r="B698" s="2" t="s">
        <v>1780</v>
      </c>
      <c r="C698" s="2" t="s">
        <v>1642</v>
      </c>
      <c r="D698" s="2" t="s">
        <v>40</v>
      </c>
      <c r="E698" s="2" t="s">
        <v>23</v>
      </c>
      <c r="F698" s="2">
        <v>17</v>
      </c>
      <c r="G698" s="7">
        <v>75.599999999999994</v>
      </c>
      <c r="H698" s="7">
        <v>1285.2</v>
      </c>
      <c r="I698" s="2">
        <v>0</v>
      </c>
      <c r="J698" s="2" t="s">
        <v>16</v>
      </c>
      <c r="K698" s="2" t="s">
        <v>74</v>
      </c>
      <c r="L698" s="2" t="s">
        <v>31</v>
      </c>
      <c r="M698" s="2" t="str">
        <f t="shared" si="30"/>
        <v>Credit Card</v>
      </c>
      <c r="N698" s="2" t="str">
        <f t="shared" si="31"/>
        <v>Accessories</v>
      </c>
      <c r="O698" s="2" t="str">
        <f t="shared" si="32"/>
        <v>High Stock</v>
      </c>
    </row>
    <row r="699" spans="1:15" x14ac:dyDescent="0.3">
      <c r="A699" s="5">
        <v>46294</v>
      </c>
      <c r="B699" s="2" t="s">
        <v>1782</v>
      </c>
      <c r="C699" s="2" t="s">
        <v>1525</v>
      </c>
      <c r="D699" s="2" t="s">
        <v>82</v>
      </c>
      <c r="E699" s="2" t="s">
        <v>73</v>
      </c>
      <c r="F699" s="2">
        <v>33</v>
      </c>
      <c r="G699" s="7">
        <v>486.25</v>
      </c>
      <c r="H699" s="7">
        <v>14441.63</v>
      </c>
      <c r="I699" s="2">
        <v>10</v>
      </c>
      <c r="J699" s="2" t="s">
        <v>53</v>
      </c>
      <c r="K699" s="2" t="s">
        <v>54</v>
      </c>
      <c r="L699" s="2" t="s">
        <v>31</v>
      </c>
      <c r="M699" s="2" t="str">
        <f t="shared" si="30"/>
        <v>Credit Card</v>
      </c>
      <c r="N699" s="2" t="str">
        <f t="shared" si="31"/>
        <v>Furniture</v>
      </c>
      <c r="O699" s="2" t="str">
        <f t="shared" si="32"/>
        <v>High Stock</v>
      </c>
    </row>
    <row r="700" spans="1:15" x14ac:dyDescent="0.3">
      <c r="A700" s="5">
        <v>46086</v>
      </c>
      <c r="B700" s="2" t="s">
        <v>1783</v>
      </c>
      <c r="C700" s="2" t="s">
        <v>1784</v>
      </c>
      <c r="D700" s="2" t="s">
        <v>52</v>
      </c>
      <c r="E700" s="2" t="s">
        <v>35</v>
      </c>
      <c r="F700" s="2">
        <v>19</v>
      </c>
      <c r="G700" s="7">
        <v>144.79</v>
      </c>
      <c r="H700" s="7">
        <v>2751.01</v>
      </c>
      <c r="I700" s="2">
        <v>0</v>
      </c>
      <c r="J700" s="2" t="s">
        <v>24</v>
      </c>
      <c r="K700" s="2" t="s">
        <v>59</v>
      </c>
      <c r="L700" s="2" t="s">
        <v>31</v>
      </c>
      <c r="M700" s="2" t="str">
        <f t="shared" si="30"/>
        <v>Credit Card</v>
      </c>
      <c r="N700" s="2" t="str">
        <f t="shared" si="31"/>
        <v>Electronics</v>
      </c>
      <c r="O700" s="2" t="str">
        <f t="shared" si="32"/>
        <v>High Stock</v>
      </c>
    </row>
    <row r="701" spans="1:15" x14ac:dyDescent="0.3">
      <c r="A701" s="5">
        <v>45729</v>
      </c>
      <c r="B701" s="2" t="s">
        <v>1786</v>
      </c>
      <c r="C701" s="2" t="s">
        <v>1642</v>
      </c>
      <c r="D701" s="2" t="s">
        <v>82</v>
      </c>
      <c r="E701" s="2" t="s">
        <v>73</v>
      </c>
      <c r="F701" s="2">
        <v>19</v>
      </c>
      <c r="G701" s="7">
        <v>654.32000000000005</v>
      </c>
      <c r="H701" s="7">
        <v>9945.66</v>
      </c>
      <c r="I701" s="2">
        <v>20</v>
      </c>
      <c r="J701" s="2" t="s">
        <v>46</v>
      </c>
      <c r="K701" s="2" t="s">
        <v>47</v>
      </c>
      <c r="L701" s="1" t="s">
        <v>2347</v>
      </c>
      <c r="M701" s="1" t="str">
        <f t="shared" si="30"/>
        <v>Online Payment</v>
      </c>
      <c r="N701" s="2" t="str">
        <f t="shared" si="31"/>
        <v>Furniture</v>
      </c>
      <c r="O701" s="1" t="str">
        <f t="shared" si="32"/>
        <v>High Stock</v>
      </c>
    </row>
    <row r="702" spans="1:15" x14ac:dyDescent="0.3">
      <c r="A702" s="5">
        <v>46016</v>
      </c>
      <c r="B702" s="2" t="s">
        <v>1787</v>
      </c>
      <c r="C702" s="2" t="s">
        <v>1788</v>
      </c>
      <c r="D702" s="2" t="s">
        <v>40</v>
      </c>
      <c r="E702" s="2" t="s">
        <v>23</v>
      </c>
      <c r="F702" s="2">
        <v>41</v>
      </c>
      <c r="G702" s="7">
        <v>50.85</v>
      </c>
      <c r="H702" s="7">
        <v>1876.37</v>
      </c>
      <c r="I702" s="2">
        <v>10</v>
      </c>
      <c r="J702" s="2" t="s">
        <v>16</v>
      </c>
      <c r="K702" s="2" t="s">
        <v>74</v>
      </c>
      <c r="L702" s="2" t="s">
        <v>69</v>
      </c>
      <c r="M702" s="2" t="str">
        <f t="shared" si="30"/>
        <v>Debit Card</v>
      </c>
      <c r="N702" s="2" t="str">
        <f t="shared" si="31"/>
        <v>Accessories</v>
      </c>
      <c r="O702" s="2" t="str">
        <f t="shared" si="32"/>
        <v>High Stock</v>
      </c>
    </row>
    <row r="703" spans="1:15" x14ac:dyDescent="0.3">
      <c r="A703" s="5">
        <v>45893</v>
      </c>
      <c r="B703" s="2" t="s">
        <v>1789</v>
      </c>
      <c r="C703" s="2" t="s">
        <v>1790</v>
      </c>
      <c r="D703" s="2" t="s">
        <v>40</v>
      </c>
      <c r="E703" s="2" t="s">
        <v>23</v>
      </c>
      <c r="F703" s="2">
        <v>39</v>
      </c>
      <c r="G703" s="7">
        <v>36.270000000000003</v>
      </c>
      <c r="H703" s="7">
        <v>1414.53</v>
      </c>
      <c r="I703" s="2">
        <v>0</v>
      </c>
      <c r="J703" s="2" t="s">
        <v>24</v>
      </c>
      <c r="K703" s="2" t="s">
        <v>59</v>
      </c>
      <c r="L703" s="2" t="s">
        <v>69</v>
      </c>
      <c r="M703" s="2" t="str">
        <f t="shared" si="30"/>
        <v>Debit Card</v>
      </c>
      <c r="N703" s="2" t="str">
        <f t="shared" si="31"/>
        <v>Accessories</v>
      </c>
      <c r="O703" s="2" t="str">
        <f t="shared" si="32"/>
        <v>High Stock</v>
      </c>
    </row>
    <row r="704" spans="1:15" x14ac:dyDescent="0.3">
      <c r="A704" s="5">
        <v>46094</v>
      </c>
      <c r="B704" s="2" t="s">
        <v>1792</v>
      </c>
      <c r="C704" s="2" t="s">
        <v>1793</v>
      </c>
      <c r="D704" s="2" t="s">
        <v>45</v>
      </c>
      <c r="E704" s="2" t="s">
        <v>23</v>
      </c>
      <c r="F704" s="2">
        <v>21</v>
      </c>
      <c r="G704" s="7">
        <v>43.16</v>
      </c>
      <c r="H704" s="7">
        <v>906.36</v>
      </c>
      <c r="I704" s="2">
        <v>0</v>
      </c>
      <c r="J704" s="2" t="s">
        <v>16</v>
      </c>
      <c r="K704" s="2" t="s">
        <v>160</v>
      </c>
      <c r="L704" s="2" t="s">
        <v>69</v>
      </c>
      <c r="M704" s="2" t="str">
        <f t="shared" si="30"/>
        <v>Debit Card</v>
      </c>
      <c r="N704" s="2" t="str">
        <f t="shared" si="31"/>
        <v>Accessories</v>
      </c>
      <c r="O704" s="2" t="str">
        <f t="shared" si="32"/>
        <v>High Stock</v>
      </c>
    </row>
    <row r="705" spans="1:15" x14ac:dyDescent="0.3">
      <c r="A705" s="5">
        <v>45942</v>
      </c>
      <c r="B705" s="2" t="s">
        <v>1794</v>
      </c>
      <c r="C705" s="2" t="s">
        <v>707</v>
      </c>
      <c r="D705" s="2" t="s">
        <v>52</v>
      </c>
      <c r="E705" s="2" t="s">
        <v>35</v>
      </c>
      <c r="F705" s="2">
        <v>47</v>
      </c>
      <c r="G705" s="7">
        <v>309.42</v>
      </c>
      <c r="H705" s="7">
        <v>12361.33</v>
      </c>
      <c r="I705" s="2">
        <v>15</v>
      </c>
      <c r="J705" s="2" t="s">
        <v>24</v>
      </c>
      <c r="K705" s="2" t="s">
        <v>41</v>
      </c>
      <c r="L705" s="2" t="s">
        <v>31</v>
      </c>
      <c r="M705" s="2" t="str">
        <f t="shared" si="30"/>
        <v>Credit Card</v>
      </c>
      <c r="N705" s="2" t="str">
        <f t="shared" si="31"/>
        <v>Electronics</v>
      </c>
      <c r="O705" s="2" t="str">
        <f t="shared" si="32"/>
        <v>High Stock</v>
      </c>
    </row>
    <row r="706" spans="1:15" x14ac:dyDescent="0.3">
      <c r="A706" s="5">
        <v>45680</v>
      </c>
      <c r="B706" s="2" t="s">
        <v>1796</v>
      </c>
      <c r="C706" s="2" t="s">
        <v>1797</v>
      </c>
      <c r="D706" s="2" t="s">
        <v>95</v>
      </c>
      <c r="E706" s="2" t="s">
        <v>35</v>
      </c>
      <c r="F706" s="2">
        <v>46</v>
      </c>
      <c r="G706" s="7">
        <v>447.59</v>
      </c>
      <c r="H706" s="7">
        <v>19559.68</v>
      </c>
      <c r="I706" s="2">
        <v>5</v>
      </c>
      <c r="J706" s="2" t="s">
        <v>16</v>
      </c>
      <c r="K706" s="2" t="s">
        <v>74</v>
      </c>
      <c r="L706" s="2" t="s">
        <v>31</v>
      </c>
      <c r="M706" s="2" t="str">
        <f t="shared" si="30"/>
        <v>Credit Card</v>
      </c>
      <c r="N706" s="2" t="str">
        <f t="shared" si="31"/>
        <v>Electronics</v>
      </c>
      <c r="O706" s="2" t="str">
        <f t="shared" si="32"/>
        <v>High Stock</v>
      </c>
    </row>
    <row r="707" spans="1:15" x14ac:dyDescent="0.3">
      <c r="A707" s="5">
        <v>46056</v>
      </c>
      <c r="B707" s="2" t="s">
        <v>1798</v>
      </c>
      <c r="C707" s="2" t="s">
        <v>1799</v>
      </c>
      <c r="D707" s="2" t="s">
        <v>63</v>
      </c>
      <c r="E707" s="2" t="s">
        <v>15</v>
      </c>
      <c r="F707" s="2">
        <v>38</v>
      </c>
      <c r="G707" s="7">
        <v>34.840000000000003</v>
      </c>
      <c r="H707" s="7">
        <v>1257.72</v>
      </c>
      <c r="I707" s="2">
        <v>5</v>
      </c>
      <c r="J707" s="2" t="s">
        <v>46</v>
      </c>
      <c r="K707" s="2" t="s">
        <v>244</v>
      </c>
      <c r="L707" s="2" t="s">
        <v>49</v>
      </c>
      <c r="M707" s="2" t="str">
        <f t="shared" ref="M707:M770" si="33">TRIM(L707)</f>
        <v>Check</v>
      </c>
      <c r="N707" s="2" t="str">
        <f t="shared" ref="N707:N770" si="34">PROPER(E707)</f>
        <v>Peripherals</v>
      </c>
      <c r="O707" s="2" t="str">
        <f t="shared" ref="O707:O770" si="35">IF(F707&gt;15,"High Stock","Low Stock")</f>
        <v>High Stock</v>
      </c>
    </row>
    <row r="708" spans="1:15" x14ac:dyDescent="0.3">
      <c r="A708" s="5">
        <v>45778</v>
      </c>
      <c r="B708" s="2" t="s">
        <v>1801</v>
      </c>
      <c r="C708" s="2" t="s">
        <v>1802</v>
      </c>
      <c r="D708" s="2" t="s">
        <v>34</v>
      </c>
      <c r="E708" s="2" t="s">
        <v>35</v>
      </c>
      <c r="F708" s="2">
        <v>5</v>
      </c>
      <c r="G708" s="7">
        <v>727.36</v>
      </c>
      <c r="H708" s="7">
        <v>3091.28</v>
      </c>
      <c r="I708" s="2">
        <v>15</v>
      </c>
      <c r="J708" s="2" t="s">
        <v>24</v>
      </c>
      <c r="K708" s="2" t="s">
        <v>41</v>
      </c>
      <c r="L708" s="1" t="s">
        <v>2347</v>
      </c>
      <c r="M708" s="1" t="str">
        <f t="shared" si="33"/>
        <v>Online Payment</v>
      </c>
      <c r="N708" s="2" t="str">
        <f t="shared" si="34"/>
        <v>Electronics</v>
      </c>
      <c r="O708" s="1" t="str">
        <f t="shared" si="35"/>
        <v>Low Stock</v>
      </c>
    </row>
    <row r="709" spans="1:15" x14ac:dyDescent="0.3">
      <c r="A709" s="5">
        <v>46162</v>
      </c>
      <c r="B709" s="2" t="s">
        <v>1803</v>
      </c>
      <c r="C709" s="2" t="s">
        <v>966</v>
      </c>
      <c r="D709" s="2" t="s">
        <v>99</v>
      </c>
      <c r="E709" s="2" t="s">
        <v>23</v>
      </c>
      <c r="F709" s="2">
        <v>33</v>
      </c>
      <c r="G709" s="7">
        <v>18.670000000000002</v>
      </c>
      <c r="H709" s="7">
        <v>616.11</v>
      </c>
      <c r="I709" s="2">
        <v>0</v>
      </c>
      <c r="J709" s="2" t="s">
        <v>16</v>
      </c>
      <c r="K709" s="2" t="s">
        <v>111</v>
      </c>
      <c r="L709" s="2" t="s">
        <v>49</v>
      </c>
      <c r="M709" s="2" t="str">
        <f t="shared" si="33"/>
        <v>Check</v>
      </c>
      <c r="N709" s="2" t="str">
        <f t="shared" si="34"/>
        <v>Accessories</v>
      </c>
      <c r="O709" s="2" t="str">
        <f t="shared" si="35"/>
        <v>High Stock</v>
      </c>
    </row>
    <row r="710" spans="1:15" x14ac:dyDescent="0.3">
      <c r="A710" s="5">
        <v>46106</v>
      </c>
      <c r="B710" s="2" t="s">
        <v>1805</v>
      </c>
      <c r="C710" s="2" t="s">
        <v>1177</v>
      </c>
      <c r="D710" s="2" t="s">
        <v>52</v>
      </c>
      <c r="E710" s="2" t="s">
        <v>35</v>
      </c>
      <c r="F710" s="2">
        <v>8</v>
      </c>
      <c r="G710" s="7">
        <v>308.27</v>
      </c>
      <c r="H710" s="7">
        <v>2219.54</v>
      </c>
      <c r="I710" s="2">
        <v>10</v>
      </c>
      <c r="J710" s="2" t="s">
        <v>24</v>
      </c>
      <c r="K710" s="2" t="s">
        <v>25</v>
      </c>
      <c r="L710" s="1" t="s">
        <v>2347</v>
      </c>
      <c r="M710" s="1" t="str">
        <f t="shared" si="33"/>
        <v>Online Payment</v>
      </c>
      <c r="N710" s="2" t="str">
        <f t="shared" si="34"/>
        <v>Electronics</v>
      </c>
      <c r="O710" s="1" t="str">
        <f t="shared" si="35"/>
        <v>Low Stock</v>
      </c>
    </row>
    <row r="711" spans="1:15" x14ac:dyDescent="0.3">
      <c r="A711" s="5">
        <v>46162</v>
      </c>
      <c r="B711" s="2" t="s">
        <v>1806</v>
      </c>
      <c r="C711" s="2" t="s">
        <v>1807</v>
      </c>
      <c r="D711" s="2" t="s">
        <v>34</v>
      </c>
      <c r="E711" s="2" t="s">
        <v>35</v>
      </c>
      <c r="F711" s="2">
        <v>44</v>
      </c>
      <c r="G711" s="7">
        <v>668.31</v>
      </c>
      <c r="H711" s="7">
        <v>24994.79</v>
      </c>
      <c r="I711" s="2">
        <v>15</v>
      </c>
      <c r="J711" s="2" t="s">
        <v>16</v>
      </c>
      <c r="K711" s="2" t="s">
        <v>17</v>
      </c>
      <c r="L711" s="2" t="s">
        <v>31</v>
      </c>
      <c r="M711" s="2" t="str">
        <f t="shared" si="33"/>
        <v>Credit Card</v>
      </c>
      <c r="N711" s="2" t="str">
        <f t="shared" si="34"/>
        <v>Electronics</v>
      </c>
      <c r="O711" s="2" t="str">
        <f t="shared" si="35"/>
        <v>High Stock</v>
      </c>
    </row>
    <row r="712" spans="1:15" x14ac:dyDescent="0.3">
      <c r="A712" s="5">
        <v>45702</v>
      </c>
      <c r="B712" s="2" t="s">
        <v>1808</v>
      </c>
      <c r="C712" s="2" t="s">
        <v>841</v>
      </c>
      <c r="D712" s="2" t="s">
        <v>123</v>
      </c>
      <c r="E712" s="2" t="s">
        <v>15</v>
      </c>
      <c r="F712" s="2">
        <v>27</v>
      </c>
      <c r="G712" s="7">
        <v>15.98</v>
      </c>
      <c r="H712" s="7">
        <v>431.46</v>
      </c>
      <c r="I712" s="2">
        <v>0</v>
      </c>
      <c r="J712" s="2" t="s">
        <v>16</v>
      </c>
      <c r="K712" s="2" t="s">
        <v>91</v>
      </c>
      <c r="L712" s="1" t="s">
        <v>2347</v>
      </c>
      <c r="M712" s="1" t="str">
        <f t="shared" si="33"/>
        <v>Online Payment</v>
      </c>
      <c r="N712" s="2" t="str">
        <f t="shared" si="34"/>
        <v>Peripherals</v>
      </c>
      <c r="O712" s="1" t="str">
        <f t="shared" si="35"/>
        <v>High Stock</v>
      </c>
    </row>
    <row r="713" spans="1:15" x14ac:dyDescent="0.3">
      <c r="A713" s="5">
        <v>45841</v>
      </c>
      <c r="B713" s="2" t="s">
        <v>1810</v>
      </c>
      <c r="C713" s="2" t="s">
        <v>1454</v>
      </c>
      <c r="D713" s="2" t="s">
        <v>52</v>
      </c>
      <c r="E713" s="2" t="s">
        <v>35</v>
      </c>
      <c r="F713" s="2">
        <v>5</v>
      </c>
      <c r="G713" s="7">
        <v>104.09</v>
      </c>
      <c r="H713" s="7">
        <v>520.45000000000005</v>
      </c>
      <c r="I713" s="2">
        <v>0</v>
      </c>
      <c r="J713" s="2" t="s">
        <v>46</v>
      </c>
      <c r="K713" s="2" t="s">
        <v>83</v>
      </c>
      <c r="L713" s="2" t="s">
        <v>31</v>
      </c>
      <c r="M713" s="2" t="str">
        <f t="shared" si="33"/>
        <v>Credit Card</v>
      </c>
      <c r="N713" s="2" t="str">
        <f t="shared" si="34"/>
        <v>Electronics</v>
      </c>
      <c r="O713" s="2" t="str">
        <f t="shared" si="35"/>
        <v>Low Stock</v>
      </c>
    </row>
    <row r="714" spans="1:15" x14ac:dyDescent="0.3">
      <c r="A714" s="5">
        <v>45720</v>
      </c>
      <c r="B714" s="2" t="s">
        <v>1812</v>
      </c>
      <c r="C714" s="2" t="s">
        <v>1813</v>
      </c>
      <c r="D714" s="2" t="s">
        <v>14</v>
      </c>
      <c r="E714" s="2" t="s">
        <v>15</v>
      </c>
      <c r="F714" s="2">
        <v>28</v>
      </c>
      <c r="G714" s="7">
        <v>96.43</v>
      </c>
      <c r="H714" s="7">
        <v>2700.04</v>
      </c>
      <c r="I714" s="2">
        <v>0</v>
      </c>
      <c r="J714" s="2" t="s">
        <v>53</v>
      </c>
      <c r="K714" s="2" t="s">
        <v>134</v>
      </c>
      <c r="L714" s="2" t="s">
        <v>27</v>
      </c>
      <c r="M714" s="2" t="str">
        <f t="shared" si="33"/>
        <v>Cash</v>
      </c>
      <c r="N714" s="2" t="str">
        <f t="shared" si="34"/>
        <v>Peripherals</v>
      </c>
      <c r="O714" s="2" t="str">
        <f t="shared" si="35"/>
        <v>High Stock</v>
      </c>
    </row>
    <row r="715" spans="1:15" x14ac:dyDescent="0.3">
      <c r="A715" s="5">
        <v>46236</v>
      </c>
      <c r="B715" s="2" t="s">
        <v>1814</v>
      </c>
      <c r="C715" s="2" t="s">
        <v>1815</v>
      </c>
      <c r="D715" s="2" t="s">
        <v>82</v>
      </c>
      <c r="E715" s="2" t="s">
        <v>73</v>
      </c>
      <c r="F715" s="2">
        <v>41</v>
      </c>
      <c r="G715" s="7">
        <v>394.53</v>
      </c>
      <c r="H715" s="7">
        <v>16175.73</v>
      </c>
      <c r="I715" s="2">
        <v>0</v>
      </c>
      <c r="J715" s="2" t="s">
        <v>16</v>
      </c>
      <c r="K715" s="2" t="s">
        <v>74</v>
      </c>
      <c r="L715" s="2" t="s">
        <v>69</v>
      </c>
      <c r="M715" s="2" t="str">
        <f t="shared" si="33"/>
        <v>Debit Card</v>
      </c>
      <c r="N715" s="2" t="str">
        <f t="shared" si="34"/>
        <v>Furniture</v>
      </c>
      <c r="O715" s="2" t="str">
        <f t="shared" si="35"/>
        <v>High Stock</v>
      </c>
    </row>
    <row r="716" spans="1:15" x14ac:dyDescent="0.3">
      <c r="A716" s="5">
        <v>46248</v>
      </c>
      <c r="B716" s="2" t="s">
        <v>1816</v>
      </c>
      <c r="C716" s="2" t="s">
        <v>1817</v>
      </c>
      <c r="D716" s="2" t="s">
        <v>90</v>
      </c>
      <c r="E716" s="2" t="s">
        <v>23</v>
      </c>
      <c r="F716" s="2">
        <v>39</v>
      </c>
      <c r="G716" s="7">
        <v>23.88</v>
      </c>
      <c r="H716" s="7">
        <v>838.19</v>
      </c>
      <c r="I716" s="2">
        <v>10</v>
      </c>
      <c r="J716" s="2" t="s">
        <v>46</v>
      </c>
      <c r="K716" s="2" t="s">
        <v>47</v>
      </c>
      <c r="L716" s="2" t="s">
        <v>69</v>
      </c>
      <c r="M716" s="2" t="str">
        <f t="shared" si="33"/>
        <v>Debit Card</v>
      </c>
      <c r="N716" s="2" t="str">
        <f t="shared" si="34"/>
        <v>Accessories</v>
      </c>
      <c r="O716" s="2" t="str">
        <f t="shared" si="35"/>
        <v>High Stock</v>
      </c>
    </row>
    <row r="717" spans="1:15" x14ac:dyDescent="0.3">
      <c r="A717" s="5">
        <v>45933</v>
      </c>
      <c r="B717" s="2" t="s">
        <v>1819</v>
      </c>
      <c r="C717" s="2" t="s">
        <v>1498</v>
      </c>
      <c r="D717" s="2" t="s">
        <v>90</v>
      </c>
      <c r="E717" s="2" t="s">
        <v>23</v>
      </c>
      <c r="F717" s="2">
        <v>39</v>
      </c>
      <c r="G717" s="7">
        <v>33.93</v>
      </c>
      <c r="H717" s="7">
        <v>1190.94</v>
      </c>
      <c r="I717" s="2">
        <v>10</v>
      </c>
      <c r="J717" s="2" t="s">
        <v>16</v>
      </c>
      <c r="K717" s="2" t="s">
        <v>160</v>
      </c>
      <c r="L717" s="1" t="s">
        <v>2347</v>
      </c>
      <c r="M717" s="1" t="str">
        <f t="shared" si="33"/>
        <v>Online Payment</v>
      </c>
      <c r="N717" s="2" t="str">
        <f t="shared" si="34"/>
        <v>Accessories</v>
      </c>
      <c r="O717" s="1" t="str">
        <f t="shared" si="35"/>
        <v>High Stock</v>
      </c>
    </row>
    <row r="718" spans="1:15" x14ac:dyDescent="0.3">
      <c r="A718" s="5">
        <v>46115</v>
      </c>
      <c r="B718" s="2" t="s">
        <v>1821</v>
      </c>
      <c r="C718" s="2" t="s">
        <v>1822</v>
      </c>
      <c r="D718" s="2" t="s">
        <v>82</v>
      </c>
      <c r="E718" s="2" t="s">
        <v>73</v>
      </c>
      <c r="F718" s="2">
        <v>26</v>
      </c>
      <c r="G718" s="7">
        <v>457.45</v>
      </c>
      <c r="H718" s="7">
        <v>11299.01</v>
      </c>
      <c r="I718" s="2">
        <v>5</v>
      </c>
      <c r="J718" s="2" t="s">
        <v>24</v>
      </c>
      <c r="K718" s="2" t="s">
        <v>59</v>
      </c>
      <c r="L718" s="2" t="s">
        <v>31</v>
      </c>
      <c r="M718" s="2" t="str">
        <f t="shared" si="33"/>
        <v>Credit Card</v>
      </c>
      <c r="N718" s="2" t="str">
        <f t="shared" si="34"/>
        <v>Furniture</v>
      </c>
      <c r="O718" s="2" t="str">
        <f t="shared" si="35"/>
        <v>High Stock</v>
      </c>
    </row>
    <row r="719" spans="1:15" x14ac:dyDescent="0.3">
      <c r="A719" s="5">
        <v>45945</v>
      </c>
      <c r="B719" s="2" t="s">
        <v>1823</v>
      </c>
      <c r="C719" s="2" t="s">
        <v>1824</v>
      </c>
      <c r="D719" s="2" t="s">
        <v>14</v>
      </c>
      <c r="E719" s="2" t="s">
        <v>15</v>
      </c>
      <c r="F719" s="2">
        <v>42</v>
      </c>
      <c r="G719" s="7">
        <v>55.48</v>
      </c>
      <c r="H719" s="7">
        <v>2330.16</v>
      </c>
      <c r="I719" s="2">
        <v>0</v>
      </c>
      <c r="J719" s="2" t="s">
        <v>16</v>
      </c>
      <c r="K719" s="2" t="s">
        <v>91</v>
      </c>
      <c r="L719" s="2" t="s">
        <v>49</v>
      </c>
      <c r="M719" s="2" t="str">
        <f t="shared" si="33"/>
        <v>Check</v>
      </c>
      <c r="N719" s="2" t="str">
        <f t="shared" si="34"/>
        <v>Peripherals</v>
      </c>
      <c r="O719" s="2" t="str">
        <f t="shared" si="35"/>
        <v>High Stock</v>
      </c>
    </row>
    <row r="720" spans="1:15" x14ac:dyDescent="0.3">
      <c r="A720" s="5">
        <v>46171</v>
      </c>
      <c r="B720" s="2" t="s">
        <v>1825</v>
      </c>
      <c r="C720" s="2" t="s">
        <v>1807</v>
      </c>
      <c r="D720" s="2" t="s">
        <v>40</v>
      </c>
      <c r="E720" s="2" t="s">
        <v>23</v>
      </c>
      <c r="F720" s="2">
        <v>8</v>
      </c>
      <c r="G720" s="7">
        <v>44.81</v>
      </c>
      <c r="H720" s="7">
        <v>358.48</v>
      </c>
      <c r="I720" s="2">
        <v>0</v>
      </c>
      <c r="J720" s="2" t="s">
        <v>24</v>
      </c>
      <c r="K720" s="2" t="s">
        <v>25</v>
      </c>
      <c r="L720" s="2" t="s">
        <v>69</v>
      </c>
      <c r="M720" s="2" t="str">
        <f t="shared" si="33"/>
        <v>Debit Card</v>
      </c>
      <c r="N720" s="2" t="str">
        <f t="shared" si="34"/>
        <v>Accessories</v>
      </c>
      <c r="O720" s="2" t="str">
        <f t="shared" si="35"/>
        <v>Low Stock</v>
      </c>
    </row>
    <row r="721" spans="1:15" x14ac:dyDescent="0.3">
      <c r="A721" s="5">
        <v>45732</v>
      </c>
      <c r="B721" s="2" t="s">
        <v>1827</v>
      </c>
      <c r="C721" s="2" t="s">
        <v>362</v>
      </c>
      <c r="D721" s="2" t="s">
        <v>99</v>
      </c>
      <c r="E721" s="2" t="s">
        <v>23</v>
      </c>
      <c r="F721" s="2">
        <v>23</v>
      </c>
      <c r="G721" s="7">
        <v>19.600000000000001</v>
      </c>
      <c r="H721" s="7">
        <v>428.26</v>
      </c>
      <c r="I721" s="2">
        <v>5</v>
      </c>
      <c r="J721" s="2" t="s">
        <v>46</v>
      </c>
      <c r="K721" s="2" t="s">
        <v>78</v>
      </c>
      <c r="L721" s="1" t="s">
        <v>2347</v>
      </c>
      <c r="M721" s="1" t="str">
        <f t="shared" si="33"/>
        <v>Online Payment</v>
      </c>
      <c r="N721" s="2" t="str">
        <f t="shared" si="34"/>
        <v>Accessories</v>
      </c>
      <c r="O721" s="1" t="str">
        <f t="shared" si="35"/>
        <v>High Stock</v>
      </c>
    </row>
    <row r="722" spans="1:15" x14ac:dyDescent="0.3">
      <c r="A722" s="5">
        <v>46192</v>
      </c>
      <c r="B722" s="2" t="s">
        <v>1828</v>
      </c>
      <c r="C722" s="2" t="s">
        <v>1829</v>
      </c>
      <c r="D722" s="2" t="s">
        <v>72</v>
      </c>
      <c r="E722" s="2" t="s">
        <v>73</v>
      </c>
      <c r="F722" s="2">
        <v>40</v>
      </c>
      <c r="G722" s="7">
        <v>476.63</v>
      </c>
      <c r="H722" s="7">
        <v>16205.42</v>
      </c>
      <c r="I722" s="2">
        <v>15</v>
      </c>
      <c r="J722" s="2" t="s">
        <v>53</v>
      </c>
      <c r="K722" s="2" t="s">
        <v>134</v>
      </c>
      <c r="L722" s="2" t="s">
        <v>31</v>
      </c>
      <c r="M722" s="2" t="str">
        <f t="shared" si="33"/>
        <v>Credit Card</v>
      </c>
      <c r="N722" s="2" t="str">
        <f t="shared" si="34"/>
        <v>Furniture</v>
      </c>
      <c r="O722" s="2" t="str">
        <f t="shared" si="35"/>
        <v>High Stock</v>
      </c>
    </row>
    <row r="723" spans="1:15" x14ac:dyDescent="0.3">
      <c r="A723" s="5">
        <v>46171</v>
      </c>
      <c r="B723" s="2" t="s">
        <v>1831</v>
      </c>
      <c r="C723" s="2" t="s">
        <v>1832</v>
      </c>
      <c r="D723" s="2" t="s">
        <v>72</v>
      </c>
      <c r="E723" s="2" t="s">
        <v>73</v>
      </c>
      <c r="F723" s="2">
        <v>21</v>
      </c>
      <c r="G723" s="7">
        <v>443.76</v>
      </c>
      <c r="H723" s="7">
        <v>9318.9599999999991</v>
      </c>
      <c r="I723" s="2">
        <v>0</v>
      </c>
      <c r="J723" s="2" t="s">
        <v>53</v>
      </c>
      <c r="K723" s="2" t="s">
        <v>67</v>
      </c>
      <c r="L723" s="2" t="s">
        <v>69</v>
      </c>
      <c r="M723" s="2" t="str">
        <f t="shared" si="33"/>
        <v>Debit Card</v>
      </c>
      <c r="N723" s="2" t="str">
        <f t="shared" si="34"/>
        <v>Furniture</v>
      </c>
      <c r="O723" s="2" t="str">
        <f t="shared" si="35"/>
        <v>High Stock</v>
      </c>
    </row>
    <row r="724" spans="1:15" x14ac:dyDescent="0.3">
      <c r="A724" s="5">
        <v>45871</v>
      </c>
      <c r="B724" s="2" t="s">
        <v>1833</v>
      </c>
      <c r="C724" s="2" t="s">
        <v>1834</v>
      </c>
      <c r="D724" s="2" t="s">
        <v>63</v>
      </c>
      <c r="E724" s="2" t="s">
        <v>15</v>
      </c>
      <c r="F724" s="2">
        <v>3</v>
      </c>
      <c r="G724" s="7">
        <v>29.14</v>
      </c>
      <c r="H724" s="7">
        <v>78.680000000000007</v>
      </c>
      <c r="I724" s="2">
        <v>10</v>
      </c>
      <c r="J724" s="2" t="s">
        <v>53</v>
      </c>
      <c r="K724" s="2" t="s">
        <v>134</v>
      </c>
      <c r="L724" s="1" t="s">
        <v>2347</v>
      </c>
      <c r="M724" s="1" t="str">
        <f t="shared" si="33"/>
        <v>Online Payment</v>
      </c>
      <c r="N724" s="2" t="str">
        <f t="shared" si="34"/>
        <v>Peripherals</v>
      </c>
      <c r="O724" s="1" t="str">
        <f t="shared" si="35"/>
        <v>Low Stock</v>
      </c>
    </row>
    <row r="725" spans="1:15" x14ac:dyDescent="0.3">
      <c r="A725" s="5">
        <v>46191</v>
      </c>
      <c r="B725" s="2" t="s">
        <v>1835</v>
      </c>
      <c r="C725" s="2" t="s">
        <v>1836</v>
      </c>
      <c r="D725" s="2" t="s">
        <v>45</v>
      </c>
      <c r="E725" s="2" t="s">
        <v>23</v>
      </c>
      <c r="F725" s="2">
        <v>28</v>
      </c>
      <c r="G725" s="7">
        <v>163.62</v>
      </c>
      <c r="H725" s="7">
        <v>4581.3599999999997</v>
      </c>
      <c r="I725" s="2">
        <v>0</v>
      </c>
      <c r="J725" s="2" t="s">
        <v>53</v>
      </c>
      <c r="K725" s="2" t="s">
        <v>141</v>
      </c>
      <c r="L725" s="2" t="s">
        <v>49</v>
      </c>
      <c r="M725" s="2" t="str">
        <f t="shared" si="33"/>
        <v>Check</v>
      </c>
      <c r="N725" s="2" t="str">
        <f t="shared" si="34"/>
        <v>Accessories</v>
      </c>
      <c r="O725" s="2" t="str">
        <f t="shared" si="35"/>
        <v>High Stock</v>
      </c>
    </row>
    <row r="726" spans="1:15" x14ac:dyDescent="0.3">
      <c r="A726" s="5">
        <v>45602</v>
      </c>
      <c r="B726" s="2" t="s">
        <v>1837</v>
      </c>
      <c r="C726" s="2" t="s">
        <v>1838</v>
      </c>
      <c r="D726" s="2" t="s">
        <v>95</v>
      </c>
      <c r="E726" s="2" t="s">
        <v>35</v>
      </c>
      <c r="F726" s="2">
        <v>11</v>
      </c>
      <c r="G726" s="7">
        <v>1155.76</v>
      </c>
      <c r="H726" s="7">
        <v>10806.36</v>
      </c>
      <c r="I726" s="2">
        <v>15</v>
      </c>
      <c r="J726" s="2" t="s">
        <v>16</v>
      </c>
      <c r="K726" s="2" t="s">
        <v>74</v>
      </c>
      <c r="L726" s="2" t="s">
        <v>27</v>
      </c>
      <c r="M726" s="2" t="str">
        <f t="shared" si="33"/>
        <v>Cash</v>
      </c>
      <c r="N726" s="2" t="str">
        <f t="shared" si="34"/>
        <v>Electronics</v>
      </c>
      <c r="O726" s="2" t="str">
        <f t="shared" si="35"/>
        <v>Low Stock</v>
      </c>
    </row>
    <row r="727" spans="1:15" x14ac:dyDescent="0.3">
      <c r="A727" s="5">
        <v>45626</v>
      </c>
      <c r="B727" s="2" t="s">
        <v>1839</v>
      </c>
      <c r="C727" s="2" t="s">
        <v>1840</v>
      </c>
      <c r="D727" s="2" t="s">
        <v>34</v>
      </c>
      <c r="E727" s="2" t="s">
        <v>35</v>
      </c>
      <c r="F727" s="2">
        <v>38</v>
      </c>
      <c r="G727" s="7">
        <v>489.12</v>
      </c>
      <c r="H727" s="7">
        <v>16727.900000000001</v>
      </c>
      <c r="I727" s="2">
        <v>10</v>
      </c>
      <c r="J727" s="2" t="s">
        <v>46</v>
      </c>
      <c r="K727" s="2" t="s">
        <v>124</v>
      </c>
      <c r="L727" s="2" t="s">
        <v>49</v>
      </c>
      <c r="M727" s="2" t="str">
        <f t="shared" si="33"/>
        <v>Check</v>
      </c>
      <c r="N727" s="2" t="str">
        <f t="shared" si="34"/>
        <v>Electronics</v>
      </c>
      <c r="O727" s="2" t="str">
        <f t="shared" si="35"/>
        <v>High Stock</v>
      </c>
    </row>
    <row r="728" spans="1:15" x14ac:dyDescent="0.3">
      <c r="A728" s="5">
        <v>45883</v>
      </c>
      <c r="B728" s="2" t="s">
        <v>1841</v>
      </c>
      <c r="C728" s="2" t="s">
        <v>1842</v>
      </c>
      <c r="D728" s="2" t="s">
        <v>63</v>
      </c>
      <c r="E728" s="2" t="s">
        <v>15</v>
      </c>
      <c r="F728" s="2">
        <v>22</v>
      </c>
      <c r="G728" s="7">
        <v>38.549999999999997</v>
      </c>
      <c r="H728" s="7">
        <v>805.69</v>
      </c>
      <c r="I728" s="2">
        <v>5</v>
      </c>
      <c r="J728" s="2" t="s">
        <v>16</v>
      </c>
      <c r="K728" s="2" t="s">
        <v>91</v>
      </c>
      <c r="L728" s="1" t="s">
        <v>2347</v>
      </c>
      <c r="M728" s="1" t="str">
        <f t="shared" si="33"/>
        <v>Online Payment</v>
      </c>
      <c r="N728" s="2" t="str">
        <f t="shared" si="34"/>
        <v>Peripherals</v>
      </c>
      <c r="O728" s="1" t="str">
        <f t="shared" si="35"/>
        <v>High Stock</v>
      </c>
    </row>
    <row r="729" spans="1:15" x14ac:dyDescent="0.3">
      <c r="A729" s="5">
        <v>46303</v>
      </c>
      <c r="B729" s="2" t="s">
        <v>1843</v>
      </c>
      <c r="C729" s="2" t="s">
        <v>1844</v>
      </c>
      <c r="D729" s="2" t="s">
        <v>82</v>
      </c>
      <c r="E729" s="2" t="s">
        <v>73</v>
      </c>
      <c r="F729" s="2">
        <v>31</v>
      </c>
      <c r="G729" s="7">
        <v>685.6</v>
      </c>
      <c r="H729" s="7">
        <v>20190.919999999998</v>
      </c>
      <c r="I729" s="2">
        <v>5</v>
      </c>
      <c r="J729" s="2" t="s">
        <v>16</v>
      </c>
      <c r="K729" s="2" t="s">
        <v>74</v>
      </c>
      <c r="L729" s="2" t="s">
        <v>31</v>
      </c>
      <c r="M729" s="2" t="str">
        <f t="shared" si="33"/>
        <v>Credit Card</v>
      </c>
      <c r="N729" s="2" t="str">
        <f t="shared" si="34"/>
        <v>Furniture</v>
      </c>
      <c r="O729" s="2" t="str">
        <f t="shared" si="35"/>
        <v>High Stock</v>
      </c>
    </row>
    <row r="730" spans="1:15" x14ac:dyDescent="0.3">
      <c r="A730" s="5">
        <v>46195</v>
      </c>
      <c r="B730" s="2" t="s">
        <v>1846</v>
      </c>
      <c r="C730" s="2" t="s">
        <v>282</v>
      </c>
      <c r="D730" s="2" t="s">
        <v>82</v>
      </c>
      <c r="E730" s="2" t="s">
        <v>73</v>
      </c>
      <c r="F730" s="2">
        <v>15</v>
      </c>
      <c r="G730" s="7">
        <v>710.36</v>
      </c>
      <c r="H730" s="7">
        <v>10655.4</v>
      </c>
      <c r="I730" s="2">
        <v>0</v>
      </c>
      <c r="J730" s="2" t="s">
        <v>53</v>
      </c>
      <c r="K730" s="2" t="s">
        <v>67</v>
      </c>
      <c r="L730" s="2" t="s">
        <v>31</v>
      </c>
      <c r="M730" s="2" t="str">
        <f t="shared" si="33"/>
        <v>Credit Card</v>
      </c>
      <c r="N730" s="2" t="str">
        <f t="shared" si="34"/>
        <v>Furniture</v>
      </c>
      <c r="O730" s="2" t="str">
        <f t="shared" si="35"/>
        <v>Low Stock</v>
      </c>
    </row>
    <row r="731" spans="1:15" x14ac:dyDescent="0.3">
      <c r="A731" s="5">
        <v>45862</v>
      </c>
      <c r="B731" s="2" t="s">
        <v>1847</v>
      </c>
      <c r="C731" s="2" t="s">
        <v>1848</v>
      </c>
      <c r="D731" s="2" t="s">
        <v>63</v>
      </c>
      <c r="E731" s="2" t="s">
        <v>15</v>
      </c>
      <c r="F731" s="2">
        <v>38</v>
      </c>
      <c r="G731" s="7">
        <v>73.22</v>
      </c>
      <c r="H731" s="7">
        <v>2225.89</v>
      </c>
      <c r="I731" s="2">
        <v>20</v>
      </c>
      <c r="J731" s="2" t="s">
        <v>46</v>
      </c>
      <c r="K731" s="2" t="s">
        <v>78</v>
      </c>
      <c r="L731" s="2" t="s">
        <v>49</v>
      </c>
      <c r="M731" s="2" t="str">
        <f t="shared" si="33"/>
        <v>Check</v>
      </c>
      <c r="N731" s="2" t="str">
        <f t="shared" si="34"/>
        <v>Peripherals</v>
      </c>
      <c r="O731" s="2" t="str">
        <f t="shared" si="35"/>
        <v>High Stock</v>
      </c>
    </row>
    <row r="732" spans="1:15" x14ac:dyDescent="0.3">
      <c r="A732" s="5">
        <v>45990</v>
      </c>
      <c r="B732" s="2" t="s">
        <v>1849</v>
      </c>
      <c r="C732" s="2" t="s">
        <v>827</v>
      </c>
      <c r="D732" s="2" t="s">
        <v>63</v>
      </c>
      <c r="E732" s="2" t="s">
        <v>15</v>
      </c>
      <c r="F732" s="2">
        <v>25</v>
      </c>
      <c r="G732" s="7">
        <v>51.16</v>
      </c>
      <c r="H732" s="7">
        <v>1279</v>
      </c>
      <c r="I732" s="2">
        <v>0</v>
      </c>
      <c r="J732" s="2" t="s">
        <v>16</v>
      </c>
      <c r="K732" s="2" t="s">
        <v>160</v>
      </c>
      <c r="L732" s="1" t="s">
        <v>2347</v>
      </c>
      <c r="M732" s="1" t="str">
        <f t="shared" si="33"/>
        <v>Online Payment</v>
      </c>
      <c r="N732" s="2" t="str">
        <f t="shared" si="34"/>
        <v>Peripherals</v>
      </c>
      <c r="O732" s="1" t="str">
        <f t="shared" si="35"/>
        <v>High Stock</v>
      </c>
    </row>
    <row r="733" spans="1:15" x14ac:dyDescent="0.3">
      <c r="A733" s="5">
        <v>46061</v>
      </c>
      <c r="B733" s="2" t="s">
        <v>1850</v>
      </c>
      <c r="C733" s="2" t="s">
        <v>359</v>
      </c>
      <c r="D733" s="2" t="s">
        <v>45</v>
      </c>
      <c r="E733" s="2" t="s">
        <v>23</v>
      </c>
      <c r="F733" s="2">
        <v>28</v>
      </c>
      <c r="G733" s="7">
        <v>62.82</v>
      </c>
      <c r="H733" s="7">
        <v>1671.01</v>
      </c>
      <c r="I733" s="2">
        <v>5</v>
      </c>
      <c r="J733" s="2" t="s">
        <v>24</v>
      </c>
      <c r="K733" s="2" t="s">
        <v>36</v>
      </c>
      <c r="L733" s="2" t="s">
        <v>69</v>
      </c>
      <c r="M733" s="2" t="str">
        <f t="shared" si="33"/>
        <v>Debit Card</v>
      </c>
      <c r="N733" s="2" t="str">
        <f t="shared" si="34"/>
        <v>Accessories</v>
      </c>
      <c r="O733" s="2" t="str">
        <f t="shared" si="35"/>
        <v>High Stock</v>
      </c>
    </row>
    <row r="734" spans="1:15" x14ac:dyDescent="0.3">
      <c r="A734" s="5">
        <v>45615</v>
      </c>
      <c r="B734" s="2" t="s">
        <v>1851</v>
      </c>
      <c r="C734" s="2" t="s">
        <v>1852</v>
      </c>
      <c r="D734" s="2" t="s">
        <v>95</v>
      </c>
      <c r="E734" s="2" t="s">
        <v>35</v>
      </c>
      <c r="F734" s="2">
        <v>14</v>
      </c>
      <c r="G734" s="7">
        <v>355.43</v>
      </c>
      <c r="H734" s="7">
        <v>4976.0200000000004</v>
      </c>
      <c r="I734" s="2">
        <v>0</v>
      </c>
      <c r="J734" s="2" t="s">
        <v>16</v>
      </c>
      <c r="K734" s="2" t="s">
        <v>91</v>
      </c>
      <c r="L734" s="1" t="s">
        <v>2347</v>
      </c>
      <c r="M734" s="1" t="str">
        <f t="shared" si="33"/>
        <v>Online Payment</v>
      </c>
      <c r="N734" s="2" t="str">
        <f t="shared" si="34"/>
        <v>Electronics</v>
      </c>
      <c r="O734" s="1" t="str">
        <f t="shared" si="35"/>
        <v>Low Stock</v>
      </c>
    </row>
    <row r="735" spans="1:15" x14ac:dyDescent="0.3">
      <c r="A735" s="5">
        <v>45924</v>
      </c>
      <c r="B735" s="2" t="s">
        <v>1854</v>
      </c>
      <c r="C735" s="2" t="s">
        <v>1855</v>
      </c>
      <c r="D735" s="2" t="s">
        <v>22</v>
      </c>
      <c r="E735" s="2" t="s">
        <v>23</v>
      </c>
      <c r="F735" s="2">
        <v>6</v>
      </c>
      <c r="G735" s="7">
        <v>21.21</v>
      </c>
      <c r="H735" s="7">
        <v>127.26</v>
      </c>
      <c r="I735" s="2">
        <v>0</v>
      </c>
      <c r="J735" s="2" t="s">
        <v>24</v>
      </c>
      <c r="K735" s="2" t="s">
        <v>41</v>
      </c>
      <c r="L735" s="2" t="s">
        <v>27</v>
      </c>
      <c r="M735" s="2" t="str">
        <f t="shared" si="33"/>
        <v>Cash</v>
      </c>
      <c r="N735" s="2" t="str">
        <f t="shared" si="34"/>
        <v>Accessories</v>
      </c>
      <c r="O735" s="2" t="str">
        <f t="shared" si="35"/>
        <v>Low Stock</v>
      </c>
    </row>
    <row r="736" spans="1:15" x14ac:dyDescent="0.3">
      <c r="A736" s="5">
        <v>46207</v>
      </c>
      <c r="B736" s="2" t="s">
        <v>1856</v>
      </c>
      <c r="C736" s="2" t="s">
        <v>1857</v>
      </c>
      <c r="D736" s="2" t="s">
        <v>45</v>
      </c>
      <c r="E736" s="2" t="s">
        <v>23</v>
      </c>
      <c r="F736" s="2">
        <v>49</v>
      </c>
      <c r="G736" s="7">
        <v>47.72</v>
      </c>
      <c r="H736" s="7">
        <v>2221.37</v>
      </c>
      <c r="I736" s="2">
        <v>5</v>
      </c>
      <c r="J736" s="2" t="s">
        <v>46</v>
      </c>
      <c r="K736" s="2" t="s">
        <v>78</v>
      </c>
      <c r="L736" s="2" t="s">
        <v>49</v>
      </c>
      <c r="M736" s="2" t="str">
        <f t="shared" si="33"/>
        <v>Check</v>
      </c>
      <c r="N736" s="2" t="str">
        <f t="shared" si="34"/>
        <v>Accessories</v>
      </c>
      <c r="O736" s="2" t="str">
        <f t="shared" si="35"/>
        <v>High Stock</v>
      </c>
    </row>
    <row r="737" spans="1:15" x14ac:dyDescent="0.3">
      <c r="A737" s="5">
        <v>45716</v>
      </c>
      <c r="B737" s="2" t="s">
        <v>1858</v>
      </c>
      <c r="C737" s="2" t="s">
        <v>552</v>
      </c>
      <c r="D737" s="2" t="s">
        <v>95</v>
      </c>
      <c r="E737" s="2" t="s">
        <v>35</v>
      </c>
      <c r="F737" s="2">
        <v>22</v>
      </c>
      <c r="G737" s="7">
        <v>248.74</v>
      </c>
      <c r="H737" s="7">
        <v>5198.67</v>
      </c>
      <c r="I737" s="2">
        <v>5</v>
      </c>
      <c r="J737" s="2" t="s">
        <v>46</v>
      </c>
      <c r="K737" s="2" t="s">
        <v>83</v>
      </c>
      <c r="L737" s="2" t="s">
        <v>69</v>
      </c>
      <c r="M737" s="2" t="str">
        <f t="shared" si="33"/>
        <v>Debit Card</v>
      </c>
      <c r="N737" s="2" t="str">
        <f t="shared" si="34"/>
        <v>Electronics</v>
      </c>
      <c r="O737" s="2" t="str">
        <f t="shared" si="35"/>
        <v>High Stock</v>
      </c>
    </row>
    <row r="738" spans="1:15" x14ac:dyDescent="0.3">
      <c r="A738" s="5">
        <v>46067</v>
      </c>
      <c r="B738" s="2" t="s">
        <v>1859</v>
      </c>
      <c r="C738" s="2" t="s">
        <v>1860</v>
      </c>
      <c r="D738" s="2" t="s">
        <v>103</v>
      </c>
      <c r="E738" s="2" t="s">
        <v>35</v>
      </c>
      <c r="F738" s="2">
        <v>24</v>
      </c>
      <c r="G738" s="7">
        <v>566.37</v>
      </c>
      <c r="H738" s="7">
        <v>10874.3</v>
      </c>
      <c r="I738" s="2">
        <v>20</v>
      </c>
      <c r="J738" s="2" t="s">
        <v>16</v>
      </c>
      <c r="K738" s="2" t="s">
        <v>91</v>
      </c>
      <c r="L738" s="2" t="s">
        <v>69</v>
      </c>
      <c r="M738" s="2" t="str">
        <f t="shared" si="33"/>
        <v>Debit Card</v>
      </c>
      <c r="N738" s="2" t="str">
        <f t="shared" si="34"/>
        <v>Electronics</v>
      </c>
      <c r="O738" s="2" t="str">
        <f t="shared" si="35"/>
        <v>High Stock</v>
      </c>
    </row>
    <row r="739" spans="1:15" x14ac:dyDescent="0.3">
      <c r="A739" s="5">
        <v>46196</v>
      </c>
      <c r="B739" s="2" t="s">
        <v>1862</v>
      </c>
      <c r="C739" s="2" t="s">
        <v>1863</v>
      </c>
      <c r="D739" s="2" t="s">
        <v>40</v>
      </c>
      <c r="E739" s="2" t="s">
        <v>23</v>
      </c>
      <c r="F739" s="2">
        <v>30</v>
      </c>
      <c r="G739" s="7">
        <v>66.099999999999994</v>
      </c>
      <c r="H739" s="7">
        <v>1685.55</v>
      </c>
      <c r="I739" s="2">
        <v>15</v>
      </c>
      <c r="J739" s="2" t="s">
        <v>46</v>
      </c>
      <c r="K739" s="2" t="s">
        <v>47</v>
      </c>
      <c r="L739" s="1" t="s">
        <v>2347</v>
      </c>
      <c r="M739" s="1" t="str">
        <f t="shared" si="33"/>
        <v>Online Payment</v>
      </c>
      <c r="N739" s="2" t="str">
        <f t="shared" si="34"/>
        <v>Accessories</v>
      </c>
      <c r="O739" s="1" t="str">
        <f t="shared" si="35"/>
        <v>High Stock</v>
      </c>
    </row>
    <row r="740" spans="1:15" x14ac:dyDescent="0.3">
      <c r="A740" s="5">
        <v>45574</v>
      </c>
      <c r="B740" s="2" t="s">
        <v>1864</v>
      </c>
      <c r="C740" s="2" t="s">
        <v>1865</v>
      </c>
      <c r="D740" s="2" t="s">
        <v>63</v>
      </c>
      <c r="E740" s="2" t="s">
        <v>15</v>
      </c>
      <c r="F740" s="2">
        <v>50</v>
      </c>
      <c r="G740" s="7">
        <v>34.21</v>
      </c>
      <c r="H740" s="7">
        <v>1453.93</v>
      </c>
      <c r="I740" s="2">
        <v>15</v>
      </c>
      <c r="J740" s="2" t="s">
        <v>46</v>
      </c>
      <c r="K740" s="2" t="s">
        <v>244</v>
      </c>
      <c r="L740" s="1" t="s">
        <v>2347</v>
      </c>
      <c r="M740" s="1" t="str">
        <f t="shared" si="33"/>
        <v>Online Payment</v>
      </c>
      <c r="N740" s="2" t="str">
        <f t="shared" si="34"/>
        <v>Peripherals</v>
      </c>
      <c r="O740" s="1" t="str">
        <f t="shared" si="35"/>
        <v>High Stock</v>
      </c>
    </row>
    <row r="741" spans="1:15" x14ac:dyDescent="0.3">
      <c r="A741" s="5">
        <v>45808</v>
      </c>
      <c r="B741" s="2" t="s">
        <v>1866</v>
      </c>
      <c r="C741" s="2" t="s">
        <v>1867</v>
      </c>
      <c r="D741" s="2" t="s">
        <v>82</v>
      </c>
      <c r="E741" s="2" t="s">
        <v>73</v>
      </c>
      <c r="F741" s="2">
        <v>3</v>
      </c>
      <c r="G741" s="7">
        <v>311.76</v>
      </c>
      <c r="H741" s="7">
        <v>935.28</v>
      </c>
      <c r="I741" s="2">
        <v>0</v>
      </c>
      <c r="J741" s="2" t="s">
        <v>46</v>
      </c>
      <c r="K741" s="2" t="s">
        <v>244</v>
      </c>
      <c r="L741" s="1" t="s">
        <v>2347</v>
      </c>
      <c r="M741" s="1" t="str">
        <f t="shared" si="33"/>
        <v>Online Payment</v>
      </c>
      <c r="N741" s="2" t="str">
        <f t="shared" si="34"/>
        <v>Furniture</v>
      </c>
      <c r="O741" s="1" t="str">
        <f t="shared" si="35"/>
        <v>Low Stock</v>
      </c>
    </row>
    <row r="742" spans="1:15" x14ac:dyDescent="0.3">
      <c r="A742" s="5">
        <v>45846</v>
      </c>
      <c r="B742" s="2" t="s">
        <v>1868</v>
      </c>
      <c r="C742" s="2" t="s">
        <v>1162</v>
      </c>
      <c r="D742" s="2" t="s">
        <v>72</v>
      </c>
      <c r="E742" s="2" t="s">
        <v>73</v>
      </c>
      <c r="F742" s="2">
        <v>5</v>
      </c>
      <c r="G742" s="7">
        <v>434.15</v>
      </c>
      <c r="H742" s="7">
        <v>1845.14</v>
      </c>
      <c r="I742" s="2">
        <v>15</v>
      </c>
      <c r="J742" s="2" t="s">
        <v>46</v>
      </c>
      <c r="K742" s="2" t="s">
        <v>83</v>
      </c>
      <c r="L742" s="2" t="s">
        <v>27</v>
      </c>
      <c r="M742" s="2" t="str">
        <f t="shared" si="33"/>
        <v>Cash</v>
      </c>
      <c r="N742" s="2" t="str">
        <f t="shared" si="34"/>
        <v>Furniture</v>
      </c>
      <c r="O742" s="2" t="str">
        <f t="shared" si="35"/>
        <v>Low Stock</v>
      </c>
    </row>
    <row r="743" spans="1:15" x14ac:dyDescent="0.3">
      <c r="A743" s="5">
        <v>45681</v>
      </c>
      <c r="B743" s="2" t="s">
        <v>1869</v>
      </c>
      <c r="C743" s="2" t="s">
        <v>1870</v>
      </c>
      <c r="D743" s="2" t="s">
        <v>82</v>
      </c>
      <c r="E743" s="2" t="s">
        <v>73</v>
      </c>
      <c r="F743" s="2">
        <v>5</v>
      </c>
      <c r="G743" s="7">
        <v>479.01</v>
      </c>
      <c r="H743" s="7">
        <v>2395.0500000000002</v>
      </c>
      <c r="I743" s="2">
        <v>0</v>
      </c>
      <c r="J743" s="2" t="s">
        <v>16</v>
      </c>
      <c r="K743" s="2" t="s">
        <v>74</v>
      </c>
      <c r="L743" s="1" t="s">
        <v>2347</v>
      </c>
      <c r="M743" s="1" t="str">
        <f t="shared" si="33"/>
        <v>Online Payment</v>
      </c>
      <c r="N743" s="2" t="str">
        <f t="shared" si="34"/>
        <v>Furniture</v>
      </c>
      <c r="O743" s="1" t="str">
        <f t="shared" si="35"/>
        <v>Low Stock</v>
      </c>
    </row>
    <row r="744" spans="1:15" x14ac:dyDescent="0.3">
      <c r="A744" s="5">
        <v>45815</v>
      </c>
      <c r="B744" s="2" t="s">
        <v>1872</v>
      </c>
      <c r="C744" s="2" t="s">
        <v>1088</v>
      </c>
      <c r="D744" s="2" t="s">
        <v>95</v>
      </c>
      <c r="E744" s="2" t="s">
        <v>35</v>
      </c>
      <c r="F744" s="2">
        <v>43</v>
      </c>
      <c r="G744" s="7">
        <v>962.73</v>
      </c>
      <c r="H744" s="7">
        <v>41397.39</v>
      </c>
      <c r="I744" s="2">
        <v>0</v>
      </c>
      <c r="J744" s="2" t="s">
        <v>16</v>
      </c>
      <c r="K744" s="2" t="s">
        <v>160</v>
      </c>
      <c r="L744" s="2" t="s">
        <v>31</v>
      </c>
      <c r="M744" s="2" t="str">
        <f t="shared" si="33"/>
        <v>Credit Card</v>
      </c>
      <c r="N744" s="2" t="str">
        <f t="shared" si="34"/>
        <v>Electronics</v>
      </c>
      <c r="O744" s="2" t="str">
        <f t="shared" si="35"/>
        <v>High Stock</v>
      </c>
    </row>
    <row r="745" spans="1:15" x14ac:dyDescent="0.3">
      <c r="A745" s="5">
        <v>45759</v>
      </c>
      <c r="B745" s="2" t="s">
        <v>1873</v>
      </c>
      <c r="C745" s="2" t="s">
        <v>647</v>
      </c>
      <c r="D745" s="2" t="s">
        <v>103</v>
      </c>
      <c r="E745" s="2" t="s">
        <v>35</v>
      </c>
      <c r="F745" s="2">
        <v>41</v>
      </c>
      <c r="G745" s="7">
        <v>407.68</v>
      </c>
      <c r="H745" s="7">
        <v>14207.65</v>
      </c>
      <c r="I745" s="2">
        <v>15</v>
      </c>
      <c r="J745" s="2" t="s">
        <v>24</v>
      </c>
      <c r="K745" s="2" t="s">
        <v>59</v>
      </c>
      <c r="L745" s="1" t="s">
        <v>2347</v>
      </c>
      <c r="M745" s="1" t="str">
        <f t="shared" si="33"/>
        <v>Online Payment</v>
      </c>
      <c r="N745" s="2" t="str">
        <f t="shared" si="34"/>
        <v>Electronics</v>
      </c>
      <c r="O745" s="1" t="str">
        <f t="shared" si="35"/>
        <v>High Stock</v>
      </c>
    </row>
    <row r="746" spans="1:15" x14ac:dyDescent="0.3">
      <c r="A746" s="5">
        <v>45614</v>
      </c>
      <c r="B746" s="2" t="s">
        <v>1874</v>
      </c>
      <c r="C746" s="2" t="s">
        <v>1838</v>
      </c>
      <c r="D746" s="2" t="s">
        <v>99</v>
      </c>
      <c r="E746" s="2" t="s">
        <v>23</v>
      </c>
      <c r="F746" s="2">
        <v>44</v>
      </c>
      <c r="G746" s="7">
        <v>24.36</v>
      </c>
      <c r="H746" s="7">
        <v>1071.8399999999999</v>
      </c>
      <c r="I746" s="2">
        <v>0</v>
      </c>
      <c r="J746" s="2" t="s">
        <v>46</v>
      </c>
      <c r="K746" s="2" t="s">
        <v>47</v>
      </c>
      <c r="L746" s="2" t="s">
        <v>69</v>
      </c>
      <c r="M746" s="2" t="str">
        <f t="shared" si="33"/>
        <v>Debit Card</v>
      </c>
      <c r="N746" s="2" t="str">
        <f t="shared" si="34"/>
        <v>Accessories</v>
      </c>
      <c r="O746" s="2" t="str">
        <f t="shared" si="35"/>
        <v>High Stock</v>
      </c>
    </row>
    <row r="747" spans="1:15" x14ac:dyDescent="0.3">
      <c r="A747" s="5">
        <v>46036</v>
      </c>
      <c r="B747" s="2" t="s">
        <v>1876</v>
      </c>
      <c r="C747" s="2" t="s">
        <v>1877</v>
      </c>
      <c r="D747" s="2" t="s">
        <v>72</v>
      </c>
      <c r="E747" s="2" t="s">
        <v>73</v>
      </c>
      <c r="F747" s="2">
        <v>28</v>
      </c>
      <c r="G747" s="7">
        <v>213.45</v>
      </c>
      <c r="H747" s="7">
        <v>5378.94</v>
      </c>
      <c r="I747" s="2">
        <v>10</v>
      </c>
      <c r="J747" s="2" t="s">
        <v>24</v>
      </c>
      <c r="K747" s="2" t="s">
        <v>36</v>
      </c>
      <c r="L747" s="2" t="s">
        <v>69</v>
      </c>
      <c r="M747" s="2" t="str">
        <f t="shared" si="33"/>
        <v>Debit Card</v>
      </c>
      <c r="N747" s="2" t="str">
        <f t="shared" si="34"/>
        <v>Furniture</v>
      </c>
      <c r="O747" s="2" t="str">
        <f t="shared" si="35"/>
        <v>High Stock</v>
      </c>
    </row>
    <row r="748" spans="1:15" x14ac:dyDescent="0.3">
      <c r="A748" s="5">
        <v>46237</v>
      </c>
      <c r="B748" s="2" t="s">
        <v>1878</v>
      </c>
      <c r="C748" s="2" t="s">
        <v>725</v>
      </c>
      <c r="D748" s="2" t="s">
        <v>82</v>
      </c>
      <c r="E748" s="2" t="s">
        <v>73</v>
      </c>
      <c r="F748" s="2">
        <v>39</v>
      </c>
      <c r="G748" s="7">
        <v>661.32</v>
      </c>
      <c r="H748" s="7">
        <v>25791.48</v>
      </c>
      <c r="I748" s="2">
        <v>0</v>
      </c>
      <c r="J748" s="2" t="s">
        <v>53</v>
      </c>
      <c r="K748" s="2" t="s">
        <v>67</v>
      </c>
      <c r="L748" s="2" t="s">
        <v>49</v>
      </c>
      <c r="M748" s="2" t="str">
        <f t="shared" si="33"/>
        <v>Check</v>
      </c>
      <c r="N748" s="2" t="str">
        <f t="shared" si="34"/>
        <v>Furniture</v>
      </c>
      <c r="O748" s="2" t="str">
        <f t="shared" si="35"/>
        <v>High Stock</v>
      </c>
    </row>
    <row r="749" spans="1:15" x14ac:dyDescent="0.3">
      <c r="A749" s="5">
        <v>45950</v>
      </c>
      <c r="B749" s="2" t="s">
        <v>1879</v>
      </c>
      <c r="C749" s="2" t="s">
        <v>1880</v>
      </c>
      <c r="D749" s="2" t="s">
        <v>95</v>
      </c>
      <c r="E749" s="2" t="s">
        <v>35</v>
      </c>
      <c r="F749" s="2">
        <v>49</v>
      </c>
      <c r="G749" s="7">
        <v>1146.6400000000001</v>
      </c>
      <c r="H749" s="7">
        <v>53376.09</v>
      </c>
      <c r="I749" s="2">
        <v>5</v>
      </c>
      <c r="J749" s="2" t="s">
        <v>46</v>
      </c>
      <c r="K749" s="2" t="s">
        <v>124</v>
      </c>
      <c r="L749" s="2" t="s">
        <v>31</v>
      </c>
      <c r="M749" s="2" t="str">
        <f t="shared" si="33"/>
        <v>Credit Card</v>
      </c>
      <c r="N749" s="2" t="str">
        <f t="shared" si="34"/>
        <v>Electronics</v>
      </c>
      <c r="O749" s="2" t="str">
        <f t="shared" si="35"/>
        <v>High Stock</v>
      </c>
    </row>
    <row r="750" spans="1:15" x14ac:dyDescent="0.3">
      <c r="A750" s="5">
        <v>46061</v>
      </c>
      <c r="B750" s="2" t="s">
        <v>1881</v>
      </c>
      <c r="C750" s="2" t="s">
        <v>719</v>
      </c>
      <c r="D750" s="2" t="s">
        <v>40</v>
      </c>
      <c r="E750" s="2" t="s">
        <v>23</v>
      </c>
      <c r="F750" s="2">
        <v>50</v>
      </c>
      <c r="G750" s="7">
        <v>48.25</v>
      </c>
      <c r="H750" s="7">
        <v>2412.5</v>
      </c>
      <c r="I750" s="2">
        <v>0</v>
      </c>
      <c r="J750" s="2" t="s">
        <v>16</v>
      </c>
      <c r="K750" s="2" t="s">
        <v>111</v>
      </c>
      <c r="L750" s="1" t="s">
        <v>2347</v>
      </c>
      <c r="M750" s="1" t="str">
        <f t="shared" si="33"/>
        <v>Online Payment</v>
      </c>
      <c r="N750" s="2" t="str">
        <f t="shared" si="34"/>
        <v>Accessories</v>
      </c>
      <c r="O750" s="1" t="str">
        <f t="shared" si="35"/>
        <v>High Stock</v>
      </c>
    </row>
    <row r="751" spans="1:15" x14ac:dyDescent="0.3">
      <c r="A751" s="5">
        <v>45669</v>
      </c>
      <c r="B751" s="2" t="s">
        <v>1882</v>
      </c>
      <c r="C751" s="2" t="s">
        <v>589</v>
      </c>
      <c r="D751" s="2" t="s">
        <v>103</v>
      </c>
      <c r="E751" s="2" t="s">
        <v>35</v>
      </c>
      <c r="F751" s="2">
        <v>33</v>
      </c>
      <c r="G751" s="7">
        <v>395.3</v>
      </c>
      <c r="H751" s="7">
        <v>13044.9</v>
      </c>
      <c r="I751" s="2">
        <v>0</v>
      </c>
      <c r="J751" s="2" t="s">
        <v>53</v>
      </c>
      <c r="K751" s="2" t="s">
        <v>141</v>
      </c>
      <c r="L751" s="2" t="s">
        <v>69</v>
      </c>
      <c r="M751" s="2" t="str">
        <f t="shared" si="33"/>
        <v>Debit Card</v>
      </c>
      <c r="N751" s="2" t="str">
        <f t="shared" si="34"/>
        <v>Electronics</v>
      </c>
      <c r="O751" s="2" t="str">
        <f t="shared" si="35"/>
        <v>High Stock</v>
      </c>
    </row>
    <row r="752" spans="1:15" x14ac:dyDescent="0.3">
      <c r="A752" s="5">
        <v>45631</v>
      </c>
      <c r="B752" s="2" t="s">
        <v>1883</v>
      </c>
      <c r="C752" s="2" t="s">
        <v>1884</v>
      </c>
      <c r="D752" s="2" t="s">
        <v>22</v>
      </c>
      <c r="E752" s="2" t="s">
        <v>23</v>
      </c>
      <c r="F752" s="2">
        <v>45</v>
      </c>
      <c r="G752" s="7">
        <v>31.95</v>
      </c>
      <c r="H752" s="7">
        <v>1437.75</v>
      </c>
      <c r="I752" s="2">
        <v>0</v>
      </c>
      <c r="J752" s="2" t="s">
        <v>16</v>
      </c>
      <c r="K752" s="2" t="s">
        <v>74</v>
      </c>
      <c r="L752" s="2" t="s">
        <v>27</v>
      </c>
      <c r="M752" s="2" t="str">
        <f t="shared" si="33"/>
        <v>Cash</v>
      </c>
      <c r="N752" s="2" t="str">
        <f t="shared" si="34"/>
        <v>Accessories</v>
      </c>
      <c r="O752" s="2" t="str">
        <f t="shared" si="35"/>
        <v>High Stock</v>
      </c>
    </row>
    <row r="753" spans="1:15" x14ac:dyDescent="0.3">
      <c r="A753" s="5">
        <v>45854</v>
      </c>
      <c r="B753" s="2" t="s">
        <v>1885</v>
      </c>
      <c r="C753" s="2" t="s">
        <v>1886</v>
      </c>
      <c r="D753" s="2" t="s">
        <v>103</v>
      </c>
      <c r="E753" s="2" t="s">
        <v>35</v>
      </c>
      <c r="F753" s="2">
        <v>47</v>
      </c>
      <c r="G753" s="7">
        <v>348.99</v>
      </c>
      <c r="H753" s="7">
        <v>16402.53</v>
      </c>
      <c r="I753" s="2">
        <v>0</v>
      </c>
      <c r="J753" s="2" t="s">
        <v>24</v>
      </c>
      <c r="K753" s="2" t="s">
        <v>41</v>
      </c>
      <c r="L753" s="2" t="s">
        <v>31</v>
      </c>
      <c r="M753" s="2" t="str">
        <f t="shared" si="33"/>
        <v>Credit Card</v>
      </c>
      <c r="N753" s="2" t="str">
        <f t="shared" si="34"/>
        <v>Electronics</v>
      </c>
      <c r="O753" s="2" t="str">
        <f t="shared" si="35"/>
        <v>High Stock</v>
      </c>
    </row>
    <row r="754" spans="1:15" x14ac:dyDescent="0.3">
      <c r="A754" s="5">
        <v>45584</v>
      </c>
      <c r="B754" s="2" t="s">
        <v>1887</v>
      </c>
      <c r="C754" s="2" t="s">
        <v>1888</v>
      </c>
      <c r="D754" s="2" t="s">
        <v>95</v>
      </c>
      <c r="E754" s="2" t="s">
        <v>35</v>
      </c>
      <c r="F754" s="2">
        <v>10</v>
      </c>
      <c r="G754" s="7">
        <v>1113.58</v>
      </c>
      <c r="H754" s="7">
        <v>8908.64</v>
      </c>
      <c r="I754" s="2">
        <v>20</v>
      </c>
      <c r="J754" s="2" t="s">
        <v>16</v>
      </c>
      <c r="K754" s="2" t="s">
        <v>74</v>
      </c>
      <c r="L754" s="2" t="s">
        <v>69</v>
      </c>
      <c r="M754" s="2" t="str">
        <f t="shared" si="33"/>
        <v>Debit Card</v>
      </c>
      <c r="N754" s="2" t="str">
        <f t="shared" si="34"/>
        <v>Electronics</v>
      </c>
      <c r="O754" s="2" t="str">
        <f t="shared" si="35"/>
        <v>Low Stock</v>
      </c>
    </row>
    <row r="755" spans="1:15" x14ac:dyDescent="0.3">
      <c r="A755" s="5">
        <v>46007</v>
      </c>
      <c r="B755" s="2" t="s">
        <v>1890</v>
      </c>
      <c r="C755" s="2" t="s">
        <v>1891</v>
      </c>
      <c r="D755" s="2" t="s">
        <v>95</v>
      </c>
      <c r="E755" s="2" t="s">
        <v>35</v>
      </c>
      <c r="F755" s="2">
        <v>49</v>
      </c>
      <c r="G755" s="7">
        <v>260.95</v>
      </c>
      <c r="H755" s="7">
        <v>11507.9</v>
      </c>
      <c r="I755" s="2">
        <v>10</v>
      </c>
      <c r="J755" s="2" t="s">
        <v>16</v>
      </c>
      <c r="K755" s="2" t="s">
        <v>160</v>
      </c>
      <c r="L755" s="2" t="s">
        <v>49</v>
      </c>
      <c r="M755" s="2" t="str">
        <f t="shared" si="33"/>
        <v>Check</v>
      </c>
      <c r="N755" s="2" t="str">
        <f t="shared" si="34"/>
        <v>Electronics</v>
      </c>
      <c r="O755" s="2" t="str">
        <f t="shared" si="35"/>
        <v>High Stock</v>
      </c>
    </row>
    <row r="756" spans="1:15" x14ac:dyDescent="0.3">
      <c r="A756" s="5">
        <v>46011</v>
      </c>
      <c r="B756" s="2" t="s">
        <v>1892</v>
      </c>
      <c r="C756" s="2" t="s">
        <v>1893</v>
      </c>
      <c r="D756" s="2" t="s">
        <v>90</v>
      </c>
      <c r="E756" s="2" t="s">
        <v>23</v>
      </c>
      <c r="F756" s="2">
        <v>27</v>
      </c>
      <c r="G756" s="7">
        <v>30.57</v>
      </c>
      <c r="H756" s="7">
        <v>825.39</v>
      </c>
      <c r="I756" s="2">
        <v>0</v>
      </c>
      <c r="J756" s="2" t="s">
        <v>53</v>
      </c>
      <c r="K756" s="2" t="s">
        <v>134</v>
      </c>
      <c r="L756" s="2" t="s">
        <v>27</v>
      </c>
      <c r="M756" s="2" t="str">
        <f t="shared" si="33"/>
        <v>Cash</v>
      </c>
      <c r="N756" s="2" t="str">
        <f t="shared" si="34"/>
        <v>Accessories</v>
      </c>
      <c r="O756" s="2" t="str">
        <f t="shared" si="35"/>
        <v>High Stock</v>
      </c>
    </row>
    <row r="757" spans="1:15" x14ac:dyDescent="0.3">
      <c r="A757" s="5">
        <v>46114</v>
      </c>
      <c r="B757" s="2" t="s">
        <v>1894</v>
      </c>
      <c r="C757" s="2" t="s">
        <v>897</v>
      </c>
      <c r="D757" s="2" t="s">
        <v>90</v>
      </c>
      <c r="E757" s="2" t="s">
        <v>23</v>
      </c>
      <c r="F757" s="2">
        <v>48</v>
      </c>
      <c r="G757" s="7">
        <v>40.21</v>
      </c>
      <c r="H757" s="7">
        <v>1544.06</v>
      </c>
      <c r="I757" s="2">
        <v>20</v>
      </c>
      <c r="J757" s="2" t="s">
        <v>53</v>
      </c>
      <c r="K757" s="2" t="s">
        <v>54</v>
      </c>
      <c r="L757" s="1" t="s">
        <v>2347</v>
      </c>
      <c r="M757" s="1" t="str">
        <f t="shared" si="33"/>
        <v>Online Payment</v>
      </c>
      <c r="N757" s="2" t="str">
        <f t="shared" si="34"/>
        <v>Accessories</v>
      </c>
      <c r="O757" s="1" t="str">
        <f t="shared" si="35"/>
        <v>High Stock</v>
      </c>
    </row>
    <row r="758" spans="1:15" x14ac:dyDescent="0.3">
      <c r="A758" s="5">
        <v>46067</v>
      </c>
      <c r="B758" s="2" t="s">
        <v>1895</v>
      </c>
      <c r="C758" s="2" t="s">
        <v>662</v>
      </c>
      <c r="D758" s="2" t="s">
        <v>82</v>
      </c>
      <c r="E758" s="2" t="s">
        <v>73</v>
      </c>
      <c r="F758" s="2">
        <v>42</v>
      </c>
      <c r="G758" s="7">
        <v>429.08</v>
      </c>
      <c r="H758" s="7">
        <v>15318.16</v>
      </c>
      <c r="I758" s="2">
        <v>15</v>
      </c>
      <c r="J758" s="2" t="s">
        <v>53</v>
      </c>
      <c r="K758" s="2" t="s">
        <v>54</v>
      </c>
      <c r="L758" s="2" t="s">
        <v>27</v>
      </c>
      <c r="M758" s="2" t="str">
        <f t="shared" si="33"/>
        <v>Cash</v>
      </c>
      <c r="N758" s="2" t="str">
        <f t="shared" si="34"/>
        <v>Furniture</v>
      </c>
      <c r="O758" s="2" t="str">
        <f t="shared" si="35"/>
        <v>High Stock</v>
      </c>
    </row>
    <row r="759" spans="1:15" x14ac:dyDescent="0.3">
      <c r="A759" s="5">
        <v>45943</v>
      </c>
      <c r="B759" s="2" t="s">
        <v>1896</v>
      </c>
      <c r="C759" s="2" t="s">
        <v>1481</v>
      </c>
      <c r="D759" s="2" t="s">
        <v>45</v>
      </c>
      <c r="E759" s="2" t="s">
        <v>23</v>
      </c>
      <c r="F759" s="2">
        <v>48</v>
      </c>
      <c r="G759" s="7">
        <v>130.91</v>
      </c>
      <c r="H759" s="7">
        <v>5341.13</v>
      </c>
      <c r="I759" s="2">
        <v>15</v>
      </c>
      <c r="J759" s="2" t="s">
        <v>16</v>
      </c>
      <c r="K759" s="2" t="s">
        <v>111</v>
      </c>
      <c r="L759" s="2" t="s">
        <v>49</v>
      </c>
      <c r="M759" s="2" t="str">
        <f t="shared" si="33"/>
        <v>Check</v>
      </c>
      <c r="N759" s="2" t="str">
        <f t="shared" si="34"/>
        <v>Accessories</v>
      </c>
      <c r="O759" s="2" t="str">
        <f t="shared" si="35"/>
        <v>High Stock</v>
      </c>
    </row>
    <row r="760" spans="1:15" x14ac:dyDescent="0.3">
      <c r="A760" s="5">
        <v>45989</v>
      </c>
      <c r="B760" s="2" t="s">
        <v>1897</v>
      </c>
      <c r="C760" s="2" t="s">
        <v>1620</v>
      </c>
      <c r="D760" s="2" t="s">
        <v>22</v>
      </c>
      <c r="E760" s="2" t="s">
        <v>23</v>
      </c>
      <c r="F760" s="2">
        <v>7</v>
      </c>
      <c r="G760" s="7">
        <v>34.89</v>
      </c>
      <c r="H760" s="7">
        <v>244.23</v>
      </c>
      <c r="I760" s="2">
        <v>0</v>
      </c>
      <c r="J760" s="2" t="s">
        <v>46</v>
      </c>
      <c r="K760" s="2" t="s">
        <v>244</v>
      </c>
      <c r="L760" s="2" t="s">
        <v>49</v>
      </c>
      <c r="M760" s="2" t="str">
        <f t="shared" si="33"/>
        <v>Check</v>
      </c>
      <c r="N760" s="2" t="str">
        <f t="shared" si="34"/>
        <v>Accessories</v>
      </c>
      <c r="O760" s="2" t="str">
        <f t="shared" si="35"/>
        <v>Low Stock</v>
      </c>
    </row>
    <row r="761" spans="1:15" x14ac:dyDescent="0.3">
      <c r="A761" s="5">
        <v>45759</v>
      </c>
      <c r="B761" s="2" t="s">
        <v>1898</v>
      </c>
      <c r="C761" s="2" t="s">
        <v>1899</v>
      </c>
      <c r="D761" s="2" t="s">
        <v>72</v>
      </c>
      <c r="E761" s="2" t="s">
        <v>73</v>
      </c>
      <c r="F761" s="2">
        <v>44</v>
      </c>
      <c r="G761" s="7">
        <v>362.13</v>
      </c>
      <c r="H761" s="7">
        <v>15137.03</v>
      </c>
      <c r="I761" s="2">
        <v>5</v>
      </c>
      <c r="J761" s="2" t="s">
        <v>46</v>
      </c>
      <c r="K761" s="2" t="s">
        <v>124</v>
      </c>
      <c r="L761" s="2" t="s">
        <v>69</v>
      </c>
      <c r="M761" s="2" t="str">
        <f t="shared" si="33"/>
        <v>Debit Card</v>
      </c>
      <c r="N761" s="2" t="str">
        <f t="shared" si="34"/>
        <v>Furniture</v>
      </c>
      <c r="O761" s="2" t="str">
        <f t="shared" si="35"/>
        <v>High Stock</v>
      </c>
    </row>
    <row r="762" spans="1:15" x14ac:dyDescent="0.3">
      <c r="A762" s="5">
        <v>45631</v>
      </c>
      <c r="B762" s="2" t="s">
        <v>1900</v>
      </c>
      <c r="C762" s="2" t="s">
        <v>1901</v>
      </c>
      <c r="D762" s="2" t="s">
        <v>72</v>
      </c>
      <c r="E762" s="2" t="s">
        <v>73</v>
      </c>
      <c r="F762" s="2">
        <v>4</v>
      </c>
      <c r="G762" s="7">
        <v>449.14</v>
      </c>
      <c r="H762" s="7">
        <v>1796.56</v>
      </c>
      <c r="I762" s="2">
        <v>0</v>
      </c>
      <c r="J762" s="2" t="s">
        <v>16</v>
      </c>
      <c r="K762" s="2" t="s">
        <v>160</v>
      </c>
      <c r="L762" s="2" t="s">
        <v>69</v>
      </c>
      <c r="M762" s="2" t="str">
        <f t="shared" si="33"/>
        <v>Debit Card</v>
      </c>
      <c r="N762" s="2" t="str">
        <f t="shared" si="34"/>
        <v>Furniture</v>
      </c>
      <c r="O762" s="2" t="str">
        <f t="shared" si="35"/>
        <v>Low Stock</v>
      </c>
    </row>
    <row r="763" spans="1:15" x14ac:dyDescent="0.3">
      <c r="A763" s="5">
        <v>45997</v>
      </c>
      <c r="B763" s="2" t="s">
        <v>1902</v>
      </c>
      <c r="C763" s="2" t="s">
        <v>1903</v>
      </c>
      <c r="D763" s="2" t="s">
        <v>82</v>
      </c>
      <c r="E763" s="2" t="s">
        <v>73</v>
      </c>
      <c r="F763" s="2">
        <v>46</v>
      </c>
      <c r="G763" s="7">
        <v>379.47</v>
      </c>
      <c r="H763" s="7">
        <v>17455.62</v>
      </c>
      <c r="I763" s="2">
        <v>0</v>
      </c>
      <c r="J763" s="2" t="s">
        <v>16</v>
      </c>
      <c r="K763" s="2" t="s">
        <v>111</v>
      </c>
      <c r="L763" s="2" t="s">
        <v>27</v>
      </c>
      <c r="M763" s="2" t="str">
        <f t="shared" si="33"/>
        <v>Cash</v>
      </c>
      <c r="N763" s="2" t="str">
        <f t="shared" si="34"/>
        <v>Furniture</v>
      </c>
      <c r="O763" s="2" t="str">
        <f t="shared" si="35"/>
        <v>High Stock</v>
      </c>
    </row>
    <row r="764" spans="1:15" x14ac:dyDescent="0.3">
      <c r="A764" s="5">
        <v>45771</v>
      </c>
      <c r="B764" s="2" t="s">
        <v>1904</v>
      </c>
      <c r="C764" s="2" t="s">
        <v>1905</v>
      </c>
      <c r="D764" s="2" t="s">
        <v>99</v>
      </c>
      <c r="E764" s="2" t="s">
        <v>23</v>
      </c>
      <c r="F764" s="2">
        <v>25</v>
      </c>
      <c r="G764" s="7">
        <v>19.73</v>
      </c>
      <c r="H764" s="7">
        <v>443.93</v>
      </c>
      <c r="I764" s="2">
        <v>10</v>
      </c>
      <c r="J764" s="2" t="s">
        <v>16</v>
      </c>
      <c r="K764" s="2" t="s">
        <v>160</v>
      </c>
      <c r="L764" s="2" t="s">
        <v>69</v>
      </c>
      <c r="M764" s="2" t="str">
        <f t="shared" si="33"/>
        <v>Debit Card</v>
      </c>
      <c r="N764" s="2" t="str">
        <f t="shared" si="34"/>
        <v>Accessories</v>
      </c>
      <c r="O764" s="2" t="str">
        <f t="shared" si="35"/>
        <v>High Stock</v>
      </c>
    </row>
    <row r="765" spans="1:15" x14ac:dyDescent="0.3">
      <c r="A765" s="5">
        <v>46009</v>
      </c>
      <c r="B765" s="2" t="s">
        <v>1907</v>
      </c>
      <c r="C765" s="2" t="s">
        <v>1908</v>
      </c>
      <c r="D765" s="2" t="s">
        <v>52</v>
      </c>
      <c r="E765" s="2" t="s">
        <v>35</v>
      </c>
      <c r="F765" s="2">
        <v>42</v>
      </c>
      <c r="G765" s="7">
        <v>334.82</v>
      </c>
      <c r="H765" s="7">
        <v>13359.32</v>
      </c>
      <c r="I765" s="2">
        <v>5</v>
      </c>
      <c r="J765" s="2" t="s">
        <v>16</v>
      </c>
      <c r="K765" s="2" t="s">
        <v>74</v>
      </c>
      <c r="L765" s="2" t="s">
        <v>49</v>
      </c>
      <c r="M765" s="2" t="str">
        <f t="shared" si="33"/>
        <v>Check</v>
      </c>
      <c r="N765" s="2" t="str">
        <f t="shared" si="34"/>
        <v>Electronics</v>
      </c>
      <c r="O765" s="2" t="str">
        <f t="shared" si="35"/>
        <v>High Stock</v>
      </c>
    </row>
    <row r="766" spans="1:15" x14ac:dyDescent="0.3">
      <c r="A766" s="5">
        <v>45746</v>
      </c>
      <c r="B766" s="2" t="s">
        <v>1909</v>
      </c>
      <c r="C766" s="2" t="s">
        <v>1910</v>
      </c>
      <c r="D766" s="2" t="s">
        <v>95</v>
      </c>
      <c r="E766" s="2" t="s">
        <v>35</v>
      </c>
      <c r="F766" s="2">
        <v>8</v>
      </c>
      <c r="G766" s="7">
        <v>1049.79</v>
      </c>
      <c r="H766" s="7">
        <v>8398.32</v>
      </c>
      <c r="I766" s="2">
        <v>0</v>
      </c>
      <c r="J766" s="2" t="s">
        <v>16</v>
      </c>
      <c r="K766" s="2" t="s">
        <v>160</v>
      </c>
      <c r="L766" s="2" t="s">
        <v>31</v>
      </c>
      <c r="M766" s="2" t="str">
        <f t="shared" si="33"/>
        <v>Credit Card</v>
      </c>
      <c r="N766" s="2" t="str">
        <f t="shared" si="34"/>
        <v>Electronics</v>
      </c>
      <c r="O766" s="2" t="str">
        <f t="shared" si="35"/>
        <v>Low Stock</v>
      </c>
    </row>
    <row r="767" spans="1:15" x14ac:dyDescent="0.3">
      <c r="A767" s="5">
        <v>45935</v>
      </c>
      <c r="B767" s="2" t="s">
        <v>1911</v>
      </c>
      <c r="C767" s="2" t="s">
        <v>928</v>
      </c>
      <c r="D767" s="2" t="s">
        <v>63</v>
      </c>
      <c r="E767" s="2" t="s">
        <v>15</v>
      </c>
      <c r="F767" s="2">
        <v>5</v>
      </c>
      <c r="G767" s="7">
        <v>47.02</v>
      </c>
      <c r="H767" s="7">
        <v>211.59</v>
      </c>
      <c r="I767" s="2">
        <v>10</v>
      </c>
      <c r="J767" s="2" t="s">
        <v>16</v>
      </c>
      <c r="K767" s="2" t="s">
        <v>160</v>
      </c>
      <c r="L767" s="2" t="s">
        <v>69</v>
      </c>
      <c r="M767" s="2" t="str">
        <f t="shared" si="33"/>
        <v>Debit Card</v>
      </c>
      <c r="N767" s="2" t="str">
        <f t="shared" si="34"/>
        <v>Peripherals</v>
      </c>
      <c r="O767" s="2" t="str">
        <f t="shared" si="35"/>
        <v>Low Stock</v>
      </c>
    </row>
    <row r="768" spans="1:15" x14ac:dyDescent="0.3">
      <c r="A768" s="5">
        <v>46190</v>
      </c>
      <c r="B768" s="2" t="s">
        <v>1912</v>
      </c>
      <c r="C768" s="2" t="s">
        <v>1913</v>
      </c>
      <c r="D768" s="2" t="s">
        <v>90</v>
      </c>
      <c r="E768" s="2" t="s">
        <v>23</v>
      </c>
      <c r="F768" s="2">
        <v>9</v>
      </c>
      <c r="G768" s="7">
        <v>16.32</v>
      </c>
      <c r="H768" s="7">
        <v>139.54</v>
      </c>
      <c r="I768" s="2">
        <v>5</v>
      </c>
      <c r="J768" s="2" t="s">
        <v>46</v>
      </c>
      <c r="K768" s="2" t="s">
        <v>124</v>
      </c>
      <c r="L768" s="2" t="s">
        <v>49</v>
      </c>
      <c r="M768" s="2" t="str">
        <f t="shared" si="33"/>
        <v>Check</v>
      </c>
      <c r="N768" s="2" t="str">
        <f t="shared" si="34"/>
        <v>Accessories</v>
      </c>
      <c r="O768" s="2" t="str">
        <f t="shared" si="35"/>
        <v>Low Stock</v>
      </c>
    </row>
    <row r="769" spans="1:15" x14ac:dyDescent="0.3">
      <c r="A769" s="5">
        <v>45882</v>
      </c>
      <c r="B769" s="2" t="s">
        <v>1914</v>
      </c>
      <c r="C769" s="2" t="s">
        <v>1915</v>
      </c>
      <c r="D769" s="2" t="s">
        <v>90</v>
      </c>
      <c r="E769" s="2" t="s">
        <v>23</v>
      </c>
      <c r="F769" s="2">
        <v>24</v>
      </c>
      <c r="G769" s="7">
        <v>34.01</v>
      </c>
      <c r="H769" s="7">
        <v>775.43</v>
      </c>
      <c r="I769" s="2">
        <v>5</v>
      </c>
      <c r="J769" s="2" t="s">
        <v>16</v>
      </c>
      <c r="K769" s="2" t="s">
        <v>17</v>
      </c>
      <c r="L769" s="2" t="s">
        <v>27</v>
      </c>
      <c r="M769" s="2" t="str">
        <f t="shared" si="33"/>
        <v>Cash</v>
      </c>
      <c r="N769" s="2" t="str">
        <f t="shared" si="34"/>
        <v>Accessories</v>
      </c>
      <c r="O769" s="2" t="str">
        <f t="shared" si="35"/>
        <v>High Stock</v>
      </c>
    </row>
    <row r="770" spans="1:15" x14ac:dyDescent="0.3">
      <c r="A770" s="5">
        <v>45903</v>
      </c>
      <c r="B770" s="2" t="s">
        <v>1917</v>
      </c>
      <c r="C770" s="2" t="s">
        <v>994</v>
      </c>
      <c r="D770" s="2" t="s">
        <v>45</v>
      </c>
      <c r="E770" s="2" t="s">
        <v>23</v>
      </c>
      <c r="F770" s="2">
        <v>30</v>
      </c>
      <c r="G770" s="7">
        <v>37.979999999999997</v>
      </c>
      <c r="H770" s="7">
        <v>911.52</v>
      </c>
      <c r="I770" s="2">
        <v>20</v>
      </c>
      <c r="J770" s="2" t="s">
        <v>24</v>
      </c>
      <c r="K770" s="2" t="s">
        <v>104</v>
      </c>
      <c r="L770" s="2" t="s">
        <v>31</v>
      </c>
      <c r="M770" s="2" t="str">
        <f t="shared" si="33"/>
        <v>Credit Card</v>
      </c>
      <c r="N770" s="2" t="str">
        <f t="shared" si="34"/>
        <v>Accessories</v>
      </c>
      <c r="O770" s="2" t="str">
        <f t="shared" si="35"/>
        <v>High Stock</v>
      </c>
    </row>
    <row r="771" spans="1:15" x14ac:dyDescent="0.3">
      <c r="A771" s="5">
        <v>45833</v>
      </c>
      <c r="B771" s="2" t="s">
        <v>1918</v>
      </c>
      <c r="C771" s="2" t="s">
        <v>939</v>
      </c>
      <c r="D771" s="2" t="s">
        <v>99</v>
      </c>
      <c r="E771" s="2" t="s">
        <v>23</v>
      </c>
      <c r="F771" s="2">
        <v>44</v>
      </c>
      <c r="G771" s="7">
        <v>22.82</v>
      </c>
      <c r="H771" s="7">
        <v>1004.08</v>
      </c>
      <c r="I771" s="2">
        <v>0</v>
      </c>
      <c r="J771" s="2" t="s">
        <v>46</v>
      </c>
      <c r="K771" s="2" t="s">
        <v>124</v>
      </c>
      <c r="L771" s="2" t="s">
        <v>27</v>
      </c>
      <c r="M771" s="2" t="str">
        <f t="shared" ref="M771:M834" si="36">TRIM(L771)</f>
        <v>Cash</v>
      </c>
      <c r="N771" s="2" t="str">
        <f t="shared" ref="N771:N834" si="37">PROPER(E771)</f>
        <v>Accessories</v>
      </c>
      <c r="O771" s="2" t="str">
        <f t="shared" ref="O771:O834" si="38">IF(F771&gt;15,"High Stock","Low Stock")</f>
        <v>High Stock</v>
      </c>
    </row>
    <row r="772" spans="1:15" x14ac:dyDescent="0.3">
      <c r="A772" s="5">
        <v>46219</v>
      </c>
      <c r="B772" s="2" t="s">
        <v>1920</v>
      </c>
      <c r="C772" s="2" t="s">
        <v>1921</v>
      </c>
      <c r="D772" s="2" t="s">
        <v>34</v>
      </c>
      <c r="E772" s="2" t="s">
        <v>35</v>
      </c>
      <c r="F772" s="2">
        <v>42</v>
      </c>
      <c r="G772" s="7">
        <v>571.84</v>
      </c>
      <c r="H772" s="7">
        <v>24017.279999999999</v>
      </c>
      <c r="I772" s="2">
        <v>0</v>
      </c>
      <c r="J772" s="2" t="s">
        <v>46</v>
      </c>
      <c r="K772" s="2" t="s">
        <v>78</v>
      </c>
      <c r="L772" s="2" t="s">
        <v>69</v>
      </c>
      <c r="M772" s="2" t="str">
        <f t="shared" si="36"/>
        <v>Debit Card</v>
      </c>
      <c r="N772" s="2" t="str">
        <f t="shared" si="37"/>
        <v>Electronics</v>
      </c>
      <c r="O772" s="2" t="str">
        <f t="shared" si="38"/>
        <v>High Stock</v>
      </c>
    </row>
    <row r="773" spans="1:15" x14ac:dyDescent="0.3">
      <c r="A773" s="5">
        <v>46263</v>
      </c>
      <c r="B773" s="2" t="s">
        <v>1922</v>
      </c>
      <c r="C773" s="2" t="s">
        <v>247</v>
      </c>
      <c r="D773" s="2" t="s">
        <v>72</v>
      </c>
      <c r="E773" s="2" t="s">
        <v>73</v>
      </c>
      <c r="F773" s="2">
        <v>3</v>
      </c>
      <c r="G773" s="7">
        <v>198.2</v>
      </c>
      <c r="H773" s="7">
        <v>564.87</v>
      </c>
      <c r="I773" s="2">
        <v>5</v>
      </c>
      <c r="J773" s="2" t="s">
        <v>46</v>
      </c>
      <c r="K773" s="2" t="s">
        <v>78</v>
      </c>
      <c r="L773" s="1" t="s">
        <v>2347</v>
      </c>
      <c r="M773" s="1" t="str">
        <f t="shared" si="36"/>
        <v>Online Payment</v>
      </c>
      <c r="N773" s="2" t="str">
        <f t="shared" si="37"/>
        <v>Furniture</v>
      </c>
      <c r="O773" s="1" t="str">
        <f t="shared" si="38"/>
        <v>Low Stock</v>
      </c>
    </row>
    <row r="774" spans="1:15" x14ac:dyDescent="0.3">
      <c r="A774" s="5">
        <v>46259</v>
      </c>
      <c r="B774" s="2" t="s">
        <v>1923</v>
      </c>
      <c r="C774" s="2" t="s">
        <v>1924</v>
      </c>
      <c r="D774" s="2" t="s">
        <v>14</v>
      </c>
      <c r="E774" s="2" t="s">
        <v>15</v>
      </c>
      <c r="F774" s="2">
        <v>18</v>
      </c>
      <c r="G774" s="7">
        <v>94.82</v>
      </c>
      <c r="H774" s="7">
        <v>1621.42</v>
      </c>
      <c r="I774" s="2">
        <v>5</v>
      </c>
      <c r="J774" s="2" t="s">
        <v>53</v>
      </c>
      <c r="K774" s="2" t="s">
        <v>134</v>
      </c>
      <c r="L774" s="2" t="s">
        <v>31</v>
      </c>
      <c r="M774" s="2" t="str">
        <f t="shared" si="36"/>
        <v>Credit Card</v>
      </c>
      <c r="N774" s="2" t="str">
        <f t="shared" si="37"/>
        <v>Peripherals</v>
      </c>
      <c r="O774" s="2" t="str">
        <f t="shared" si="38"/>
        <v>High Stock</v>
      </c>
    </row>
    <row r="775" spans="1:15" x14ac:dyDescent="0.3">
      <c r="A775" s="5">
        <v>46169</v>
      </c>
      <c r="B775" s="2" t="s">
        <v>1925</v>
      </c>
      <c r="C775" s="2" t="s">
        <v>1926</v>
      </c>
      <c r="D775" s="2" t="s">
        <v>95</v>
      </c>
      <c r="E775" s="2" t="s">
        <v>35</v>
      </c>
      <c r="F775" s="2">
        <v>41</v>
      </c>
      <c r="G775" s="7">
        <v>1135.24</v>
      </c>
      <c r="H775" s="7">
        <v>39563.11</v>
      </c>
      <c r="I775" s="2">
        <v>15</v>
      </c>
      <c r="J775" s="2" t="s">
        <v>46</v>
      </c>
      <c r="K775" s="2" t="s">
        <v>78</v>
      </c>
      <c r="L775" s="2" t="s">
        <v>69</v>
      </c>
      <c r="M775" s="2" t="str">
        <f t="shared" si="36"/>
        <v>Debit Card</v>
      </c>
      <c r="N775" s="2" t="str">
        <f t="shared" si="37"/>
        <v>Electronics</v>
      </c>
      <c r="O775" s="2" t="str">
        <f t="shared" si="38"/>
        <v>High Stock</v>
      </c>
    </row>
    <row r="776" spans="1:15" x14ac:dyDescent="0.3">
      <c r="A776" s="5">
        <v>45742</v>
      </c>
      <c r="B776" s="2" t="s">
        <v>1927</v>
      </c>
      <c r="C776" s="2" t="s">
        <v>1928</v>
      </c>
      <c r="D776" s="2" t="s">
        <v>82</v>
      </c>
      <c r="E776" s="2" t="s">
        <v>73</v>
      </c>
      <c r="F776" s="2">
        <v>25</v>
      </c>
      <c r="G776" s="7">
        <v>535.44000000000005</v>
      </c>
      <c r="H776" s="7">
        <v>13386</v>
      </c>
      <c r="I776" s="2">
        <v>0</v>
      </c>
      <c r="J776" s="2" t="s">
        <v>16</v>
      </c>
      <c r="K776" s="2" t="s">
        <v>74</v>
      </c>
      <c r="L776" s="2" t="s">
        <v>31</v>
      </c>
      <c r="M776" s="2" t="str">
        <f t="shared" si="36"/>
        <v>Credit Card</v>
      </c>
      <c r="N776" s="2" t="str">
        <f t="shared" si="37"/>
        <v>Furniture</v>
      </c>
      <c r="O776" s="2" t="str">
        <f t="shared" si="38"/>
        <v>High Stock</v>
      </c>
    </row>
    <row r="777" spans="1:15" x14ac:dyDescent="0.3">
      <c r="A777" s="5">
        <v>45636</v>
      </c>
      <c r="B777" s="2" t="s">
        <v>1930</v>
      </c>
      <c r="C777" s="2" t="s">
        <v>757</v>
      </c>
      <c r="D777" s="2" t="s">
        <v>45</v>
      </c>
      <c r="E777" s="2" t="s">
        <v>23</v>
      </c>
      <c r="F777" s="2">
        <v>40</v>
      </c>
      <c r="G777" s="7">
        <v>106.04</v>
      </c>
      <c r="H777" s="7">
        <v>3393.28</v>
      </c>
      <c r="I777" s="2">
        <v>20</v>
      </c>
      <c r="J777" s="2" t="s">
        <v>16</v>
      </c>
      <c r="K777" s="2" t="s">
        <v>111</v>
      </c>
      <c r="L777" s="1" t="s">
        <v>2347</v>
      </c>
      <c r="M777" s="1" t="str">
        <f t="shared" si="36"/>
        <v>Online Payment</v>
      </c>
      <c r="N777" s="2" t="str">
        <f t="shared" si="37"/>
        <v>Accessories</v>
      </c>
      <c r="O777" s="1" t="str">
        <f t="shared" si="38"/>
        <v>High Stock</v>
      </c>
    </row>
    <row r="778" spans="1:15" x14ac:dyDescent="0.3">
      <c r="A778" s="5">
        <v>45767</v>
      </c>
      <c r="B778" s="2" t="s">
        <v>1931</v>
      </c>
      <c r="C778" s="2" t="s">
        <v>1492</v>
      </c>
      <c r="D778" s="2" t="s">
        <v>34</v>
      </c>
      <c r="E778" s="2" t="s">
        <v>35</v>
      </c>
      <c r="F778" s="2">
        <v>20</v>
      </c>
      <c r="G778" s="7">
        <v>628.82000000000005</v>
      </c>
      <c r="H778" s="7">
        <v>11947.58</v>
      </c>
      <c r="I778" s="2">
        <v>5</v>
      </c>
      <c r="J778" s="2" t="s">
        <v>46</v>
      </c>
      <c r="K778" s="2" t="s">
        <v>78</v>
      </c>
      <c r="L778" s="2" t="s">
        <v>69</v>
      </c>
      <c r="M778" s="2" t="str">
        <f t="shared" si="36"/>
        <v>Debit Card</v>
      </c>
      <c r="N778" s="2" t="str">
        <f t="shared" si="37"/>
        <v>Electronics</v>
      </c>
      <c r="O778" s="2" t="str">
        <f t="shared" si="38"/>
        <v>High Stock</v>
      </c>
    </row>
    <row r="779" spans="1:15" x14ac:dyDescent="0.3">
      <c r="A779" s="5">
        <v>46103</v>
      </c>
      <c r="B779" s="2" t="s">
        <v>1932</v>
      </c>
      <c r="C779" s="2" t="s">
        <v>1933</v>
      </c>
      <c r="D779" s="2" t="s">
        <v>90</v>
      </c>
      <c r="E779" s="2" t="s">
        <v>23</v>
      </c>
      <c r="F779" s="2">
        <v>37</v>
      </c>
      <c r="G779" s="7">
        <v>38.549999999999997</v>
      </c>
      <c r="H779" s="7">
        <v>1212.4000000000001</v>
      </c>
      <c r="I779" s="2">
        <v>15</v>
      </c>
      <c r="J779" s="2" t="s">
        <v>53</v>
      </c>
      <c r="K779" s="2" t="s">
        <v>134</v>
      </c>
      <c r="L779" s="2" t="s">
        <v>69</v>
      </c>
      <c r="M779" s="2" t="str">
        <f t="shared" si="36"/>
        <v>Debit Card</v>
      </c>
      <c r="N779" s="2" t="str">
        <f t="shared" si="37"/>
        <v>Accessories</v>
      </c>
      <c r="O779" s="2" t="str">
        <f t="shared" si="38"/>
        <v>High Stock</v>
      </c>
    </row>
    <row r="780" spans="1:15" x14ac:dyDescent="0.3">
      <c r="A780" s="5">
        <v>45698</v>
      </c>
      <c r="B780" s="2" t="s">
        <v>1935</v>
      </c>
      <c r="C780" s="2" t="s">
        <v>1936</v>
      </c>
      <c r="D780" s="2" t="s">
        <v>34</v>
      </c>
      <c r="E780" s="2" t="s">
        <v>35</v>
      </c>
      <c r="F780" s="2">
        <v>5</v>
      </c>
      <c r="G780" s="7">
        <v>818.45</v>
      </c>
      <c r="H780" s="7">
        <v>3887.64</v>
      </c>
      <c r="I780" s="2">
        <v>5</v>
      </c>
      <c r="J780" s="2" t="s">
        <v>53</v>
      </c>
      <c r="K780" s="2" t="s">
        <v>67</v>
      </c>
      <c r="L780" s="2" t="s">
        <v>49</v>
      </c>
      <c r="M780" s="2" t="str">
        <f t="shared" si="36"/>
        <v>Check</v>
      </c>
      <c r="N780" s="2" t="str">
        <f t="shared" si="37"/>
        <v>Electronics</v>
      </c>
      <c r="O780" s="2" t="str">
        <f t="shared" si="38"/>
        <v>Low Stock</v>
      </c>
    </row>
    <row r="781" spans="1:15" x14ac:dyDescent="0.3">
      <c r="A781" s="5">
        <v>45658</v>
      </c>
      <c r="B781" s="2" t="s">
        <v>1938</v>
      </c>
      <c r="C781" s="2" t="s">
        <v>1939</v>
      </c>
      <c r="D781" s="2" t="s">
        <v>22</v>
      </c>
      <c r="E781" s="2" t="s">
        <v>23</v>
      </c>
      <c r="F781" s="2">
        <v>29</v>
      </c>
      <c r="G781" s="7">
        <v>30.4</v>
      </c>
      <c r="H781" s="7">
        <v>837.52</v>
      </c>
      <c r="I781" s="2">
        <v>5</v>
      </c>
      <c r="J781" s="2" t="s">
        <v>46</v>
      </c>
      <c r="K781" s="2" t="s">
        <v>47</v>
      </c>
      <c r="L781" s="2" t="s">
        <v>31</v>
      </c>
      <c r="M781" s="2" t="str">
        <f t="shared" si="36"/>
        <v>Credit Card</v>
      </c>
      <c r="N781" s="2" t="str">
        <f t="shared" si="37"/>
        <v>Accessories</v>
      </c>
      <c r="O781" s="2" t="str">
        <f t="shared" si="38"/>
        <v>High Stock</v>
      </c>
    </row>
    <row r="782" spans="1:15" x14ac:dyDescent="0.3">
      <c r="A782" s="5">
        <v>45957</v>
      </c>
      <c r="B782" s="2" t="s">
        <v>1940</v>
      </c>
      <c r="C782" s="2" t="s">
        <v>1941</v>
      </c>
      <c r="D782" s="2" t="s">
        <v>45</v>
      </c>
      <c r="E782" s="2" t="s">
        <v>23</v>
      </c>
      <c r="F782" s="2">
        <v>49</v>
      </c>
      <c r="G782" s="7">
        <v>186.21</v>
      </c>
      <c r="H782" s="7">
        <v>9124.2900000000009</v>
      </c>
      <c r="I782" s="2">
        <v>0</v>
      </c>
      <c r="J782" s="2" t="s">
        <v>16</v>
      </c>
      <c r="K782" s="2" t="s">
        <v>17</v>
      </c>
      <c r="L782" s="1" t="s">
        <v>2347</v>
      </c>
      <c r="M782" s="1" t="str">
        <f t="shared" si="36"/>
        <v>Online Payment</v>
      </c>
      <c r="N782" s="2" t="str">
        <f t="shared" si="37"/>
        <v>Accessories</v>
      </c>
      <c r="O782" s="1" t="str">
        <f t="shared" si="38"/>
        <v>High Stock</v>
      </c>
    </row>
    <row r="783" spans="1:15" x14ac:dyDescent="0.3">
      <c r="A783" s="5">
        <v>45755</v>
      </c>
      <c r="B783" s="2" t="s">
        <v>1942</v>
      </c>
      <c r="C783" s="2" t="s">
        <v>150</v>
      </c>
      <c r="D783" s="2" t="s">
        <v>14</v>
      </c>
      <c r="E783" s="2" t="s">
        <v>15</v>
      </c>
      <c r="F783" s="2">
        <v>21</v>
      </c>
      <c r="G783" s="7">
        <v>45.77</v>
      </c>
      <c r="H783" s="7">
        <v>961.17</v>
      </c>
      <c r="I783" s="2">
        <v>0</v>
      </c>
      <c r="J783" s="2" t="s">
        <v>16</v>
      </c>
      <c r="K783" s="2" t="s">
        <v>91</v>
      </c>
      <c r="L783" s="2" t="s">
        <v>31</v>
      </c>
      <c r="M783" s="2" t="str">
        <f t="shared" si="36"/>
        <v>Credit Card</v>
      </c>
      <c r="N783" s="2" t="str">
        <f t="shared" si="37"/>
        <v>Peripherals</v>
      </c>
      <c r="O783" s="2" t="str">
        <f t="shared" si="38"/>
        <v>High Stock</v>
      </c>
    </row>
    <row r="784" spans="1:15" x14ac:dyDescent="0.3">
      <c r="A784" s="5">
        <v>46020</v>
      </c>
      <c r="B784" s="2" t="s">
        <v>1943</v>
      </c>
      <c r="C784" s="2" t="s">
        <v>1944</v>
      </c>
      <c r="D784" s="2" t="s">
        <v>14</v>
      </c>
      <c r="E784" s="2" t="s">
        <v>15</v>
      </c>
      <c r="F784" s="2">
        <v>10</v>
      </c>
      <c r="G784" s="7">
        <v>44.06</v>
      </c>
      <c r="H784" s="7">
        <v>374.51</v>
      </c>
      <c r="I784" s="2">
        <v>15</v>
      </c>
      <c r="J784" s="2" t="s">
        <v>46</v>
      </c>
      <c r="K784" s="2" t="s">
        <v>244</v>
      </c>
      <c r="L784" s="2" t="s">
        <v>31</v>
      </c>
      <c r="M784" s="2" t="str">
        <f t="shared" si="36"/>
        <v>Credit Card</v>
      </c>
      <c r="N784" s="2" t="str">
        <f t="shared" si="37"/>
        <v>Peripherals</v>
      </c>
      <c r="O784" s="2" t="str">
        <f t="shared" si="38"/>
        <v>Low Stock</v>
      </c>
    </row>
    <row r="785" spans="1:15" x14ac:dyDescent="0.3">
      <c r="A785" s="5">
        <v>45937</v>
      </c>
      <c r="B785" s="2" t="s">
        <v>1945</v>
      </c>
      <c r="C785" s="2" t="s">
        <v>209</v>
      </c>
      <c r="D785" s="2" t="s">
        <v>90</v>
      </c>
      <c r="E785" s="2" t="s">
        <v>23</v>
      </c>
      <c r="F785" s="2">
        <v>39</v>
      </c>
      <c r="G785" s="7">
        <v>15.07</v>
      </c>
      <c r="H785" s="7">
        <v>499.57</v>
      </c>
      <c r="I785" s="2">
        <v>15</v>
      </c>
      <c r="J785" s="2" t="s">
        <v>53</v>
      </c>
      <c r="K785" s="2" t="s">
        <v>170</v>
      </c>
      <c r="L785" s="2" t="s">
        <v>27</v>
      </c>
      <c r="M785" s="2" t="str">
        <f t="shared" si="36"/>
        <v>Cash</v>
      </c>
      <c r="N785" s="2" t="str">
        <f t="shared" si="37"/>
        <v>Accessories</v>
      </c>
      <c r="O785" s="2" t="str">
        <f t="shared" si="38"/>
        <v>High Stock</v>
      </c>
    </row>
    <row r="786" spans="1:15" x14ac:dyDescent="0.3">
      <c r="A786" s="5">
        <v>46245</v>
      </c>
      <c r="B786" s="2" t="s">
        <v>1946</v>
      </c>
      <c r="C786" s="2" t="s">
        <v>1947</v>
      </c>
      <c r="D786" s="2" t="s">
        <v>99</v>
      </c>
      <c r="E786" s="2" t="s">
        <v>23</v>
      </c>
      <c r="F786" s="2">
        <v>32</v>
      </c>
      <c r="G786" s="7">
        <v>17.739999999999998</v>
      </c>
      <c r="H786" s="7">
        <v>567.67999999999995</v>
      </c>
      <c r="I786" s="2">
        <v>0</v>
      </c>
      <c r="J786" s="2" t="s">
        <v>24</v>
      </c>
      <c r="K786" s="2" t="s">
        <v>36</v>
      </c>
      <c r="L786" s="2" t="s">
        <v>27</v>
      </c>
      <c r="M786" s="2" t="str">
        <f t="shared" si="36"/>
        <v>Cash</v>
      </c>
      <c r="N786" s="2" t="str">
        <f t="shared" si="37"/>
        <v>Accessories</v>
      </c>
      <c r="O786" s="2" t="str">
        <f t="shared" si="38"/>
        <v>High Stock</v>
      </c>
    </row>
    <row r="787" spans="1:15" x14ac:dyDescent="0.3">
      <c r="A787" s="5">
        <v>46093</v>
      </c>
      <c r="B787" s="2" t="s">
        <v>1948</v>
      </c>
      <c r="C787" s="2" t="s">
        <v>1949</v>
      </c>
      <c r="D787" s="2" t="s">
        <v>99</v>
      </c>
      <c r="E787" s="2" t="s">
        <v>23</v>
      </c>
      <c r="F787" s="2">
        <v>49</v>
      </c>
      <c r="G787" s="7">
        <v>25.19</v>
      </c>
      <c r="H787" s="7">
        <v>1110.8800000000001</v>
      </c>
      <c r="I787" s="2">
        <v>10</v>
      </c>
      <c r="J787" s="2" t="s">
        <v>16</v>
      </c>
      <c r="K787" s="2" t="s">
        <v>74</v>
      </c>
      <c r="L787" s="2" t="s">
        <v>31</v>
      </c>
      <c r="M787" s="2" t="str">
        <f t="shared" si="36"/>
        <v>Credit Card</v>
      </c>
      <c r="N787" s="2" t="str">
        <f t="shared" si="37"/>
        <v>Accessories</v>
      </c>
      <c r="O787" s="2" t="str">
        <f t="shared" si="38"/>
        <v>High Stock</v>
      </c>
    </row>
    <row r="788" spans="1:15" x14ac:dyDescent="0.3">
      <c r="A788" s="5">
        <v>45814</v>
      </c>
      <c r="B788" s="2" t="s">
        <v>1950</v>
      </c>
      <c r="C788" s="2" t="s">
        <v>669</v>
      </c>
      <c r="D788" s="2" t="s">
        <v>52</v>
      </c>
      <c r="E788" s="2" t="s">
        <v>35</v>
      </c>
      <c r="F788" s="2">
        <v>34</v>
      </c>
      <c r="G788" s="7">
        <v>139.1</v>
      </c>
      <c r="H788" s="7">
        <v>4256.46</v>
      </c>
      <c r="I788" s="2">
        <v>10</v>
      </c>
      <c r="J788" s="2" t="s">
        <v>46</v>
      </c>
      <c r="K788" s="2" t="s">
        <v>244</v>
      </c>
      <c r="L788" s="2" t="s">
        <v>69</v>
      </c>
      <c r="M788" s="2" t="str">
        <f t="shared" si="36"/>
        <v>Debit Card</v>
      </c>
      <c r="N788" s="2" t="str">
        <f t="shared" si="37"/>
        <v>Electronics</v>
      </c>
      <c r="O788" s="2" t="str">
        <f t="shared" si="38"/>
        <v>High Stock</v>
      </c>
    </row>
    <row r="789" spans="1:15" x14ac:dyDescent="0.3">
      <c r="A789" s="5">
        <v>46119</v>
      </c>
      <c r="B789" s="2" t="s">
        <v>1952</v>
      </c>
      <c r="C789" s="2" t="s">
        <v>1452</v>
      </c>
      <c r="D789" s="2" t="s">
        <v>14</v>
      </c>
      <c r="E789" s="2" t="s">
        <v>15</v>
      </c>
      <c r="F789" s="2">
        <v>38</v>
      </c>
      <c r="G789" s="7">
        <v>70.099999999999994</v>
      </c>
      <c r="H789" s="7">
        <v>2264.23</v>
      </c>
      <c r="I789" s="2">
        <v>15</v>
      </c>
      <c r="J789" s="2" t="s">
        <v>53</v>
      </c>
      <c r="K789" s="2" t="s">
        <v>67</v>
      </c>
      <c r="L789" s="2" t="s">
        <v>27</v>
      </c>
      <c r="M789" s="2" t="str">
        <f t="shared" si="36"/>
        <v>Cash</v>
      </c>
      <c r="N789" s="2" t="str">
        <f t="shared" si="37"/>
        <v>Peripherals</v>
      </c>
      <c r="O789" s="2" t="str">
        <f t="shared" si="38"/>
        <v>High Stock</v>
      </c>
    </row>
    <row r="790" spans="1:15" x14ac:dyDescent="0.3">
      <c r="A790" s="5">
        <v>46049</v>
      </c>
      <c r="B790" s="2" t="s">
        <v>1954</v>
      </c>
      <c r="C790" s="2" t="s">
        <v>1955</v>
      </c>
      <c r="D790" s="2" t="s">
        <v>22</v>
      </c>
      <c r="E790" s="2" t="s">
        <v>23</v>
      </c>
      <c r="F790" s="2">
        <v>24</v>
      </c>
      <c r="G790" s="7">
        <v>16.18</v>
      </c>
      <c r="H790" s="7">
        <v>349.49</v>
      </c>
      <c r="I790" s="2">
        <v>10</v>
      </c>
      <c r="J790" s="2" t="s">
        <v>16</v>
      </c>
      <c r="K790" s="2" t="s">
        <v>17</v>
      </c>
      <c r="L790" s="2" t="s">
        <v>31</v>
      </c>
      <c r="M790" s="2" t="str">
        <f t="shared" si="36"/>
        <v>Credit Card</v>
      </c>
      <c r="N790" s="2" t="str">
        <f t="shared" si="37"/>
        <v>Accessories</v>
      </c>
      <c r="O790" s="2" t="str">
        <f t="shared" si="38"/>
        <v>High Stock</v>
      </c>
    </row>
    <row r="791" spans="1:15" x14ac:dyDescent="0.3">
      <c r="A791" s="5">
        <v>45599</v>
      </c>
      <c r="B791" s="2" t="s">
        <v>1956</v>
      </c>
      <c r="C791" s="2" t="s">
        <v>472</v>
      </c>
      <c r="D791" s="2" t="s">
        <v>82</v>
      </c>
      <c r="E791" s="2" t="s">
        <v>73</v>
      </c>
      <c r="F791" s="2">
        <v>13</v>
      </c>
      <c r="G791" s="7">
        <v>378.25</v>
      </c>
      <c r="H791" s="7">
        <v>4425.53</v>
      </c>
      <c r="I791" s="2">
        <v>10</v>
      </c>
      <c r="J791" s="2" t="s">
        <v>46</v>
      </c>
      <c r="K791" s="2" t="s">
        <v>47</v>
      </c>
      <c r="L791" s="2" t="s">
        <v>27</v>
      </c>
      <c r="M791" s="2" t="str">
        <f t="shared" si="36"/>
        <v>Cash</v>
      </c>
      <c r="N791" s="2" t="str">
        <f t="shared" si="37"/>
        <v>Furniture</v>
      </c>
      <c r="O791" s="2" t="str">
        <f t="shared" si="38"/>
        <v>Low Stock</v>
      </c>
    </row>
    <row r="792" spans="1:15" x14ac:dyDescent="0.3">
      <c r="A792" s="5">
        <v>46129</v>
      </c>
      <c r="B792" s="2" t="s">
        <v>1957</v>
      </c>
      <c r="C792" s="2" t="s">
        <v>1958</v>
      </c>
      <c r="D792" s="2" t="s">
        <v>52</v>
      </c>
      <c r="E792" s="2" t="s">
        <v>35</v>
      </c>
      <c r="F792" s="2">
        <v>4</v>
      </c>
      <c r="G792" s="7">
        <v>106.11</v>
      </c>
      <c r="H792" s="7">
        <v>424.44</v>
      </c>
      <c r="I792" s="2">
        <v>0</v>
      </c>
      <c r="J792" s="2" t="s">
        <v>24</v>
      </c>
      <c r="K792" s="2" t="s">
        <v>59</v>
      </c>
      <c r="L792" s="1" t="s">
        <v>2347</v>
      </c>
      <c r="M792" s="1" t="str">
        <f t="shared" si="36"/>
        <v>Online Payment</v>
      </c>
      <c r="N792" s="2" t="str">
        <f t="shared" si="37"/>
        <v>Electronics</v>
      </c>
      <c r="O792" s="1" t="str">
        <f t="shared" si="38"/>
        <v>Low Stock</v>
      </c>
    </row>
    <row r="793" spans="1:15" x14ac:dyDescent="0.3">
      <c r="A793" s="5">
        <v>45702</v>
      </c>
      <c r="B793" s="2" t="s">
        <v>1959</v>
      </c>
      <c r="C793" s="2" t="s">
        <v>1183</v>
      </c>
      <c r="D793" s="2" t="s">
        <v>82</v>
      </c>
      <c r="E793" s="2" t="s">
        <v>73</v>
      </c>
      <c r="F793" s="2">
        <v>44</v>
      </c>
      <c r="G793" s="7">
        <v>780.56</v>
      </c>
      <c r="H793" s="7">
        <v>30910.18</v>
      </c>
      <c r="I793" s="2">
        <v>10</v>
      </c>
      <c r="J793" s="2" t="s">
        <v>16</v>
      </c>
      <c r="K793" s="2" t="s">
        <v>160</v>
      </c>
      <c r="L793" s="2" t="s">
        <v>31</v>
      </c>
      <c r="M793" s="2" t="str">
        <f t="shared" si="36"/>
        <v>Credit Card</v>
      </c>
      <c r="N793" s="2" t="str">
        <f t="shared" si="37"/>
        <v>Furniture</v>
      </c>
      <c r="O793" s="2" t="str">
        <f t="shared" si="38"/>
        <v>High Stock</v>
      </c>
    </row>
    <row r="794" spans="1:15" x14ac:dyDescent="0.3">
      <c r="A794" s="5">
        <v>46101</v>
      </c>
      <c r="B794" s="2" t="s">
        <v>1960</v>
      </c>
      <c r="C794" s="2" t="s">
        <v>1961</v>
      </c>
      <c r="D794" s="2" t="s">
        <v>99</v>
      </c>
      <c r="E794" s="2" t="s">
        <v>23</v>
      </c>
      <c r="F794" s="2">
        <v>23</v>
      </c>
      <c r="G794" s="7">
        <v>28.48</v>
      </c>
      <c r="H794" s="7">
        <v>655.04</v>
      </c>
      <c r="I794" s="2">
        <v>0</v>
      </c>
      <c r="J794" s="2" t="s">
        <v>53</v>
      </c>
      <c r="K794" s="2" t="s">
        <v>67</v>
      </c>
      <c r="L794" s="2" t="s">
        <v>69</v>
      </c>
      <c r="M794" s="2" t="str">
        <f t="shared" si="36"/>
        <v>Debit Card</v>
      </c>
      <c r="N794" s="2" t="str">
        <f t="shared" si="37"/>
        <v>Accessories</v>
      </c>
      <c r="O794" s="2" t="str">
        <f t="shared" si="38"/>
        <v>High Stock</v>
      </c>
    </row>
    <row r="795" spans="1:15" x14ac:dyDescent="0.3">
      <c r="A795" s="5">
        <v>45945</v>
      </c>
      <c r="B795" s="2" t="s">
        <v>1962</v>
      </c>
      <c r="C795" s="2" t="s">
        <v>1963</v>
      </c>
      <c r="D795" s="2" t="s">
        <v>90</v>
      </c>
      <c r="E795" s="2" t="s">
        <v>23</v>
      </c>
      <c r="F795" s="2">
        <v>22</v>
      </c>
      <c r="G795" s="7">
        <v>15.86</v>
      </c>
      <c r="H795" s="7">
        <v>348.92</v>
      </c>
      <c r="I795" s="2">
        <v>0</v>
      </c>
      <c r="J795" s="2" t="s">
        <v>16</v>
      </c>
      <c r="K795" s="2" t="s">
        <v>91</v>
      </c>
      <c r="L795" s="1" t="s">
        <v>2347</v>
      </c>
      <c r="M795" s="1" t="str">
        <f t="shared" si="36"/>
        <v>Online Payment</v>
      </c>
      <c r="N795" s="2" t="str">
        <f t="shared" si="37"/>
        <v>Accessories</v>
      </c>
      <c r="O795" s="1" t="str">
        <f t="shared" si="38"/>
        <v>High Stock</v>
      </c>
    </row>
    <row r="796" spans="1:15" x14ac:dyDescent="0.3">
      <c r="A796" s="5">
        <v>45990</v>
      </c>
      <c r="B796" s="2" t="s">
        <v>1964</v>
      </c>
      <c r="C796" s="2" t="s">
        <v>1695</v>
      </c>
      <c r="D796" s="2" t="s">
        <v>103</v>
      </c>
      <c r="E796" s="2" t="s">
        <v>35</v>
      </c>
      <c r="F796" s="2">
        <v>4</v>
      </c>
      <c r="G796" s="7">
        <v>320.8</v>
      </c>
      <c r="H796" s="7">
        <v>1219.04</v>
      </c>
      <c r="I796" s="2">
        <v>5</v>
      </c>
      <c r="J796" s="2" t="s">
        <v>53</v>
      </c>
      <c r="K796" s="2" t="s">
        <v>54</v>
      </c>
      <c r="L796" s="2" t="s">
        <v>49</v>
      </c>
      <c r="M796" s="2" t="str">
        <f t="shared" si="36"/>
        <v>Check</v>
      </c>
      <c r="N796" s="2" t="str">
        <f t="shared" si="37"/>
        <v>Electronics</v>
      </c>
      <c r="O796" s="2" t="str">
        <f t="shared" si="38"/>
        <v>Low Stock</v>
      </c>
    </row>
    <row r="797" spans="1:15" x14ac:dyDescent="0.3">
      <c r="A797" s="5">
        <v>46117</v>
      </c>
      <c r="B797" s="2" t="s">
        <v>1965</v>
      </c>
      <c r="C797" s="2" t="s">
        <v>1966</v>
      </c>
      <c r="D797" s="2" t="s">
        <v>40</v>
      </c>
      <c r="E797" s="2" t="s">
        <v>23</v>
      </c>
      <c r="F797" s="2">
        <v>43</v>
      </c>
      <c r="G797" s="7">
        <v>49.27</v>
      </c>
      <c r="H797" s="7">
        <v>1906.75</v>
      </c>
      <c r="I797" s="2">
        <v>10</v>
      </c>
      <c r="J797" s="2" t="s">
        <v>16</v>
      </c>
      <c r="K797" s="2" t="s">
        <v>17</v>
      </c>
      <c r="L797" s="2" t="s">
        <v>27</v>
      </c>
      <c r="M797" s="2" t="str">
        <f t="shared" si="36"/>
        <v>Cash</v>
      </c>
      <c r="N797" s="2" t="str">
        <f t="shared" si="37"/>
        <v>Accessories</v>
      </c>
      <c r="O797" s="2" t="str">
        <f t="shared" si="38"/>
        <v>High Stock</v>
      </c>
    </row>
    <row r="798" spans="1:15" x14ac:dyDescent="0.3">
      <c r="A798" s="5">
        <v>45597</v>
      </c>
      <c r="B798" s="2" t="s">
        <v>1968</v>
      </c>
      <c r="C798" s="2" t="s">
        <v>1969</v>
      </c>
      <c r="D798" s="2" t="s">
        <v>22</v>
      </c>
      <c r="E798" s="2" t="s">
        <v>23</v>
      </c>
      <c r="F798" s="2">
        <v>29</v>
      </c>
      <c r="G798" s="7">
        <v>20.38</v>
      </c>
      <c r="H798" s="7">
        <v>531.91999999999996</v>
      </c>
      <c r="I798" s="2">
        <v>10</v>
      </c>
      <c r="J798" s="2" t="s">
        <v>53</v>
      </c>
      <c r="K798" s="2" t="s">
        <v>54</v>
      </c>
      <c r="L798" s="2" t="s">
        <v>27</v>
      </c>
      <c r="M798" s="2" t="str">
        <f t="shared" si="36"/>
        <v>Cash</v>
      </c>
      <c r="N798" s="2" t="str">
        <f t="shared" si="37"/>
        <v>Accessories</v>
      </c>
      <c r="O798" s="2" t="str">
        <f t="shared" si="38"/>
        <v>High Stock</v>
      </c>
    </row>
    <row r="799" spans="1:15" x14ac:dyDescent="0.3">
      <c r="A799" s="5">
        <v>46088</v>
      </c>
      <c r="B799" s="2" t="s">
        <v>1970</v>
      </c>
      <c r="C799" s="2" t="s">
        <v>1971</v>
      </c>
      <c r="D799" s="2" t="s">
        <v>95</v>
      </c>
      <c r="E799" s="2" t="s">
        <v>35</v>
      </c>
      <c r="F799" s="2">
        <v>32</v>
      </c>
      <c r="G799" s="7">
        <v>493.64</v>
      </c>
      <c r="H799" s="7">
        <v>15006.66</v>
      </c>
      <c r="I799" s="2">
        <v>5</v>
      </c>
      <c r="J799" s="2" t="s">
        <v>46</v>
      </c>
      <c r="K799" s="2" t="s">
        <v>124</v>
      </c>
      <c r="L799" s="2" t="s">
        <v>49</v>
      </c>
      <c r="M799" s="2" t="str">
        <f t="shared" si="36"/>
        <v>Check</v>
      </c>
      <c r="N799" s="2" t="str">
        <f t="shared" si="37"/>
        <v>Electronics</v>
      </c>
      <c r="O799" s="2" t="str">
        <f t="shared" si="38"/>
        <v>High Stock</v>
      </c>
    </row>
    <row r="800" spans="1:15" x14ac:dyDescent="0.3">
      <c r="A800" s="5">
        <v>45916</v>
      </c>
      <c r="B800" s="2" t="s">
        <v>1973</v>
      </c>
      <c r="C800" s="2" t="s">
        <v>98</v>
      </c>
      <c r="D800" s="2" t="s">
        <v>72</v>
      </c>
      <c r="E800" s="2" t="s">
        <v>73</v>
      </c>
      <c r="F800" s="2">
        <v>7</v>
      </c>
      <c r="G800" s="7">
        <v>170.62</v>
      </c>
      <c r="H800" s="7">
        <v>1134.6199999999999</v>
      </c>
      <c r="I800" s="2">
        <v>5</v>
      </c>
      <c r="J800" s="2" t="s">
        <v>16</v>
      </c>
      <c r="K800" s="2" t="s">
        <v>91</v>
      </c>
      <c r="L800" s="1" t="s">
        <v>2347</v>
      </c>
      <c r="M800" s="1" t="str">
        <f t="shared" si="36"/>
        <v>Online Payment</v>
      </c>
      <c r="N800" s="2" t="str">
        <f t="shared" si="37"/>
        <v>Furniture</v>
      </c>
      <c r="O800" s="1" t="str">
        <f t="shared" si="38"/>
        <v>Low Stock</v>
      </c>
    </row>
    <row r="801" spans="1:15" x14ac:dyDescent="0.3">
      <c r="A801" s="5">
        <v>45950</v>
      </c>
      <c r="B801" s="2" t="s">
        <v>1975</v>
      </c>
      <c r="C801" s="2" t="s">
        <v>1976</v>
      </c>
      <c r="D801" s="2" t="s">
        <v>90</v>
      </c>
      <c r="E801" s="2" t="s">
        <v>23</v>
      </c>
      <c r="F801" s="2">
        <v>4</v>
      </c>
      <c r="G801" s="7">
        <v>30.72</v>
      </c>
      <c r="H801" s="7">
        <v>122.88</v>
      </c>
      <c r="I801" s="2">
        <v>0</v>
      </c>
      <c r="J801" s="2" t="s">
        <v>24</v>
      </c>
      <c r="K801" s="2" t="s">
        <v>41</v>
      </c>
      <c r="L801" s="2" t="s">
        <v>49</v>
      </c>
      <c r="M801" s="2" t="str">
        <f t="shared" si="36"/>
        <v>Check</v>
      </c>
      <c r="N801" s="2" t="str">
        <f t="shared" si="37"/>
        <v>Accessories</v>
      </c>
      <c r="O801" s="2" t="str">
        <f t="shared" si="38"/>
        <v>Low Stock</v>
      </c>
    </row>
    <row r="802" spans="1:15" x14ac:dyDescent="0.3">
      <c r="A802" s="5">
        <v>45616</v>
      </c>
      <c r="B802" s="2" t="s">
        <v>1977</v>
      </c>
      <c r="C802" s="2" t="s">
        <v>1978</v>
      </c>
      <c r="D802" s="2" t="s">
        <v>34</v>
      </c>
      <c r="E802" s="2" t="s">
        <v>35</v>
      </c>
      <c r="F802" s="2">
        <v>45</v>
      </c>
      <c r="G802" s="7">
        <v>536.63</v>
      </c>
      <c r="H802" s="7">
        <v>24148.35</v>
      </c>
      <c r="I802" s="2">
        <v>0</v>
      </c>
      <c r="J802" s="2" t="s">
        <v>24</v>
      </c>
      <c r="K802" s="2" t="s">
        <v>59</v>
      </c>
      <c r="L802" s="1" t="s">
        <v>2347</v>
      </c>
      <c r="M802" s="1" t="str">
        <f t="shared" si="36"/>
        <v>Online Payment</v>
      </c>
      <c r="N802" s="2" t="str">
        <f t="shared" si="37"/>
        <v>Electronics</v>
      </c>
      <c r="O802" s="1" t="str">
        <f t="shared" si="38"/>
        <v>High Stock</v>
      </c>
    </row>
    <row r="803" spans="1:15" x14ac:dyDescent="0.3">
      <c r="A803" s="5">
        <v>46160</v>
      </c>
      <c r="B803" s="2" t="s">
        <v>1979</v>
      </c>
      <c r="C803" s="2" t="s">
        <v>1168</v>
      </c>
      <c r="D803" s="2" t="s">
        <v>45</v>
      </c>
      <c r="E803" s="2" t="s">
        <v>23</v>
      </c>
      <c r="F803" s="2">
        <v>32</v>
      </c>
      <c r="G803" s="7">
        <v>118.28</v>
      </c>
      <c r="H803" s="7">
        <v>3406.46</v>
      </c>
      <c r="I803" s="2">
        <v>10</v>
      </c>
      <c r="J803" s="2" t="s">
        <v>16</v>
      </c>
      <c r="K803" s="2" t="s">
        <v>160</v>
      </c>
      <c r="L803" s="2" t="s">
        <v>49</v>
      </c>
      <c r="M803" s="2" t="str">
        <f t="shared" si="36"/>
        <v>Check</v>
      </c>
      <c r="N803" s="2" t="str">
        <f t="shared" si="37"/>
        <v>Accessories</v>
      </c>
      <c r="O803" s="2" t="str">
        <f t="shared" si="38"/>
        <v>High Stock</v>
      </c>
    </row>
    <row r="804" spans="1:15" x14ac:dyDescent="0.3">
      <c r="A804" s="5">
        <v>45603</v>
      </c>
      <c r="B804" s="2" t="s">
        <v>1980</v>
      </c>
      <c r="C804" s="2" t="s">
        <v>1981</v>
      </c>
      <c r="D804" s="2" t="s">
        <v>103</v>
      </c>
      <c r="E804" s="2" t="s">
        <v>35</v>
      </c>
      <c r="F804" s="2">
        <v>30</v>
      </c>
      <c r="G804" s="7">
        <v>555.65</v>
      </c>
      <c r="H804" s="7">
        <v>16669.5</v>
      </c>
      <c r="I804" s="2">
        <v>0</v>
      </c>
      <c r="J804" s="2" t="s">
        <v>24</v>
      </c>
      <c r="K804" s="2" t="s">
        <v>41</v>
      </c>
      <c r="L804" s="2" t="s">
        <v>27</v>
      </c>
      <c r="M804" s="2" t="str">
        <f t="shared" si="36"/>
        <v>Cash</v>
      </c>
      <c r="N804" s="2" t="str">
        <f t="shared" si="37"/>
        <v>Electronics</v>
      </c>
      <c r="O804" s="2" t="str">
        <f t="shared" si="38"/>
        <v>High Stock</v>
      </c>
    </row>
    <row r="805" spans="1:15" x14ac:dyDescent="0.3">
      <c r="A805" s="5">
        <v>45662</v>
      </c>
      <c r="B805" s="2" t="s">
        <v>1983</v>
      </c>
      <c r="C805" s="2" t="s">
        <v>1180</v>
      </c>
      <c r="D805" s="2" t="s">
        <v>63</v>
      </c>
      <c r="E805" s="2" t="s">
        <v>15</v>
      </c>
      <c r="F805" s="2">
        <v>10</v>
      </c>
      <c r="G805" s="7">
        <v>79.69</v>
      </c>
      <c r="H805" s="7">
        <v>796.9</v>
      </c>
      <c r="I805" s="2">
        <v>0</v>
      </c>
      <c r="J805" s="2" t="s">
        <v>46</v>
      </c>
      <c r="K805" s="2" t="s">
        <v>78</v>
      </c>
      <c r="L805" s="2" t="s">
        <v>69</v>
      </c>
      <c r="M805" s="2" t="str">
        <f t="shared" si="36"/>
        <v>Debit Card</v>
      </c>
      <c r="N805" s="2" t="str">
        <f t="shared" si="37"/>
        <v>Peripherals</v>
      </c>
      <c r="O805" s="2" t="str">
        <f t="shared" si="38"/>
        <v>Low Stock</v>
      </c>
    </row>
    <row r="806" spans="1:15" x14ac:dyDescent="0.3">
      <c r="A806" s="5">
        <v>45684</v>
      </c>
      <c r="B806" s="2" t="s">
        <v>1984</v>
      </c>
      <c r="C806" s="2" t="s">
        <v>1985</v>
      </c>
      <c r="D806" s="2" t="s">
        <v>40</v>
      </c>
      <c r="E806" s="2" t="s">
        <v>23</v>
      </c>
      <c r="F806" s="2">
        <v>3</v>
      </c>
      <c r="G806" s="7">
        <v>49.12</v>
      </c>
      <c r="H806" s="7">
        <v>147.36000000000001</v>
      </c>
      <c r="I806" s="2">
        <v>0</v>
      </c>
      <c r="J806" s="2" t="s">
        <v>53</v>
      </c>
      <c r="K806" s="2" t="s">
        <v>54</v>
      </c>
      <c r="L806" s="1" t="s">
        <v>2347</v>
      </c>
      <c r="M806" s="1" t="str">
        <f t="shared" si="36"/>
        <v>Online Payment</v>
      </c>
      <c r="N806" s="2" t="str">
        <f t="shared" si="37"/>
        <v>Accessories</v>
      </c>
      <c r="O806" s="1" t="str">
        <f t="shared" si="38"/>
        <v>Low Stock</v>
      </c>
    </row>
    <row r="807" spans="1:15" x14ac:dyDescent="0.3">
      <c r="A807" s="5">
        <v>45607</v>
      </c>
      <c r="B807" s="2" t="s">
        <v>1986</v>
      </c>
      <c r="C807" s="2" t="s">
        <v>1987</v>
      </c>
      <c r="D807" s="2" t="s">
        <v>82</v>
      </c>
      <c r="E807" s="2" t="s">
        <v>73</v>
      </c>
      <c r="F807" s="2">
        <v>45</v>
      </c>
      <c r="G807" s="7">
        <v>580.89</v>
      </c>
      <c r="H807" s="7">
        <v>26140.05</v>
      </c>
      <c r="I807" s="2">
        <v>0</v>
      </c>
      <c r="J807" s="2" t="s">
        <v>16</v>
      </c>
      <c r="K807" s="2" t="s">
        <v>111</v>
      </c>
      <c r="L807" s="2" t="s">
        <v>27</v>
      </c>
      <c r="M807" s="2" t="str">
        <f t="shared" si="36"/>
        <v>Cash</v>
      </c>
      <c r="N807" s="2" t="str">
        <f t="shared" si="37"/>
        <v>Furniture</v>
      </c>
      <c r="O807" s="2" t="str">
        <f t="shared" si="38"/>
        <v>High Stock</v>
      </c>
    </row>
    <row r="808" spans="1:15" x14ac:dyDescent="0.3">
      <c r="A808" s="5">
        <v>45631</v>
      </c>
      <c r="B808" s="2" t="s">
        <v>1988</v>
      </c>
      <c r="C808" s="2" t="s">
        <v>692</v>
      </c>
      <c r="D808" s="2" t="s">
        <v>14</v>
      </c>
      <c r="E808" s="2" t="s">
        <v>15</v>
      </c>
      <c r="F808" s="2">
        <v>33</v>
      </c>
      <c r="G808" s="7">
        <v>98.23</v>
      </c>
      <c r="H808" s="7">
        <v>2593.27</v>
      </c>
      <c r="I808" s="2">
        <v>20</v>
      </c>
      <c r="J808" s="2" t="s">
        <v>16</v>
      </c>
      <c r="K808" s="2" t="s">
        <v>17</v>
      </c>
      <c r="L808" s="1" t="s">
        <v>2347</v>
      </c>
      <c r="M808" s="1" t="str">
        <f t="shared" si="36"/>
        <v>Online Payment</v>
      </c>
      <c r="N808" s="2" t="str">
        <f t="shared" si="37"/>
        <v>Peripherals</v>
      </c>
      <c r="O808" s="1" t="str">
        <f t="shared" si="38"/>
        <v>High Stock</v>
      </c>
    </row>
    <row r="809" spans="1:15" x14ac:dyDescent="0.3">
      <c r="A809" s="5">
        <v>46268</v>
      </c>
      <c r="B809" s="2" t="s">
        <v>1989</v>
      </c>
      <c r="C809" s="2" t="s">
        <v>1990</v>
      </c>
      <c r="D809" s="2" t="s">
        <v>90</v>
      </c>
      <c r="E809" s="2" t="s">
        <v>23</v>
      </c>
      <c r="F809" s="2">
        <v>41</v>
      </c>
      <c r="G809" s="7">
        <v>44.41</v>
      </c>
      <c r="H809" s="7">
        <v>1820.81</v>
      </c>
      <c r="I809" s="2">
        <v>0</v>
      </c>
      <c r="J809" s="2" t="s">
        <v>24</v>
      </c>
      <c r="K809" s="2" t="s">
        <v>41</v>
      </c>
      <c r="L809" s="2" t="s">
        <v>27</v>
      </c>
      <c r="M809" s="2" t="str">
        <f t="shared" si="36"/>
        <v>Cash</v>
      </c>
      <c r="N809" s="2" t="str">
        <f t="shared" si="37"/>
        <v>Accessories</v>
      </c>
      <c r="O809" s="2" t="str">
        <f t="shared" si="38"/>
        <v>High Stock</v>
      </c>
    </row>
    <row r="810" spans="1:15" x14ac:dyDescent="0.3">
      <c r="A810" s="5">
        <v>46013</v>
      </c>
      <c r="B810" s="2" t="s">
        <v>1991</v>
      </c>
      <c r="C810" s="2" t="s">
        <v>1420</v>
      </c>
      <c r="D810" s="2" t="s">
        <v>99</v>
      </c>
      <c r="E810" s="2" t="s">
        <v>23</v>
      </c>
      <c r="F810" s="2">
        <v>43</v>
      </c>
      <c r="G810" s="7">
        <v>17.52</v>
      </c>
      <c r="H810" s="7">
        <v>753.36</v>
      </c>
      <c r="I810" s="2">
        <v>0</v>
      </c>
      <c r="J810" s="2" t="s">
        <v>16</v>
      </c>
      <c r="K810" s="2" t="s">
        <v>160</v>
      </c>
      <c r="L810" s="2" t="s">
        <v>49</v>
      </c>
      <c r="M810" s="2" t="str">
        <f t="shared" si="36"/>
        <v>Check</v>
      </c>
      <c r="N810" s="2" t="str">
        <f t="shared" si="37"/>
        <v>Accessories</v>
      </c>
      <c r="O810" s="2" t="str">
        <f t="shared" si="38"/>
        <v>High Stock</v>
      </c>
    </row>
    <row r="811" spans="1:15" x14ac:dyDescent="0.3">
      <c r="A811" s="5">
        <v>46090</v>
      </c>
      <c r="B811" s="2" t="s">
        <v>1993</v>
      </c>
      <c r="C811" s="2" t="s">
        <v>1994</v>
      </c>
      <c r="D811" s="2" t="s">
        <v>123</v>
      </c>
      <c r="E811" s="2" t="s">
        <v>15</v>
      </c>
      <c r="F811" s="2">
        <v>33</v>
      </c>
      <c r="G811" s="7">
        <v>38.200000000000003</v>
      </c>
      <c r="H811" s="7">
        <v>1197.57</v>
      </c>
      <c r="I811" s="2">
        <v>5</v>
      </c>
      <c r="J811" s="2" t="s">
        <v>24</v>
      </c>
      <c r="K811" s="2" t="s">
        <v>36</v>
      </c>
      <c r="L811" s="2" t="s">
        <v>27</v>
      </c>
      <c r="M811" s="2" t="str">
        <f t="shared" si="36"/>
        <v>Cash</v>
      </c>
      <c r="N811" s="2" t="str">
        <f t="shared" si="37"/>
        <v>Peripherals</v>
      </c>
      <c r="O811" s="2" t="str">
        <f t="shared" si="38"/>
        <v>High Stock</v>
      </c>
    </row>
    <row r="812" spans="1:15" x14ac:dyDescent="0.3">
      <c r="A812" s="5">
        <v>45793</v>
      </c>
      <c r="B812" s="2" t="s">
        <v>1995</v>
      </c>
      <c r="C812" s="2" t="s">
        <v>57</v>
      </c>
      <c r="D812" s="2" t="s">
        <v>99</v>
      </c>
      <c r="E812" s="2" t="s">
        <v>23</v>
      </c>
      <c r="F812" s="2">
        <v>45</v>
      </c>
      <c r="G812" s="7">
        <v>17.13</v>
      </c>
      <c r="H812" s="7">
        <v>616.67999999999995</v>
      </c>
      <c r="I812" s="2">
        <v>20</v>
      </c>
      <c r="J812" s="2" t="s">
        <v>16</v>
      </c>
      <c r="K812" s="2" t="s">
        <v>17</v>
      </c>
      <c r="L812" s="2" t="s">
        <v>69</v>
      </c>
      <c r="M812" s="2" t="str">
        <f t="shared" si="36"/>
        <v>Debit Card</v>
      </c>
      <c r="N812" s="2" t="str">
        <f t="shared" si="37"/>
        <v>Accessories</v>
      </c>
      <c r="O812" s="2" t="str">
        <f t="shared" si="38"/>
        <v>High Stock</v>
      </c>
    </row>
    <row r="813" spans="1:15" x14ac:dyDescent="0.3">
      <c r="A813" s="5">
        <v>45961</v>
      </c>
      <c r="B813" s="2" t="s">
        <v>1997</v>
      </c>
      <c r="C813" s="2" t="s">
        <v>1998</v>
      </c>
      <c r="D813" s="2" t="s">
        <v>14</v>
      </c>
      <c r="E813" s="2" t="s">
        <v>15</v>
      </c>
      <c r="F813" s="2">
        <v>13</v>
      </c>
      <c r="G813" s="7">
        <v>78.92</v>
      </c>
      <c r="H813" s="7">
        <v>1025.96</v>
      </c>
      <c r="I813" s="2">
        <v>0</v>
      </c>
      <c r="J813" s="2" t="s">
        <v>24</v>
      </c>
      <c r="K813" s="2" t="s">
        <v>41</v>
      </c>
      <c r="L813" s="2" t="s">
        <v>49</v>
      </c>
      <c r="M813" s="2" t="str">
        <f t="shared" si="36"/>
        <v>Check</v>
      </c>
      <c r="N813" s="2" t="str">
        <f t="shared" si="37"/>
        <v>Peripherals</v>
      </c>
      <c r="O813" s="2" t="str">
        <f t="shared" si="38"/>
        <v>Low Stock</v>
      </c>
    </row>
    <row r="814" spans="1:15" x14ac:dyDescent="0.3">
      <c r="A814" s="5">
        <v>46021</v>
      </c>
      <c r="B814" s="2" t="s">
        <v>1999</v>
      </c>
      <c r="C814" s="2" t="s">
        <v>2000</v>
      </c>
      <c r="D814" s="2" t="s">
        <v>45</v>
      </c>
      <c r="E814" s="2" t="s">
        <v>23</v>
      </c>
      <c r="F814" s="2">
        <v>19</v>
      </c>
      <c r="G814" s="7">
        <v>116.01</v>
      </c>
      <c r="H814" s="7">
        <v>2204.19</v>
      </c>
      <c r="I814" s="2">
        <v>0</v>
      </c>
      <c r="J814" s="2" t="s">
        <v>46</v>
      </c>
      <c r="K814" s="2" t="s">
        <v>83</v>
      </c>
      <c r="L814" s="2" t="s">
        <v>49</v>
      </c>
      <c r="M814" s="2" t="str">
        <f t="shared" si="36"/>
        <v>Check</v>
      </c>
      <c r="N814" s="2" t="str">
        <f t="shared" si="37"/>
        <v>Accessories</v>
      </c>
      <c r="O814" s="2" t="str">
        <f t="shared" si="38"/>
        <v>High Stock</v>
      </c>
    </row>
    <row r="815" spans="1:15" x14ac:dyDescent="0.3">
      <c r="A815" s="5">
        <v>45854</v>
      </c>
      <c r="B815" s="2" t="s">
        <v>2001</v>
      </c>
      <c r="C815" s="2" t="s">
        <v>1688</v>
      </c>
      <c r="D815" s="2" t="s">
        <v>95</v>
      </c>
      <c r="E815" s="2" t="s">
        <v>35</v>
      </c>
      <c r="F815" s="2">
        <v>20</v>
      </c>
      <c r="G815" s="7">
        <v>492.45</v>
      </c>
      <c r="H815" s="7">
        <v>8864.1</v>
      </c>
      <c r="I815" s="2">
        <v>10</v>
      </c>
      <c r="J815" s="2" t="s">
        <v>16</v>
      </c>
      <c r="K815" s="2" t="s">
        <v>111</v>
      </c>
      <c r="L815" s="1" t="s">
        <v>2347</v>
      </c>
      <c r="M815" s="1" t="str">
        <f t="shared" si="36"/>
        <v>Online Payment</v>
      </c>
      <c r="N815" s="2" t="str">
        <f t="shared" si="37"/>
        <v>Electronics</v>
      </c>
      <c r="O815" s="1" t="str">
        <f t="shared" si="38"/>
        <v>High Stock</v>
      </c>
    </row>
    <row r="816" spans="1:15" x14ac:dyDescent="0.3">
      <c r="A816" s="5">
        <v>45996</v>
      </c>
      <c r="B816" s="2" t="s">
        <v>2002</v>
      </c>
      <c r="C816" s="2" t="s">
        <v>2003</v>
      </c>
      <c r="D816" s="2" t="s">
        <v>95</v>
      </c>
      <c r="E816" s="2" t="s">
        <v>35</v>
      </c>
      <c r="F816" s="2">
        <v>38</v>
      </c>
      <c r="G816" s="7">
        <v>1136.42</v>
      </c>
      <c r="H816" s="7">
        <v>43183.96</v>
      </c>
      <c r="I816" s="2">
        <v>0</v>
      </c>
      <c r="J816" s="2" t="s">
        <v>24</v>
      </c>
      <c r="K816" s="2" t="s">
        <v>36</v>
      </c>
      <c r="L816" s="2" t="s">
        <v>69</v>
      </c>
      <c r="M816" s="2" t="str">
        <f t="shared" si="36"/>
        <v>Debit Card</v>
      </c>
      <c r="N816" s="2" t="str">
        <f t="shared" si="37"/>
        <v>Electronics</v>
      </c>
      <c r="O816" s="2" t="str">
        <f t="shared" si="38"/>
        <v>High Stock</v>
      </c>
    </row>
    <row r="817" spans="1:15" x14ac:dyDescent="0.3">
      <c r="A817" s="5">
        <v>45807</v>
      </c>
      <c r="B817" s="2" t="s">
        <v>2005</v>
      </c>
      <c r="C817" s="2" t="s">
        <v>2006</v>
      </c>
      <c r="D817" s="2" t="s">
        <v>14</v>
      </c>
      <c r="E817" s="2" t="s">
        <v>15</v>
      </c>
      <c r="F817" s="2">
        <v>50</v>
      </c>
      <c r="G817" s="7">
        <v>109.67</v>
      </c>
      <c r="H817" s="7">
        <v>5483.5</v>
      </c>
      <c r="I817" s="2">
        <v>0</v>
      </c>
      <c r="J817" s="2" t="s">
        <v>24</v>
      </c>
      <c r="K817" s="2" t="s">
        <v>104</v>
      </c>
      <c r="L817" s="2" t="s">
        <v>31</v>
      </c>
      <c r="M817" s="2" t="str">
        <f t="shared" si="36"/>
        <v>Credit Card</v>
      </c>
      <c r="N817" s="2" t="str">
        <f t="shared" si="37"/>
        <v>Peripherals</v>
      </c>
      <c r="O817" s="2" t="str">
        <f t="shared" si="38"/>
        <v>High Stock</v>
      </c>
    </row>
    <row r="818" spans="1:15" x14ac:dyDescent="0.3">
      <c r="A818" s="5">
        <v>45699</v>
      </c>
      <c r="B818" s="2" t="s">
        <v>2008</v>
      </c>
      <c r="C818" s="2" t="s">
        <v>2009</v>
      </c>
      <c r="D818" s="2" t="s">
        <v>14</v>
      </c>
      <c r="E818" s="2" t="s">
        <v>15</v>
      </c>
      <c r="F818" s="2">
        <v>48</v>
      </c>
      <c r="G818" s="7">
        <v>108.02</v>
      </c>
      <c r="H818" s="7">
        <v>4666.46</v>
      </c>
      <c r="I818" s="2">
        <v>10</v>
      </c>
      <c r="J818" s="2" t="s">
        <v>53</v>
      </c>
      <c r="K818" s="2" t="s">
        <v>141</v>
      </c>
      <c r="L818" s="2" t="s">
        <v>31</v>
      </c>
      <c r="M818" s="2" t="str">
        <f t="shared" si="36"/>
        <v>Credit Card</v>
      </c>
      <c r="N818" s="2" t="str">
        <f t="shared" si="37"/>
        <v>Peripherals</v>
      </c>
      <c r="O818" s="2" t="str">
        <f t="shared" si="38"/>
        <v>High Stock</v>
      </c>
    </row>
    <row r="819" spans="1:15" x14ac:dyDescent="0.3">
      <c r="A819" s="5">
        <v>46293</v>
      </c>
      <c r="B819" s="2" t="s">
        <v>2010</v>
      </c>
      <c r="C819" s="2" t="s">
        <v>2011</v>
      </c>
      <c r="D819" s="2" t="s">
        <v>103</v>
      </c>
      <c r="E819" s="2" t="s">
        <v>35</v>
      </c>
      <c r="F819" s="2">
        <v>34</v>
      </c>
      <c r="G819" s="7">
        <v>474.63</v>
      </c>
      <c r="H819" s="7">
        <v>14523.68</v>
      </c>
      <c r="I819" s="2">
        <v>10</v>
      </c>
      <c r="J819" s="2" t="s">
        <v>46</v>
      </c>
      <c r="K819" s="2" t="s">
        <v>47</v>
      </c>
      <c r="L819" s="2" t="s">
        <v>49</v>
      </c>
      <c r="M819" s="2" t="str">
        <f t="shared" si="36"/>
        <v>Check</v>
      </c>
      <c r="N819" s="2" t="str">
        <f t="shared" si="37"/>
        <v>Electronics</v>
      </c>
      <c r="O819" s="2" t="str">
        <f t="shared" si="38"/>
        <v>High Stock</v>
      </c>
    </row>
    <row r="820" spans="1:15" x14ac:dyDescent="0.3">
      <c r="A820" s="5">
        <v>45719</v>
      </c>
      <c r="B820" s="2" t="s">
        <v>2012</v>
      </c>
      <c r="C820" s="2" t="s">
        <v>2013</v>
      </c>
      <c r="D820" s="2" t="s">
        <v>95</v>
      </c>
      <c r="E820" s="2" t="s">
        <v>35</v>
      </c>
      <c r="F820" s="2">
        <v>46</v>
      </c>
      <c r="G820" s="7">
        <v>303.42</v>
      </c>
      <c r="H820" s="7">
        <v>13957.32</v>
      </c>
      <c r="I820" s="2">
        <v>0</v>
      </c>
      <c r="J820" s="2" t="s">
        <v>46</v>
      </c>
      <c r="K820" s="2" t="s">
        <v>124</v>
      </c>
      <c r="L820" s="2" t="s">
        <v>49</v>
      </c>
      <c r="M820" s="2" t="str">
        <f t="shared" si="36"/>
        <v>Check</v>
      </c>
      <c r="N820" s="2" t="str">
        <f t="shared" si="37"/>
        <v>Electronics</v>
      </c>
      <c r="O820" s="2" t="str">
        <f t="shared" si="38"/>
        <v>High Stock</v>
      </c>
    </row>
    <row r="821" spans="1:15" x14ac:dyDescent="0.3">
      <c r="A821" s="5">
        <v>45978</v>
      </c>
      <c r="B821" s="2" t="s">
        <v>2014</v>
      </c>
      <c r="C821" s="2" t="s">
        <v>2015</v>
      </c>
      <c r="D821" s="2" t="s">
        <v>90</v>
      </c>
      <c r="E821" s="2" t="s">
        <v>23</v>
      </c>
      <c r="F821" s="2">
        <v>48</v>
      </c>
      <c r="G821" s="7">
        <v>41.84</v>
      </c>
      <c r="H821" s="7">
        <v>2008.32</v>
      </c>
      <c r="I821" s="2">
        <v>0</v>
      </c>
      <c r="J821" s="2" t="s">
        <v>46</v>
      </c>
      <c r="K821" s="2" t="s">
        <v>124</v>
      </c>
      <c r="L821" s="2" t="s">
        <v>49</v>
      </c>
      <c r="M821" s="2" t="str">
        <f t="shared" si="36"/>
        <v>Check</v>
      </c>
      <c r="N821" s="2" t="str">
        <f t="shared" si="37"/>
        <v>Accessories</v>
      </c>
      <c r="O821" s="2" t="str">
        <f t="shared" si="38"/>
        <v>High Stock</v>
      </c>
    </row>
    <row r="822" spans="1:15" x14ac:dyDescent="0.3">
      <c r="A822" s="5">
        <v>45662</v>
      </c>
      <c r="B822" s="2" t="s">
        <v>2016</v>
      </c>
      <c r="C822" s="2" t="s">
        <v>1257</v>
      </c>
      <c r="D822" s="2" t="s">
        <v>52</v>
      </c>
      <c r="E822" s="2" t="s">
        <v>35</v>
      </c>
      <c r="F822" s="2">
        <v>32</v>
      </c>
      <c r="G822" s="7">
        <v>272.98</v>
      </c>
      <c r="H822" s="7">
        <v>7861.82</v>
      </c>
      <c r="I822" s="2">
        <v>10</v>
      </c>
      <c r="J822" s="2" t="s">
        <v>53</v>
      </c>
      <c r="K822" s="2" t="s">
        <v>54</v>
      </c>
      <c r="L822" s="2" t="s">
        <v>69</v>
      </c>
      <c r="M822" s="2" t="str">
        <f t="shared" si="36"/>
        <v>Debit Card</v>
      </c>
      <c r="N822" s="2" t="str">
        <f t="shared" si="37"/>
        <v>Electronics</v>
      </c>
      <c r="O822" s="2" t="str">
        <f t="shared" si="38"/>
        <v>High Stock</v>
      </c>
    </row>
    <row r="823" spans="1:15" x14ac:dyDescent="0.3">
      <c r="A823" s="5">
        <v>45814</v>
      </c>
      <c r="B823" s="2" t="s">
        <v>2017</v>
      </c>
      <c r="C823" s="2" t="s">
        <v>2018</v>
      </c>
      <c r="D823" s="2" t="s">
        <v>95</v>
      </c>
      <c r="E823" s="2" t="s">
        <v>35</v>
      </c>
      <c r="F823" s="2">
        <v>38</v>
      </c>
      <c r="G823" s="7">
        <v>1072.3499999999999</v>
      </c>
      <c r="H823" s="7">
        <v>36674.370000000003</v>
      </c>
      <c r="I823" s="2">
        <v>10</v>
      </c>
      <c r="J823" s="2" t="s">
        <v>24</v>
      </c>
      <c r="K823" s="2" t="s">
        <v>36</v>
      </c>
      <c r="L823" s="2" t="s">
        <v>49</v>
      </c>
      <c r="M823" s="2" t="str">
        <f t="shared" si="36"/>
        <v>Check</v>
      </c>
      <c r="N823" s="2" t="str">
        <f t="shared" si="37"/>
        <v>Electronics</v>
      </c>
      <c r="O823" s="2" t="str">
        <f t="shared" si="38"/>
        <v>High Stock</v>
      </c>
    </row>
    <row r="824" spans="1:15" x14ac:dyDescent="0.3">
      <c r="A824" s="5">
        <v>46201</v>
      </c>
      <c r="B824" s="2" t="s">
        <v>2019</v>
      </c>
      <c r="C824" s="2" t="s">
        <v>2020</v>
      </c>
      <c r="D824" s="2" t="s">
        <v>22</v>
      </c>
      <c r="E824" s="2" t="s">
        <v>23</v>
      </c>
      <c r="F824" s="2">
        <v>4</v>
      </c>
      <c r="G824" s="7">
        <v>30.73</v>
      </c>
      <c r="H824" s="7">
        <v>122.92</v>
      </c>
      <c r="I824" s="2">
        <v>0</v>
      </c>
      <c r="J824" s="2" t="s">
        <v>16</v>
      </c>
      <c r="K824" s="2" t="s">
        <v>17</v>
      </c>
      <c r="L824" s="2" t="s">
        <v>69</v>
      </c>
      <c r="M824" s="2" t="str">
        <f t="shared" si="36"/>
        <v>Debit Card</v>
      </c>
      <c r="N824" s="2" t="str">
        <f t="shared" si="37"/>
        <v>Accessories</v>
      </c>
      <c r="O824" s="2" t="str">
        <f t="shared" si="38"/>
        <v>Low Stock</v>
      </c>
    </row>
    <row r="825" spans="1:15" x14ac:dyDescent="0.3">
      <c r="A825" s="5">
        <v>45964</v>
      </c>
      <c r="B825" s="2" t="s">
        <v>2021</v>
      </c>
      <c r="C825" s="2" t="s">
        <v>2022</v>
      </c>
      <c r="D825" s="2" t="s">
        <v>52</v>
      </c>
      <c r="E825" s="2" t="s">
        <v>35</v>
      </c>
      <c r="F825" s="2">
        <v>14</v>
      </c>
      <c r="G825" s="7">
        <v>267.83</v>
      </c>
      <c r="H825" s="7">
        <v>3749.62</v>
      </c>
      <c r="I825" s="2">
        <v>0</v>
      </c>
      <c r="J825" s="2" t="s">
        <v>53</v>
      </c>
      <c r="K825" s="2" t="s">
        <v>134</v>
      </c>
      <c r="L825" s="2" t="s">
        <v>27</v>
      </c>
      <c r="M825" s="2" t="str">
        <f t="shared" si="36"/>
        <v>Cash</v>
      </c>
      <c r="N825" s="2" t="str">
        <f t="shared" si="37"/>
        <v>Electronics</v>
      </c>
      <c r="O825" s="2" t="str">
        <f t="shared" si="38"/>
        <v>Low Stock</v>
      </c>
    </row>
    <row r="826" spans="1:15" x14ac:dyDescent="0.3">
      <c r="A826" s="5">
        <v>45797</v>
      </c>
      <c r="B826" s="2" t="s">
        <v>2023</v>
      </c>
      <c r="C826" s="2" t="s">
        <v>1797</v>
      </c>
      <c r="D826" s="2" t="s">
        <v>14</v>
      </c>
      <c r="E826" s="2" t="s">
        <v>15</v>
      </c>
      <c r="F826" s="2">
        <v>23</v>
      </c>
      <c r="G826" s="7">
        <v>73.03</v>
      </c>
      <c r="H826" s="7">
        <v>1595.71</v>
      </c>
      <c r="I826" s="2">
        <v>5</v>
      </c>
      <c r="J826" s="2" t="s">
        <v>24</v>
      </c>
      <c r="K826" s="2" t="s">
        <v>36</v>
      </c>
      <c r="L826" s="1" t="s">
        <v>2347</v>
      </c>
      <c r="M826" s="1" t="str">
        <f t="shared" si="36"/>
        <v>Online Payment</v>
      </c>
      <c r="N826" s="2" t="str">
        <f t="shared" si="37"/>
        <v>Peripherals</v>
      </c>
      <c r="O826" s="1" t="str">
        <f t="shared" si="38"/>
        <v>High Stock</v>
      </c>
    </row>
    <row r="827" spans="1:15" x14ac:dyDescent="0.3">
      <c r="A827" s="5">
        <v>45957</v>
      </c>
      <c r="B827" s="2" t="s">
        <v>2024</v>
      </c>
      <c r="C827" s="2" t="s">
        <v>2025</v>
      </c>
      <c r="D827" s="2" t="s">
        <v>99</v>
      </c>
      <c r="E827" s="2" t="s">
        <v>23</v>
      </c>
      <c r="F827" s="2">
        <v>7</v>
      </c>
      <c r="G827" s="7">
        <v>10.52</v>
      </c>
      <c r="H827" s="7">
        <v>73.64</v>
      </c>
      <c r="I827" s="2">
        <v>0</v>
      </c>
      <c r="J827" s="2" t="s">
        <v>16</v>
      </c>
      <c r="K827" s="2" t="s">
        <v>111</v>
      </c>
      <c r="L827" s="2" t="s">
        <v>31</v>
      </c>
      <c r="M827" s="2" t="str">
        <f t="shared" si="36"/>
        <v>Credit Card</v>
      </c>
      <c r="N827" s="2" t="str">
        <f t="shared" si="37"/>
        <v>Accessories</v>
      </c>
      <c r="O827" s="2" t="str">
        <f t="shared" si="38"/>
        <v>Low Stock</v>
      </c>
    </row>
    <row r="828" spans="1:15" x14ac:dyDescent="0.3">
      <c r="A828" s="5">
        <v>45952</v>
      </c>
      <c r="B828" s="2" t="s">
        <v>2026</v>
      </c>
      <c r="C828" s="2" t="s">
        <v>2027</v>
      </c>
      <c r="D828" s="2" t="s">
        <v>123</v>
      </c>
      <c r="E828" s="2" t="s">
        <v>15</v>
      </c>
      <c r="F828" s="2">
        <v>38</v>
      </c>
      <c r="G828" s="7">
        <v>21.77</v>
      </c>
      <c r="H828" s="7">
        <v>703.17</v>
      </c>
      <c r="I828" s="2">
        <v>15</v>
      </c>
      <c r="J828" s="2" t="s">
        <v>16</v>
      </c>
      <c r="K828" s="2" t="s">
        <v>74</v>
      </c>
      <c r="L828" s="1" t="s">
        <v>2347</v>
      </c>
      <c r="M828" s="1" t="str">
        <f t="shared" si="36"/>
        <v>Online Payment</v>
      </c>
      <c r="N828" s="2" t="str">
        <f t="shared" si="37"/>
        <v>Peripherals</v>
      </c>
      <c r="O828" s="1" t="str">
        <f t="shared" si="38"/>
        <v>High Stock</v>
      </c>
    </row>
    <row r="829" spans="1:15" x14ac:dyDescent="0.3">
      <c r="A829" s="5">
        <v>45864</v>
      </c>
      <c r="B829" s="2" t="s">
        <v>2028</v>
      </c>
      <c r="C829" s="2" t="s">
        <v>1213</v>
      </c>
      <c r="D829" s="2" t="s">
        <v>40</v>
      </c>
      <c r="E829" s="2" t="s">
        <v>23</v>
      </c>
      <c r="F829" s="2">
        <v>11</v>
      </c>
      <c r="G829" s="7">
        <v>48.9</v>
      </c>
      <c r="H829" s="7">
        <v>511</v>
      </c>
      <c r="I829" s="2">
        <v>5</v>
      </c>
      <c r="J829" s="2" t="s">
        <v>46</v>
      </c>
      <c r="K829" s="2" t="s">
        <v>244</v>
      </c>
      <c r="L829" s="2" t="s">
        <v>31</v>
      </c>
      <c r="M829" s="2" t="str">
        <f t="shared" si="36"/>
        <v>Credit Card</v>
      </c>
      <c r="N829" s="2" t="str">
        <f t="shared" si="37"/>
        <v>Accessories</v>
      </c>
      <c r="O829" s="2" t="str">
        <f t="shared" si="38"/>
        <v>Low Stock</v>
      </c>
    </row>
    <row r="830" spans="1:15" x14ac:dyDescent="0.3">
      <c r="A830" s="5">
        <v>46045</v>
      </c>
      <c r="B830" s="2" t="s">
        <v>2030</v>
      </c>
      <c r="C830" s="2" t="s">
        <v>703</v>
      </c>
      <c r="D830" s="2" t="s">
        <v>45</v>
      </c>
      <c r="E830" s="2" t="s">
        <v>23</v>
      </c>
      <c r="F830" s="2">
        <v>3</v>
      </c>
      <c r="G830" s="7">
        <v>59.44</v>
      </c>
      <c r="H830" s="7">
        <v>142.66</v>
      </c>
      <c r="I830" s="2">
        <v>20</v>
      </c>
      <c r="J830" s="2" t="s">
        <v>24</v>
      </c>
      <c r="K830" s="2" t="s">
        <v>36</v>
      </c>
      <c r="L830" s="2" t="s">
        <v>31</v>
      </c>
      <c r="M830" s="2" t="str">
        <f t="shared" si="36"/>
        <v>Credit Card</v>
      </c>
      <c r="N830" s="2" t="str">
        <f t="shared" si="37"/>
        <v>Accessories</v>
      </c>
      <c r="O830" s="2" t="str">
        <f t="shared" si="38"/>
        <v>Low Stock</v>
      </c>
    </row>
    <row r="831" spans="1:15" x14ac:dyDescent="0.3">
      <c r="A831" s="5">
        <v>45978</v>
      </c>
      <c r="B831" s="2" t="s">
        <v>2031</v>
      </c>
      <c r="C831" s="2" t="s">
        <v>2032</v>
      </c>
      <c r="D831" s="2" t="s">
        <v>45</v>
      </c>
      <c r="E831" s="2" t="s">
        <v>23</v>
      </c>
      <c r="F831" s="2">
        <v>14</v>
      </c>
      <c r="G831" s="7">
        <v>197.75</v>
      </c>
      <c r="H831" s="7">
        <v>2630.08</v>
      </c>
      <c r="I831" s="2">
        <v>5</v>
      </c>
      <c r="J831" s="2" t="s">
        <v>46</v>
      </c>
      <c r="K831" s="2" t="s">
        <v>244</v>
      </c>
      <c r="L831" s="2" t="s">
        <v>69</v>
      </c>
      <c r="M831" s="2" t="str">
        <f t="shared" si="36"/>
        <v>Debit Card</v>
      </c>
      <c r="N831" s="2" t="str">
        <f t="shared" si="37"/>
        <v>Accessories</v>
      </c>
      <c r="O831" s="2" t="str">
        <f t="shared" si="38"/>
        <v>Low Stock</v>
      </c>
    </row>
    <row r="832" spans="1:15" x14ac:dyDescent="0.3">
      <c r="A832" s="5">
        <v>45607</v>
      </c>
      <c r="B832" s="2" t="s">
        <v>2033</v>
      </c>
      <c r="C832" s="2" t="s">
        <v>2034</v>
      </c>
      <c r="D832" s="2" t="s">
        <v>123</v>
      </c>
      <c r="E832" s="2" t="s">
        <v>15</v>
      </c>
      <c r="F832" s="2">
        <v>5</v>
      </c>
      <c r="G832" s="7">
        <v>34.11</v>
      </c>
      <c r="H832" s="7">
        <v>162.02000000000001</v>
      </c>
      <c r="I832" s="2">
        <v>5</v>
      </c>
      <c r="J832" s="2" t="s">
        <v>53</v>
      </c>
      <c r="K832" s="2" t="s">
        <v>54</v>
      </c>
      <c r="L832" s="1" t="s">
        <v>2347</v>
      </c>
      <c r="M832" s="1" t="str">
        <f t="shared" si="36"/>
        <v>Online Payment</v>
      </c>
      <c r="N832" s="2" t="str">
        <f t="shared" si="37"/>
        <v>Peripherals</v>
      </c>
      <c r="O832" s="1" t="str">
        <f t="shared" si="38"/>
        <v>Low Stock</v>
      </c>
    </row>
    <row r="833" spans="1:15" x14ac:dyDescent="0.3">
      <c r="A833" s="5">
        <v>45777</v>
      </c>
      <c r="B833" s="2" t="s">
        <v>2035</v>
      </c>
      <c r="C833" s="2" t="s">
        <v>2036</v>
      </c>
      <c r="D833" s="2" t="s">
        <v>72</v>
      </c>
      <c r="E833" s="2" t="s">
        <v>73</v>
      </c>
      <c r="F833" s="2">
        <v>38</v>
      </c>
      <c r="G833" s="7">
        <v>167.52</v>
      </c>
      <c r="H833" s="7">
        <v>5092.6099999999997</v>
      </c>
      <c r="I833" s="2">
        <v>20</v>
      </c>
      <c r="J833" s="2" t="s">
        <v>16</v>
      </c>
      <c r="K833" s="2" t="s">
        <v>111</v>
      </c>
      <c r="L833" s="2" t="s">
        <v>31</v>
      </c>
      <c r="M833" s="2" t="str">
        <f t="shared" si="36"/>
        <v>Credit Card</v>
      </c>
      <c r="N833" s="2" t="str">
        <f t="shared" si="37"/>
        <v>Furniture</v>
      </c>
      <c r="O833" s="2" t="str">
        <f t="shared" si="38"/>
        <v>High Stock</v>
      </c>
    </row>
    <row r="834" spans="1:15" x14ac:dyDescent="0.3">
      <c r="A834" s="5">
        <v>46124</v>
      </c>
      <c r="B834" s="2" t="s">
        <v>2037</v>
      </c>
      <c r="C834" s="2" t="s">
        <v>217</v>
      </c>
      <c r="D834" s="2" t="s">
        <v>14</v>
      </c>
      <c r="E834" s="2" t="s">
        <v>15</v>
      </c>
      <c r="F834" s="2">
        <v>21</v>
      </c>
      <c r="G834" s="7">
        <v>43.09</v>
      </c>
      <c r="H834" s="7">
        <v>814.4</v>
      </c>
      <c r="I834" s="2">
        <v>10</v>
      </c>
      <c r="J834" s="2" t="s">
        <v>53</v>
      </c>
      <c r="K834" s="2" t="s">
        <v>54</v>
      </c>
      <c r="L834" s="2" t="s">
        <v>27</v>
      </c>
      <c r="M834" s="2" t="str">
        <f t="shared" si="36"/>
        <v>Cash</v>
      </c>
      <c r="N834" s="2" t="str">
        <f t="shared" si="37"/>
        <v>Peripherals</v>
      </c>
      <c r="O834" s="2" t="str">
        <f t="shared" si="38"/>
        <v>High Stock</v>
      </c>
    </row>
    <row r="835" spans="1:15" x14ac:dyDescent="0.3">
      <c r="A835" s="5">
        <v>45729</v>
      </c>
      <c r="B835" s="2" t="s">
        <v>2038</v>
      </c>
      <c r="C835" s="2" t="s">
        <v>2039</v>
      </c>
      <c r="D835" s="2" t="s">
        <v>14</v>
      </c>
      <c r="E835" s="2" t="s">
        <v>15</v>
      </c>
      <c r="F835" s="2">
        <v>14</v>
      </c>
      <c r="G835" s="7">
        <v>50.92</v>
      </c>
      <c r="H835" s="7">
        <v>712.88</v>
      </c>
      <c r="I835" s="2">
        <v>0</v>
      </c>
      <c r="J835" s="2" t="s">
        <v>46</v>
      </c>
      <c r="K835" s="2" t="s">
        <v>47</v>
      </c>
      <c r="L835" s="2" t="s">
        <v>27</v>
      </c>
      <c r="M835" s="2" t="str">
        <f t="shared" ref="M835:M898" si="39">TRIM(L835)</f>
        <v>Cash</v>
      </c>
      <c r="N835" s="2" t="str">
        <f t="shared" ref="N835:N898" si="40">PROPER(E835)</f>
        <v>Peripherals</v>
      </c>
      <c r="O835" s="2" t="str">
        <f t="shared" ref="O835:O898" si="41">IF(F835&gt;15,"High Stock","Low Stock")</f>
        <v>Low Stock</v>
      </c>
    </row>
    <row r="836" spans="1:15" x14ac:dyDescent="0.3">
      <c r="A836" s="5">
        <v>45821</v>
      </c>
      <c r="B836" s="2" t="s">
        <v>2040</v>
      </c>
      <c r="C836" s="2" t="s">
        <v>299</v>
      </c>
      <c r="D836" s="2" t="s">
        <v>90</v>
      </c>
      <c r="E836" s="2" t="s">
        <v>23</v>
      </c>
      <c r="F836" s="2">
        <v>26</v>
      </c>
      <c r="G836" s="7">
        <v>18.350000000000001</v>
      </c>
      <c r="H836" s="7">
        <v>429.39</v>
      </c>
      <c r="I836" s="2">
        <v>10</v>
      </c>
      <c r="J836" s="2" t="s">
        <v>53</v>
      </c>
      <c r="K836" s="2" t="s">
        <v>141</v>
      </c>
      <c r="L836" s="2" t="s">
        <v>69</v>
      </c>
      <c r="M836" s="2" t="str">
        <f t="shared" si="39"/>
        <v>Debit Card</v>
      </c>
      <c r="N836" s="2" t="str">
        <f t="shared" si="40"/>
        <v>Accessories</v>
      </c>
      <c r="O836" s="2" t="str">
        <f t="shared" si="41"/>
        <v>High Stock</v>
      </c>
    </row>
    <row r="837" spans="1:15" x14ac:dyDescent="0.3">
      <c r="A837" s="5">
        <v>46260</v>
      </c>
      <c r="B837" s="2" t="s">
        <v>2041</v>
      </c>
      <c r="C837" s="2" t="s">
        <v>2042</v>
      </c>
      <c r="D837" s="2" t="s">
        <v>99</v>
      </c>
      <c r="E837" s="2" t="s">
        <v>23</v>
      </c>
      <c r="F837" s="2">
        <v>35</v>
      </c>
      <c r="G837" s="7">
        <v>29.83</v>
      </c>
      <c r="H837" s="7">
        <v>1044.05</v>
      </c>
      <c r="I837" s="2">
        <v>0</v>
      </c>
      <c r="J837" s="2" t="s">
        <v>53</v>
      </c>
      <c r="K837" s="2" t="s">
        <v>170</v>
      </c>
      <c r="L837" s="2" t="s">
        <v>69</v>
      </c>
      <c r="M837" s="2" t="str">
        <f t="shared" si="39"/>
        <v>Debit Card</v>
      </c>
      <c r="N837" s="2" t="str">
        <f t="shared" si="40"/>
        <v>Accessories</v>
      </c>
      <c r="O837" s="2" t="str">
        <f t="shared" si="41"/>
        <v>High Stock</v>
      </c>
    </row>
    <row r="838" spans="1:15" x14ac:dyDescent="0.3">
      <c r="A838" s="5">
        <v>46103</v>
      </c>
      <c r="B838" s="2" t="s">
        <v>2044</v>
      </c>
      <c r="C838" s="2" t="s">
        <v>1877</v>
      </c>
      <c r="D838" s="2" t="s">
        <v>40</v>
      </c>
      <c r="E838" s="2" t="s">
        <v>23</v>
      </c>
      <c r="F838" s="2">
        <v>47</v>
      </c>
      <c r="G838" s="7">
        <v>66.36</v>
      </c>
      <c r="H838" s="7">
        <v>2495.14</v>
      </c>
      <c r="I838" s="2">
        <v>20</v>
      </c>
      <c r="J838" s="2" t="s">
        <v>24</v>
      </c>
      <c r="K838" s="2" t="s">
        <v>36</v>
      </c>
      <c r="L838" s="2" t="s">
        <v>49</v>
      </c>
      <c r="M838" s="2" t="str">
        <f t="shared" si="39"/>
        <v>Check</v>
      </c>
      <c r="N838" s="2" t="str">
        <f t="shared" si="40"/>
        <v>Accessories</v>
      </c>
      <c r="O838" s="2" t="str">
        <f t="shared" si="41"/>
        <v>High Stock</v>
      </c>
    </row>
    <row r="839" spans="1:15" x14ac:dyDescent="0.3">
      <c r="A839" s="5">
        <v>46162</v>
      </c>
      <c r="B839" s="2" t="s">
        <v>2045</v>
      </c>
      <c r="C839" s="2" t="s">
        <v>2046</v>
      </c>
      <c r="D839" s="2" t="s">
        <v>82</v>
      </c>
      <c r="E839" s="2" t="s">
        <v>73</v>
      </c>
      <c r="F839" s="2">
        <v>3</v>
      </c>
      <c r="G839" s="7">
        <v>617.29</v>
      </c>
      <c r="H839" s="7">
        <v>1759.28</v>
      </c>
      <c r="I839" s="2">
        <v>5</v>
      </c>
      <c r="J839" s="2" t="s">
        <v>24</v>
      </c>
      <c r="K839" s="2" t="s">
        <v>25</v>
      </c>
      <c r="L839" s="1" t="s">
        <v>2347</v>
      </c>
      <c r="M839" s="1" t="str">
        <f t="shared" si="39"/>
        <v>Online Payment</v>
      </c>
      <c r="N839" s="2" t="str">
        <f t="shared" si="40"/>
        <v>Furniture</v>
      </c>
      <c r="O839" s="1" t="str">
        <f t="shared" si="41"/>
        <v>Low Stock</v>
      </c>
    </row>
    <row r="840" spans="1:15" x14ac:dyDescent="0.3">
      <c r="A840" s="5">
        <v>45689</v>
      </c>
      <c r="B840" s="2" t="s">
        <v>2047</v>
      </c>
      <c r="C840" s="2" t="s">
        <v>2048</v>
      </c>
      <c r="D840" s="2" t="s">
        <v>40</v>
      </c>
      <c r="E840" s="2" t="s">
        <v>23</v>
      </c>
      <c r="F840" s="2">
        <v>43</v>
      </c>
      <c r="G840" s="7">
        <v>39.049999999999997</v>
      </c>
      <c r="H840" s="7">
        <v>1427.28</v>
      </c>
      <c r="I840" s="2">
        <v>15</v>
      </c>
      <c r="J840" s="2" t="s">
        <v>24</v>
      </c>
      <c r="K840" s="2" t="s">
        <v>25</v>
      </c>
      <c r="L840" s="1" t="s">
        <v>2347</v>
      </c>
      <c r="M840" s="1" t="str">
        <f t="shared" si="39"/>
        <v>Online Payment</v>
      </c>
      <c r="N840" s="2" t="str">
        <f t="shared" si="40"/>
        <v>Accessories</v>
      </c>
      <c r="O840" s="1" t="str">
        <f t="shared" si="41"/>
        <v>High Stock</v>
      </c>
    </row>
    <row r="841" spans="1:15" x14ac:dyDescent="0.3">
      <c r="A841" s="5">
        <v>45640</v>
      </c>
      <c r="B841" s="2" t="s">
        <v>2050</v>
      </c>
      <c r="C841" s="2" t="s">
        <v>2051</v>
      </c>
      <c r="D841" s="2" t="s">
        <v>82</v>
      </c>
      <c r="E841" s="2" t="s">
        <v>73</v>
      </c>
      <c r="F841" s="2">
        <v>45</v>
      </c>
      <c r="G841" s="7">
        <v>706.49</v>
      </c>
      <c r="H841" s="7">
        <v>31792.05</v>
      </c>
      <c r="I841" s="2">
        <v>0</v>
      </c>
      <c r="J841" s="2" t="s">
        <v>46</v>
      </c>
      <c r="K841" s="2" t="s">
        <v>83</v>
      </c>
      <c r="L841" s="2" t="s">
        <v>31</v>
      </c>
      <c r="M841" s="2" t="str">
        <f t="shared" si="39"/>
        <v>Credit Card</v>
      </c>
      <c r="N841" s="2" t="str">
        <f t="shared" si="40"/>
        <v>Furniture</v>
      </c>
      <c r="O841" s="2" t="str">
        <f t="shared" si="41"/>
        <v>High Stock</v>
      </c>
    </row>
    <row r="842" spans="1:15" x14ac:dyDescent="0.3">
      <c r="A842" s="5">
        <v>45589</v>
      </c>
      <c r="B842" s="2" t="s">
        <v>2053</v>
      </c>
      <c r="C842" s="2" t="s">
        <v>2054</v>
      </c>
      <c r="D842" s="2" t="s">
        <v>45</v>
      </c>
      <c r="E842" s="2" t="s">
        <v>23</v>
      </c>
      <c r="F842" s="2">
        <v>37</v>
      </c>
      <c r="G842" s="7">
        <v>61.52</v>
      </c>
      <c r="H842" s="7">
        <v>2162.4299999999998</v>
      </c>
      <c r="I842" s="2">
        <v>5</v>
      </c>
      <c r="J842" s="2" t="s">
        <v>46</v>
      </c>
      <c r="K842" s="2" t="s">
        <v>47</v>
      </c>
      <c r="L842" s="2" t="s">
        <v>31</v>
      </c>
      <c r="M842" s="2" t="str">
        <f t="shared" si="39"/>
        <v>Credit Card</v>
      </c>
      <c r="N842" s="2" t="str">
        <f t="shared" si="40"/>
        <v>Accessories</v>
      </c>
      <c r="O842" s="2" t="str">
        <f t="shared" si="41"/>
        <v>High Stock</v>
      </c>
    </row>
    <row r="843" spans="1:15" x14ac:dyDescent="0.3">
      <c r="A843" s="5">
        <v>45857</v>
      </c>
      <c r="B843" s="2" t="s">
        <v>2056</v>
      </c>
      <c r="C843" s="2" t="s">
        <v>279</v>
      </c>
      <c r="D843" s="2" t="s">
        <v>95</v>
      </c>
      <c r="E843" s="2" t="s">
        <v>35</v>
      </c>
      <c r="F843" s="2">
        <v>31</v>
      </c>
      <c r="G843" s="7">
        <v>200.29</v>
      </c>
      <c r="H843" s="7">
        <v>6208.99</v>
      </c>
      <c r="I843" s="2">
        <v>0</v>
      </c>
      <c r="J843" s="2" t="s">
        <v>53</v>
      </c>
      <c r="K843" s="2" t="s">
        <v>134</v>
      </c>
      <c r="L843" s="2" t="s">
        <v>69</v>
      </c>
      <c r="M843" s="2" t="str">
        <f t="shared" si="39"/>
        <v>Debit Card</v>
      </c>
      <c r="N843" s="2" t="str">
        <f t="shared" si="40"/>
        <v>Electronics</v>
      </c>
      <c r="O843" s="2" t="str">
        <f t="shared" si="41"/>
        <v>High Stock</v>
      </c>
    </row>
    <row r="844" spans="1:15" x14ac:dyDescent="0.3">
      <c r="A844" s="5">
        <v>46156</v>
      </c>
      <c r="B844" s="2" t="s">
        <v>2057</v>
      </c>
      <c r="C844" s="2" t="s">
        <v>2058</v>
      </c>
      <c r="D844" s="2" t="s">
        <v>22</v>
      </c>
      <c r="E844" s="2" t="s">
        <v>23</v>
      </c>
      <c r="F844" s="2">
        <v>39</v>
      </c>
      <c r="G844" s="7">
        <v>33.869999999999997</v>
      </c>
      <c r="H844" s="7">
        <v>1320.93</v>
      </c>
      <c r="I844" s="2">
        <v>0</v>
      </c>
      <c r="J844" s="2" t="s">
        <v>24</v>
      </c>
      <c r="K844" s="2" t="s">
        <v>25</v>
      </c>
      <c r="L844" s="2" t="s">
        <v>69</v>
      </c>
      <c r="M844" s="2" t="str">
        <f t="shared" si="39"/>
        <v>Debit Card</v>
      </c>
      <c r="N844" s="2" t="str">
        <f t="shared" si="40"/>
        <v>Accessories</v>
      </c>
      <c r="O844" s="2" t="str">
        <f t="shared" si="41"/>
        <v>High Stock</v>
      </c>
    </row>
    <row r="845" spans="1:15" x14ac:dyDescent="0.3">
      <c r="A845" s="5">
        <v>45728</v>
      </c>
      <c r="B845" s="2" t="s">
        <v>2059</v>
      </c>
      <c r="C845" s="2" t="s">
        <v>2060</v>
      </c>
      <c r="D845" s="2" t="s">
        <v>95</v>
      </c>
      <c r="E845" s="2" t="s">
        <v>35</v>
      </c>
      <c r="F845" s="2">
        <v>30</v>
      </c>
      <c r="G845" s="7">
        <v>1190.69</v>
      </c>
      <c r="H845" s="7">
        <v>32148.63</v>
      </c>
      <c r="I845" s="2">
        <v>10</v>
      </c>
      <c r="J845" s="2" t="s">
        <v>16</v>
      </c>
      <c r="K845" s="2" t="s">
        <v>17</v>
      </c>
      <c r="L845" s="2" t="s">
        <v>69</v>
      </c>
      <c r="M845" s="2" t="str">
        <f t="shared" si="39"/>
        <v>Debit Card</v>
      </c>
      <c r="N845" s="2" t="str">
        <f t="shared" si="40"/>
        <v>Electronics</v>
      </c>
      <c r="O845" s="2" t="str">
        <f t="shared" si="41"/>
        <v>High Stock</v>
      </c>
    </row>
    <row r="846" spans="1:15" x14ac:dyDescent="0.3">
      <c r="A846" s="5">
        <v>46174</v>
      </c>
      <c r="B846" s="2" t="s">
        <v>2062</v>
      </c>
      <c r="C846" s="2" t="s">
        <v>738</v>
      </c>
      <c r="D846" s="2" t="s">
        <v>99</v>
      </c>
      <c r="E846" s="2" t="s">
        <v>23</v>
      </c>
      <c r="F846" s="2">
        <v>47</v>
      </c>
      <c r="G846" s="7">
        <v>26.02</v>
      </c>
      <c r="H846" s="7">
        <v>1222.94</v>
      </c>
      <c r="I846" s="2">
        <v>0</v>
      </c>
      <c r="J846" s="2" t="s">
        <v>16</v>
      </c>
      <c r="K846" s="2" t="s">
        <v>74</v>
      </c>
      <c r="L846" s="2" t="s">
        <v>31</v>
      </c>
      <c r="M846" s="2" t="str">
        <f t="shared" si="39"/>
        <v>Credit Card</v>
      </c>
      <c r="N846" s="2" t="str">
        <f t="shared" si="40"/>
        <v>Accessories</v>
      </c>
      <c r="O846" s="2" t="str">
        <f t="shared" si="41"/>
        <v>High Stock</v>
      </c>
    </row>
    <row r="847" spans="1:15" x14ac:dyDescent="0.3">
      <c r="A847" s="5">
        <v>45943</v>
      </c>
      <c r="B847" s="2" t="s">
        <v>2063</v>
      </c>
      <c r="C847" s="2" t="s">
        <v>2064</v>
      </c>
      <c r="D847" s="2" t="s">
        <v>52</v>
      </c>
      <c r="E847" s="2" t="s">
        <v>35</v>
      </c>
      <c r="F847" s="2">
        <v>22</v>
      </c>
      <c r="G847" s="7">
        <v>264.98</v>
      </c>
      <c r="H847" s="7">
        <v>5246.6</v>
      </c>
      <c r="I847" s="2">
        <v>10</v>
      </c>
      <c r="J847" s="2" t="s">
        <v>46</v>
      </c>
      <c r="K847" s="2" t="s">
        <v>47</v>
      </c>
      <c r="L847" s="2" t="s">
        <v>31</v>
      </c>
      <c r="M847" s="2" t="str">
        <f t="shared" si="39"/>
        <v>Credit Card</v>
      </c>
      <c r="N847" s="2" t="str">
        <f t="shared" si="40"/>
        <v>Electronics</v>
      </c>
      <c r="O847" s="2" t="str">
        <f t="shared" si="41"/>
        <v>High Stock</v>
      </c>
    </row>
    <row r="848" spans="1:15" x14ac:dyDescent="0.3">
      <c r="A848" s="5">
        <v>46226</v>
      </c>
      <c r="B848" s="2" t="s">
        <v>2065</v>
      </c>
      <c r="C848" s="2" t="s">
        <v>2066</v>
      </c>
      <c r="D848" s="2" t="s">
        <v>95</v>
      </c>
      <c r="E848" s="2" t="s">
        <v>35</v>
      </c>
      <c r="F848" s="2">
        <v>41</v>
      </c>
      <c r="G848" s="7">
        <v>297.73</v>
      </c>
      <c r="H848" s="7">
        <v>11596.58</v>
      </c>
      <c r="I848" s="2">
        <v>5</v>
      </c>
      <c r="J848" s="2" t="s">
        <v>53</v>
      </c>
      <c r="K848" s="2" t="s">
        <v>170</v>
      </c>
      <c r="L848" s="2" t="s">
        <v>49</v>
      </c>
      <c r="M848" s="2" t="str">
        <f t="shared" si="39"/>
        <v>Check</v>
      </c>
      <c r="N848" s="2" t="str">
        <f t="shared" si="40"/>
        <v>Electronics</v>
      </c>
      <c r="O848" s="2" t="str">
        <f t="shared" si="41"/>
        <v>High Stock</v>
      </c>
    </row>
    <row r="849" spans="1:15" x14ac:dyDescent="0.3">
      <c r="A849" s="5">
        <v>45842</v>
      </c>
      <c r="B849" s="2" t="s">
        <v>2068</v>
      </c>
      <c r="C849" s="2" t="s">
        <v>2069</v>
      </c>
      <c r="D849" s="2" t="s">
        <v>99</v>
      </c>
      <c r="E849" s="2" t="s">
        <v>23</v>
      </c>
      <c r="F849" s="2">
        <v>45</v>
      </c>
      <c r="G849" s="7">
        <v>12.62</v>
      </c>
      <c r="H849" s="7">
        <v>511.11</v>
      </c>
      <c r="I849" s="2">
        <v>10</v>
      </c>
      <c r="J849" s="2" t="s">
        <v>16</v>
      </c>
      <c r="K849" s="2" t="s">
        <v>74</v>
      </c>
      <c r="L849" s="2" t="s">
        <v>31</v>
      </c>
      <c r="M849" s="2" t="str">
        <f t="shared" si="39"/>
        <v>Credit Card</v>
      </c>
      <c r="N849" s="2" t="str">
        <f t="shared" si="40"/>
        <v>Accessories</v>
      </c>
      <c r="O849" s="2" t="str">
        <f t="shared" si="41"/>
        <v>High Stock</v>
      </c>
    </row>
    <row r="850" spans="1:15" x14ac:dyDescent="0.3">
      <c r="A850" s="5">
        <v>45723</v>
      </c>
      <c r="B850" s="2" t="s">
        <v>2070</v>
      </c>
      <c r="C850" s="2" t="s">
        <v>2071</v>
      </c>
      <c r="D850" s="2" t="s">
        <v>34</v>
      </c>
      <c r="E850" s="2" t="s">
        <v>35</v>
      </c>
      <c r="F850" s="2">
        <v>33</v>
      </c>
      <c r="G850" s="7">
        <v>822.48</v>
      </c>
      <c r="H850" s="7">
        <v>23070.560000000001</v>
      </c>
      <c r="I850" s="2">
        <v>15</v>
      </c>
      <c r="J850" s="2" t="s">
        <v>16</v>
      </c>
      <c r="K850" s="2" t="s">
        <v>91</v>
      </c>
      <c r="L850" s="2" t="s">
        <v>69</v>
      </c>
      <c r="M850" s="2" t="str">
        <f t="shared" si="39"/>
        <v>Debit Card</v>
      </c>
      <c r="N850" s="2" t="str">
        <f t="shared" si="40"/>
        <v>Electronics</v>
      </c>
      <c r="O850" s="2" t="str">
        <f t="shared" si="41"/>
        <v>High Stock</v>
      </c>
    </row>
    <row r="851" spans="1:15" x14ac:dyDescent="0.3">
      <c r="A851" s="5">
        <v>46182</v>
      </c>
      <c r="B851" s="2" t="s">
        <v>2072</v>
      </c>
      <c r="C851" s="2" t="s">
        <v>1056</v>
      </c>
      <c r="D851" s="2" t="s">
        <v>103</v>
      </c>
      <c r="E851" s="2" t="s">
        <v>35</v>
      </c>
      <c r="F851" s="2">
        <v>22</v>
      </c>
      <c r="G851" s="7">
        <v>496.55</v>
      </c>
      <c r="H851" s="7">
        <v>10924.1</v>
      </c>
      <c r="I851" s="2">
        <v>0</v>
      </c>
      <c r="J851" s="2" t="s">
        <v>24</v>
      </c>
      <c r="K851" s="2" t="s">
        <v>59</v>
      </c>
      <c r="L851" s="2" t="s">
        <v>69</v>
      </c>
      <c r="M851" s="2" t="str">
        <f t="shared" si="39"/>
        <v>Debit Card</v>
      </c>
      <c r="N851" s="2" t="str">
        <f t="shared" si="40"/>
        <v>Electronics</v>
      </c>
      <c r="O851" s="2" t="str">
        <f t="shared" si="41"/>
        <v>High Stock</v>
      </c>
    </row>
    <row r="852" spans="1:15" x14ac:dyDescent="0.3">
      <c r="A852" s="5">
        <v>46284</v>
      </c>
      <c r="B852" s="2" t="s">
        <v>2073</v>
      </c>
      <c r="C852" s="2" t="s">
        <v>2074</v>
      </c>
      <c r="D852" s="2" t="s">
        <v>82</v>
      </c>
      <c r="E852" s="2" t="s">
        <v>73</v>
      </c>
      <c r="F852" s="2">
        <v>9</v>
      </c>
      <c r="G852" s="7">
        <v>594.96</v>
      </c>
      <c r="H852" s="7">
        <v>5354.64</v>
      </c>
      <c r="I852" s="2">
        <v>0</v>
      </c>
      <c r="J852" s="2" t="s">
        <v>16</v>
      </c>
      <c r="K852" s="2" t="s">
        <v>91</v>
      </c>
      <c r="L852" s="2" t="s">
        <v>27</v>
      </c>
      <c r="M852" s="2" t="str">
        <f t="shared" si="39"/>
        <v>Cash</v>
      </c>
      <c r="N852" s="2" t="str">
        <f t="shared" si="40"/>
        <v>Furniture</v>
      </c>
      <c r="O852" s="2" t="str">
        <f t="shared" si="41"/>
        <v>Low Stock</v>
      </c>
    </row>
    <row r="853" spans="1:15" x14ac:dyDescent="0.3">
      <c r="A853" s="5">
        <v>45579</v>
      </c>
      <c r="B853" s="2" t="s">
        <v>2075</v>
      </c>
      <c r="C853" s="2" t="s">
        <v>1093</v>
      </c>
      <c r="D853" s="2" t="s">
        <v>40</v>
      </c>
      <c r="E853" s="2" t="s">
        <v>23</v>
      </c>
      <c r="F853" s="2">
        <v>2</v>
      </c>
      <c r="G853" s="7">
        <v>54.34</v>
      </c>
      <c r="H853" s="7">
        <v>108.68</v>
      </c>
      <c r="I853" s="2">
        <v>0</v>
      </c>
      <c r="J853" s="2" t="s">
        <v>46</v>
      </c>
      <c r="K853" s="2" t="s">
        <v>78</v>
      </c>
      <c r="L853" s="1" t="s">
        <v>2347</v>
      </c>
      <c r="M853" s="1" t="str">
        <f t="shared" si="39"/>
        <v>Online Payment</v>
      </c>
      <c r="N853" s="2" t="str">
        <f t="shared" si="40"/>
        <v>Accessories</v>
      </c>
      <c r="O853" s="1" t="str">
        <f t="shared" si="41"/>
        <v>Low Stock</v>
      </c>
    </row>
    <row r="854" spans="1:15" x14ac:dyDescent="0.3">
      <c r="A854" s="5">
        <v>46166</v>
      </c>
      <c r="B854" s="2" t="s">
        <v>2077</v>
      </c>
      <c r="C854" s="2" t="s">
        <v>1865</v>
      </c>
      <c r="D854" s="2" t="s">
        <v>99</v>
      </c>
      <c r="E854" s="2" t="s">
        <v>23</v>
      </c>
      <c r="F854" s="2">
        <v>24</v>
      </c>
      <c r="G854" s="7">
        <v>26.86</v>
      </c>
      <c r="H854" s="7">
        <v>580.17999999999995</v>
      </c>
      <c r="I854" s="2">
        <v>10</v>
      </c>
      <c r="J854" s="2" t="s">
        <v>16</v>
      </c>
      <c r="K854" s="2" t="s">
        <v>17</v>
      </c>
      <c r="L854" s="2" t="s">
        <v>49</v>
      </c>
      <c r="M854" s="2" t="str">
        <f t="shared" si="39"/>
        <v>Check</v>
      </c>
      <c r="N854" s="2" t="str">
        <f t="shared" si="40"/>
        <v>Accessories</v>
      </c>
      <c r="O854" s="2" t="str">
        <f t="shared" si="41"/>
        <v>High Stock</v>
      </c>
    </row>
    <row r="855" spans="1:15" x14ac:dyDescent="0.3">
      <c r="A855" s="5">
        <v>46151</v>
      </c>
      <c r="B855" s="2" t="s">
        <v>2078</v>
      </c>
      <c r="C855" s="2" t="s">
        <v>665</v>
      </c>
      <c r="D855" s="2" t="s">
        <v>40</v>
      </c>
      <c r="E855" s="2" t="s">
        <v>23</v>
      </c>
      <c r="F855" s="2">
        <v>46</v>
      </c>
      <c r="G855" s="7">
        <v>47.95</v>
      </c>
      <c r="H855" s="7">
        <v>2205.6999999999998</v>
      </c>
      <c r="I855" s="2">
        <v>0</v>
      </c>
      <c r="J855" s="2" t="s">
        <v>53</v>
      </c>
      <c r="K855" s="2" t="s">
        <v>54</v>
      </c>
      <c r="L855" s="2" t="s">
        <v>49</v>
      </c>
      <c r="M855" s="2" t="str">
        <f t="shared" si="39"/>
        <v>Check</v>
      </c>
      <c r="N855" s="2" t="str">
        <f t="shared" si="40"/>
        <v>Accessories</v>
      </c>
      <c r="O855" s="2" t="str">
        <f t="shared" si="41"/>
        <v>High Stock</v>
      </c>
    </row>
    <row r="856" spans="1:15" x14ac:dyDescent="0.3">
      <c r="A856" s="5">
        <v>46265</v>
      </c>
      <c r="B856" s="2" t="s">
        <v>2079</v>
      </c>
      <c r="C856" s="2" t="s">
        <v>1457</v>
      </c>
      <c r="D856" s="2" t="s">
        <v>34</v>
      </c>
      <c r="E856" s="2" t="s">
        <v>35</v>
      </c>
      <c r="F856" s="2">
        <v>28</v>
      </c>
      <c r="G856" s="7">
        <v>866.08</v>
      </c>
      <c r="H856" s="7">
        <v>23037.73</v>
      </c>
      <c r="I856" s="2">
        <v>5</v>
      </c>
      <c r="J856" s="2" t="s">
        <v>46</v>
      </c>
      <c r="K856" s="2" t="s">
        <v>83</v>
      </c>
      <c r="L856" s="2" t="s">
        <v>31</v>
      </c>
      <c r="M856" s="2" t="str">
        <f t="shared" si="39"/>
        <v>Credit Card</v>
      </c>
      <c r="N856" s="2" t="str">
        <f t="shared" si="40"/>
        <v>Electronics</v>
      </c>
      <c r="O856" s="2" t="str">
        <f t="shared" si="41"/>
        <v>High Stock</v>
      </c>
    </row>
    <row r="857" spans="1:15" x14ac:dyDescent="0.3">
      <c r="A857" s="5">
        <v>46054</v>
      </c>
      <c r="B857" s="2" t="s">
        <v>2081</v>
      </c>
      <c r="C857" s="2" t="s">
        <v>1051</v>
      </c>
      <c r="D857" s="2" t="s">
        <v>82</v>
      </c>
      <c r="E857" s="2" t="s">
        <v>73</v>
      </c>
      <c r="F857" s="2">
        <v>11</v>
      </c>
      <c r="G857" s="7">
        <v>379.66</v>
      </c>
      <c r="H857" s="7">
        <v>3341.01</v>
      </c>
      <c r="I857" s="2">
        <v>20</v>
      </c>
      <c r="J857" s="2" t="s">
        <v>53</v>
      </c>
      <c r="K857" s="2" t="s">
        <v>67</v>
      </c>
      <c r="L857" s="2" t="s">
        <v>31</v>
      </c>
      <c r="M857" s="2" t="str">
        <f t="shared" si="39"/>
        <v>Credit Card</v>
      </c>
      <c r="N857" s="2" t="str">
        <f t="shared" si="40"/>
        <v>Furniture</v>
      </c>
      <c r="O857" s="2" t="str">
        <f t="shared" si="41"/>
        <v>Low Stock</v>
      </c>
    </row>
    <row r="858" spans="1:15" x14ac:dyDescent="0.3">
      <c r="A858" s="5">
        <v>45846</v>
      </c>
      <c r="B858" s="2" t="s">
        <v>2082</v>
      </c>
      <c r="C858" s="2" t="s">
        <v>1051</v>
      </c>
      <c r="D858" s="2" t="s">
        <v>90</v>
      </c>
      <c r="E858" s="2" t="s">
        <v>23</v>
      </c>
      <c r="F858" s="2">
        <v>21</v>
      </c>
      <c r="G858" s="7">
        <v>43.86</v>
      </c>
      <c r="H858" s="7">
        <v>921.06</v>
      </c>
      <c r="I858" s="2">
        <v>0</v>
      </c>
      <c r="J858" s="2" t="s">
        <v>24</v>
      </c>
      <c r="K858" s="2" t="s">
        <v>25</v>
      </c>
      <c r="L858" s="2" t="s">
        <v>31</v>
      </c>
      <c r="M858" s="2" t="str">
        <f t="shared" si="39"/>
        <v>Credit Card</v>
      </c>
      <c r="N858" s="2" t="str">
        <f t="shared" si="40"/>
        <v>Accessories</v>
      </c>
      <c r="O858" s="2" t="str">
        <f t="shared" si="41"/>
        <v>High Stock</v>
      </c>
    </row>
    <row r="859" spans="1:15" x14ac:dyDescent="0.3">
      <c r="A859" s="5">
        <v>46276</v>
      </c>
      <c r="B859" s="2" t="s">
        <v>2083</v>
      </c>
      <c r="C859" s="2" t="s">
        <v>2084</v>
      </c>
      <c r="D859" s="2" t="s">
        <v>95</v>
      </c>
      <c r="E859" s="2" t="s">
        <v>35</v>
      </c>
      <c r="F859" s="2">
        <v>29</v>
      </c>
      <c r="G859" s="7">
        <v>212.47</v>
      </c>
      <c r="H859" s="7">
        <v>5853.55</v>
      </c>
      <c r="I859" s="2">
        <v>5</v>
      </c>
      <c r="J859" s="2" t="s">
        <v>53</v>
      </c>
      <c r="K859" s="2" t="s">
        <v>67</v>
      </c>
      <c r="L859" s="1" t="s">
        <v>2347</v>
      </c>
      <c r="M859" s="1" t="str">
        <f t="shared" si="39"/>
        <v>Online Payment</v>
      </c>
      <c r="N859" s="2" t="str">
        <f t="shared" si="40"/>
        <v>Electronics</v>
      </c>
      <c r="O859" s="1" t="str">
        <f t="shared" si="41"/>
        <v>High Stock</v>
      </c>
    </row>
    <row r="860" spans="1:15" x14ac:dyDescent="0.3">
      <c r="A860" s="5">
        <v>45761</v>
      </c>
      <c r="B860" s="2" t="s">
        <v>2086</v>
      </c>
      <c r="C860" s="2" t="s">
        <v>2087</v>
      </c>
      <c r="D860" s="2" t="s">
        <v>52</v>
      </c>
      <c r="E860" s="2" t="s">
        <v>35</v>
      </c>
      <c r="F860" s="2">
        <v>18</v>
      </c>
      <c r="G860" s="7">
        <v>313.83999999999997</v>
      </c>
      <c r="H860" s="7">
        <v>5366.66</v>
      </c>
      <c r="I860" s="2">
        <v>5</v>
      </c>
      <c r="J860" s="2" t="s">
        <v>46</v>
      </c>
      <c r="K860" s="2" t="s">
        <v>244</v>
      </c>
      <c r="L860" s="2" t="s">
        <v>69</v>
      </c>
      <c r="M860" s="2" t="str">
        <f t="shared" si="39"/>
        <v>Debit Card</v>
      </c>
      <c r="N860" s="2" t="str">
        <f t="shared" si="40"/>
        <v>Electronics</v>
      </c>
      <c r="O860" s="2" t="str">
        <f t="shared" si="41"/>
        <v>High Stock</v>
      </c>
    </row>
    <row r="861" spans="1:15" x14ac:dyDescent="0.3">
      <c r="A861" s="5">
        <v>45981</v>
      </c>
      <c r="B861" s="2" t="s">
        <v>2088</v>
      </c>
      <c r="C861" s="2" t="s">
        <v>2089</v>
      </c>
      <c r="D861" s="2" t="s">
        <v>52</v>
      </c>
      <c r="E861" s="2" t="s">
        <v>35</v>
      </c>
      <c r="F861" s="2">
        <v>45</v>
      </c>
      <c r="G861" s="7">
        <v>115.06</v>
      </c>
      <c r="H861" s="7">
        <v>5177.7</v>
      </c>
      <c r="I861" s="2">
        <v>0</v>
      </c>
      <c r="J861" s="2" t="s">
        <v>16</v>
      </c>
      <c r="K861" s="2" t="s">
        <v>160</v>
      </c>
      <c r="L861" s="2" t="s">
        <v>69</v>
      </c>
      <c r="M861" s="2" t="str">
        <f t="shared" si="39"/>
        <v>Debit Card</v>
      </c>
      <c r="N861" s="2" t="str">
        <f t="shared" si="40"/>
        <v>Electronics</v>
      </c>
      <c r="O861" s="2" t="str">
        <f t="shared" si="41"/>
        <v>High Stock</v>
      </c>
    </row>
    <row r="862" spans="1:15" x14ac:dyDescent="0.3">
      <c r="A862" s="5">
        <v>45629</v>
      </c>
      <c r="B862" s="2" t="s">
        <v>2091</v>
      </c>
      <c r="C862" s="2" t="s">
        <v>2092</v>
      </c>
      <c r="D862" s="2" t="s">
        <v>14</v>
      </c>
      <c r="E862" s="2" t="s">
        <v>15</v>
      </c>
      <c r="F862" s="2">
        <v>25</v>
      </c>
      <c r="G862" s="7">
        <v>61.35</v>
      </c>
      <c r="H862" s="7">
        <v>1533.75</v>
      </c>
      <c r="I862" s="2">
        <v>0</v>
      </c>
      <c r="J862" s="2" t="s">
        <v>16</v>
      </c>
      <c r="K862" s="2" t="s">
        <v>160</v>
      </c>
      <c r="L862" s="2" t="s">
        <v>69</v>
      </c>
      <c r="M862" s="2" t="str">
        <f t="shared" si="39"/>
        <v>Debit Card</v>
      </c>
      <c r="N862" s="2" t="str">
        <f t="shared" si="40"/>
        <v>Peripherals</v>
      </c>
      <c r="O862" s="2" t="str">
        <f t="shared" si="41"/>
        <v>High Stock</v>
      </c>
    </row>
    <row r="863" spans="1:15" x14ac:dyDescent="0.3">
      <c r="A863" s="5">
        <v>46197</v>
      </c>
      <c r="B863" s="2" t="s">
        <v>2094</v>
      </c>
      <c r="C863" s="2" t="s">
        <v>797</v>
      </c>
      <c r="D863" s="2" t="s">
        <v>22</v>
      </c>
      <c r="E863" s="2" t="s">
        <v>23</v>
      </c>
      <c r="F863" s="2">
        <v>10</v>
      </c>
      <c r="G863" s="7">
        <v>31.52</v>
      </c>
      <c r="H863" s="7">
        <v>283.68</v>
      </c>
      <c r="I863" s="2">
        <v>10</v>
      </c>
      <c r="J863" s="2" t="s">
        <v>24</v>
      </c>
      <c r="K863" s="2" t="s">
        <v>104</v>
      </c>
      <c r="L863" s="1" t="s">
        <v>2347</v>
      </c>
      <c r="M863" s="1" t="str">
        <f t="shared" si="39"/>
        <v>Online Payment</v>
      </c>
      <c r="N863" s="2" t="str">
        <f t="shared" si="40"/>
        <v>Accessories</v>
      </c>
      <c r="O863" s="1" t="str">
        <f t="shared" si="41"/>
        <v>Low Stock</v>
      </c>
    </row>
    <row r="864" spans="1:15" x14ac:dyDescent="0.3">
      <c r="A864" s="5">
        <v>46255</v>
      </c>
      <c r="B864" s="2" t="s">
        <v>2095</v>
      </c>
      <c r="C864" s="2" t="s">
        <v>659</v>
      </c>
      <c r="D864" s="2" t="s">
        <v>95</v>
      </c>
      <c r="E864" s="2" t="s">
        <v>35</v>
      </c>
      <c r="F864" s="2">
        <v>32</v>
      </c>
      <c r="G864" s="7">
        <v>1071.22</v>
      </c>
      <c r="H864" s="7">
        <v>27423.23</v>
      </c>
      <c r="I864" s="2">
        <v>20</v>
      </c>
      <c r="J864" s="2" t="s">
        <v>46</v>
      </c>
      <c r="K864" s="2" t="s">
        <v>47</v>
      </c>
      <c r="L864" s="2" t="s">
        <v>49</v>
      </c>
      <c r="M864" s="2" t="str">
        <f t="shared" si="39"/>
        <v>Check</v>
      </c>
      <c r="N864" s="2" t="str">
        <f t="shared" si="40"/>
        <v>Electronics</v>
      </c>
      <c r="O864" s="2" t="str">
        <f t="shared" si="41"/>
        <v>High Stock</v>
      </c>
    </row>
    <row r="865" spans="1:15" x14ac:dyDescent="0.3">
      <c r="A865" s="5">
        <v>46069</v>
      </c>
      <c r="B865" s="2" t="s">
        <v>2096</v>
      </c>
      <c r="C865" s="2" t="s">
        <v>885</v>
      </c>
      <c r="D865" s="2" t="s">
        <v>63</v>
      </c>
      <c r="E865" s="2" t="s">
        <v>15</v>
      </c>
      <c r="F865" s="2">
        <v>24</v>
      </c>
      <c r="G865" s="7">
        <v>79.900000000000006</v>
      </c>
      <c r="H865" s="7">
        <v>1725.84</v>
      </c>
      <c r="I865" s="2">
        <v>10</v>
      </c>
      <c r="J865" s="2" t="s">
        <v>46</v>
      </c>
      <c r="K865" s="2" t="s">
        <v>47</v>
      </c>
      <c r="L865" s="2" t="s">
        <v>31</v>
      </c>
      <c r="M865" s="2" t="str">
        <f t="shared" si="39"/>
        <v>Credit Card</v>
      </c>
      <c r="N865" s="2" t="str">
        <f t="shared" si="40"/>
        <v>Peripherals</v>
      </c>
      <c r="O865" s="2" t="str">
        <f t="shared" si="41"/>
        <v>High Stock</v>
      </c>
    </row>
    <row r="866" spans="1:15" x14ac:dyDescent="0.3">
      <c r="A866" s="5">
        <v>46246</v>
      </c>
      <c r="B866" s="2" t="s">
        <v>2098</v>
      </c>
      <c r="C866" s="2" t="s">
        <v>2099</v>
      </c>
      <c r="D866" s="2" t="s">
        <v>123</v>
      </c>
      <c r="E866" s="2" t="s">
        <v>15</v>
      </c>
      <c r="F866" s="2">
        <v>17</v>
      </c>
      <c r="G866" s="7">
        <v>37.71</v>
      </c>
      <c r="H866" s="7">
        <v>512.86</v>
      </c>
      <c r="I866" s="2">
        <v>20</v>
      </c>
      <c r="J866" s="2" t="s">
        <v>24</v>
      </c>
      <c r="K866" s="2" t="s">
        <v>104</v>
      </c>
      <c r="L866" s="2" t="s">
        <v>31</v>
      </c>
      <c r="M866" s="2" t="str">
        <f t="shared" si="39"/>
        <v>Credit Card</v>
      </c>
      <c r="N866" s="2" t="str">
        <f t="shared" si="40"/>
        <v>Peripherals</v>
      </c>
      <c r="O866" s="2" t="str">
        <f t="shared" si="41"/>
        <v>High Stock</v>
      </c>
    </row>
    <row r="867" spans="1:15" x14ac:dyDescent="0.3">
      <c r="A867" s="5">
        <v>45796</v>
      </c>
      <c r="B867" s="2" t="s">
        <v>2100</v>
      </c>
      <c r="C867" s="2" t="s">
        <v>2009</v>
      </c>
      <c r="D867" s="2" t="s">
        <v>95</v>
      </c>
      <c r="E867" s="2" t="s">
        <v>35</v>
      </c>
      <c r="F867" s="2">
        <v>39</v>
      </c>
      <c r="G867" s="7">
        <v>368.17</v>
      </c>
      <c r="H867" s="7">
        <v>14358.63</v>
      </c>
      <c r="I867" s="2">
        <v>0</v>
      </c>
      <c r="J867" s="2" t="s">
        <v>16</v>
      </c>
      <c r="K867" s="2" t="s">
        <v>91</v>
      </c>
      <c r="L867" s="2" t="s">
        <v>31</v>
      </c>
      <c r="M867" s="2" t="str">
        <f t="shared" si="39"/>
        <v>Credit Card</v>
      </c>
      <c r="N867" s="2" t="str">
        <f t="shared" si="40"/>
        <v>Electronics</v>
      </c>
      <c r="O867" s="2" t="str">
        <f t="shared" si="41"/>
        <v>High Stock</v>
      </c>
    </row>
    <row r="868" spans="1:15" x14ac:dyDescent="0.3">
      <c r="A868" s="5">
        <v>45948</v>
      </c>
      <c r="B868" s="2" t="s">
        <v>2102</v>
      </c>
      <c r="C868" s="2" t="s">
        <v>2103</v>
      </c>
      <c r="D868" s="2" t="s">
        <v>90</v>
      </c>
      <c r="E868" s="2" t="s">
        <v>23</v>
      </c>
      <c r="F868" s="2">
        <v>27</v>
      </c>
      <c r="G868" s="7">
        <v>17.010000000000002</v>
      </c>
      <c r="H868" s="7">
        <v>367.42</v>
      </c>
      <c r="I868" s="2">
        <v>20</v>
      </c>
      <c r="J868" s="2" t="s">
        <v>16</v>
      </c>
      <c r="K868" s="2" t="s">
        <v>74</v>
      </c>
      <c r="L868" s="2" t="s">
        <v>27</v>
      </c>
      <c r="M868" s="2" t="str">
        <f t="shared" si="39"/>
        <v>Cash</v>
      </c>
      <c r="N868" s="2" t="str">
        <f t="shared" si="40"/>
        <v>Accessories</v>
      </c>
      <c r="O868" s="2" t="str">
        <f t="shared" si="41"/>
        <v>High Stock</v>
      </c>
    </row>
    <row r="869" spans="1:15" x14ac:dyDescent="0.3">
      <c r="A869" s="5">
        <v>46010</v>
      </c>
      <c r="B869" s="2" t="s">
        <v>2105</v>
      </c>
      <c r="C869" s="2" t="s">
        <v>2106</v>
      </c>
      <c r="D869" s="2" t="s">
        <v>14</v>
      </c>
      <c r="E869" s="2" t="s">
        <v>15</v>
      </c>
      <c r="F869" s="2">
        <v>30</v>
      </c>
      <c r="G869" s="7">
        <v>66.64</v>
      </c>
      <c r="H869" s="7">
        <v>1999.2</v>
      </c>
      <c r="I869" s="2">
        <v>0</v>
      </c>
      <c r="J869" s="2" t="s">
        <v>16</v>
      </c>
      <c r="K869" s="2" t="s">
        <v>74</v>
      </c>
      <c r="L869" s="2" t="s">
        <v>69</v>
      </c>
      <c r="M869" s="2" t="str">
        <f t="shared" si="39"/>
        <v>Debit Card</v>
      </c>
      <c r="N869" s="2" t="str">
        <f t="shared" si="40"/>
        <v>Peripherals</v>
      </c>
      <c r="O869" s="2" t="str">
        <f t="shared" si="41"/>
        <v>High Stock</v>
      </c>
    </row>
    <row r="870" spans="1:15" x14ac:dyDescent="0.3">
      <c r="A870" s="5">
        <v>46276</v>
      </c>
      <c r="B870" s="2" t="s">
        <v>2108</v>
      </c>
      <c r="C870" s="2" t="s">
        <v>2109</v>
      </c>
      <c r="D870" s="2" t="s">
        <v>123</v>
      </c>
      <c r="E870" s="2" t="s">
        <v>15</v>
      </c>
      <c r="F870" s="2">
        <v>23</v>
      </c>
      <c r="G870" s="7">
        <v>18.940000000000001</v>
      </c>
      <c r="H870" s="7">
        <v>413.84</v>
      </c>
      <c r="I870" s="2">
        <v>5</v>
      </c>
      <c r="J870" s="2" t="s">
        <v>16</v>
      </c>
      <c r="K870" s="2" t="s">
        <v>111</v>
      </c>
      <c r="L870" s="2" t="s">
        <v>49</v>
      </c>
      <c r="M870" s="2" t="str">
        <f t="shared" si="39"/>
        <v>Check</v>
      </c>
      <c r="N870" s="2" t="str">
        <f t="shared" si="40"/>
        <v>Peripherals</v>
      </c>
      <c r="O870" s="2" t="str">
        <f t="shared" si="41"/>
        <v>High Stock</v>
      </c>
    </row>
    <row r="871" spans="1:15" x14ac:dyDescent="0.3">
      <c r="A871" s="5">
        <v>46164</v>
      </c>
      <c r="B871" s="2" t="s">
        <v>2110</v>
      </c>
      <c r="C871" s="2" t="s">
        <v>2111</v>
      </c>
      <c r="D871" s="2" t="s">
        <v>123</v>
      </c>
      <c r="E871" s="2" t="s">
        <v>15</v>
      </c>
      <c r="F871" s="2">
        <v>34</v>
      </c>
      <c r="G871" s="7">
        <v>48.24</v>
      </c>
      <c r="H871" s="7">
        <v>1640.16</v>
      </c>
      <c r="I871" s="2">
        <v>0</v>
      </c>
      <c r="J871" s="2" t="s">
        <v>53</v>
      </c>
      <c r="K871" s="2" t="s">
        <v>141</v>
      </c>
      <c r="L871" s="2" t="s">
        <v>31</v>
      </c>
      <c r="M871" s="2" t="str">
        <f t="shared" si="39"/>
        <v>Credit Card</v>
      </c>
      <c r="N871" s="2" t="str">
        <f t="shared" si="40"/>
        <v>Peripherals</v>
      </c>
      <c r="O871" s="2" t="str">
        <f t="shared" si="41"/>
        <v>High Stock</v>
      </c>
    </row>
    <row r="872" spans="1:15" x14ac:dyDescent="0.3">
      <c r="A872" s="5">
        <v>46194</v>
      </c>
      <c r="B872" s="2" t="s">
        <v>2113</v>
      </c>
      <c r="C872" s="2" t="s">
        <v>2114</v>
      </c>
      <c r="D872" s="2" t="s">
        <v>95</v>
      </c>
      <c r="E872" s="2" t="s">
        <v>35</v>
      </c>
      <c r="F872" s="2">
        <v>37</v>
      </c>
      <c r="G872" s="7">
        <v>946.14</v>
      </c>
      <c r="H872" s="7">
        <v>28005.74</v>
      </c>
      <c r="I872" s="2">
        <v>20</v>
      </c>
      <c r="J872" s="2" t="s">
        <v>46</v>
      </c>
      <c r="K872" s="2" t="s">
        <v>124</v>
      </c>
      <c r="L872" s="2" t="s">
        <v>69</v>
      </c>
      <c r="M872" s="2" t="str">
        <f t="shared" si="39"/>
        <v>Debit Card</v>
      </c>
      <c r="N872" s="2" t="str">
        <f t="shared" si="40"/>
        <v>Electronics</v>
      </c>
      <c r="O872" s="2" t="str">
        <f t="shared" si="41"/>
        <v>High Stock</v>
      </c>
    </row>
    <row r="873" spans="1:15" x14ac:dyDescent="0.3">
      <c r="A873" s="5">
        <v>46024</v>
      </c>
      <c r="B873" s="2" t="s">
        <v>2115</v>
      </c>
      <c r="C873" s="2" t="s">
        <v>2116</v>
      </c>
      <c r="D873" s="2" t="s">
        <v>14</v>
      </c>
      <c r="E873" s="2" t="s">
        <v>15</v>
      </c>
      <c r="F873" s="2">
        <v>5</v>
      </c>
      <c r="G873" s="7">
        <v>50.89</v>
      </c>
      <c r="H873" s="7">
        <v>241.73</v>
      </c>
      <c r="I873" s="2">
        <v>5</v>
      </c>
      <c r="J873" s="2" t="s">
        <v>24</v>
      </c>
      <c r="K873" s="2" t="s">
        <v>25</v>
      </c>
      <c r="L873" s="2" t="s">
        <v>69</v>
      </c>
      <c r="M873" s="2" t="str">
        <f t="shared" si="39"/>
        <v>Debit Card</v>
      </c>
      <c r="N873" s="2" t="str">
        <f t="shared" si="40"/>
        <v>Peripherals</v>
      </c>
      <c r="O873" s="2" t="str">
        <f t="shared" si="41"/>
        <v>Low Stock</v>
      </c>
    </row>
    <row r="874" spans="1:15" x14ac:dyDescent="0.3">
      <c r="A874" s="5">
        <v>46264</v>
      </c>
      <c r="B874" s="2" t="s">
        <v>2118</v>
      </c>
      <c r="C874" s="2" t="s">
        <v>1790</v>
      </c>
      <c r="D874" s="2" t="s">
        <v>90</v>
      </c>
      <c r="E874" s="2" t="s">
        <v>23</v>
      </c>
      <c r="F874" s="2">
        <v>32</v>
      </c>
      <c r="G874" s="7">
        <v>31.82</v>
      </c>
      <c r="H874" s="7">
        <v>1018.24</v>
      </c>
      <c r="I874" s="2">
        <v>0</v>
      </c>
      <c r="J874" s="2" t="s">
        <v>16</v>
      </c>
      <c r="K874" s="2" t="s">
        <v>91</v>
      </c>
      <c r="L874" s="2" t="s">
        <v>27</v>
      </c>
      <c r="M874" s="2" t="str">
        <f t="shared" si="39"/>
        <v>Cash</v>
      </c>
      <c r="N874" s="2" t="str">
        <f t="shared" si="40"/>
        <v>Accessories</v>
      </c>
      <c r="O874" s="2" t="str">
        <f t="shared" si="41"/>
        <v>High Stock</v>
      </c>
    </row>
    <row r="875" spans="1:15" x14ac:dyDescent="0.3">
      <c r="A875" s="5">
        <v>45588</v>
      </c>
      <c r="B875" s="2" t="s">
        <v>2120</v>
      </c>
      <c r="C875" s="2" t="s">
        <v>1070</v>
      </c>
      <c r="D875" s="2" t="s">
        <v>52</v>
      </c>
      <c r="E875" s="2" t="s">
        <v>35</v>
      </c>
      <c r="F875" s="2">
        <v>16</v>
      </c>
      <c r="G875" s="7">
        <v>318.41000000000003</v>
      </c>
      <c r="H875" s="7">
        <v>4330.38</v>
      </c>
      <c r="I875" s="2">
        <v>15</v>
      </c>
      <c r="J875" s="2" t="s">
        <v>16</v>
      </c>
      <c r="K875" s="2" t="s">
        <v>74</v>
      </c>
      <c r="L875" s="2" t="s">
        <v>31</v>
      </c>
      <c r="M875" s="2" t="str">
        <f t="shared" si="39"/>
        <v>Credit Card</v>
      </c>
      <c r="N875" s="2" t="str">
        <f t="shared" si="40"/>
        <v>Electronics</v>
      </c>
      <c r="O875" s="2" t="str">
        <f t="shared" si="41"/>
        <v>High Stock</v>
      </c>
    </row>
    <row r="876" spans="1:15" x14ac:dyDescent="0.3">
      <c r="A876" s="5">
        <v>45848</v>
      </c>
      <c r="B876" s="2" t="s">
        <v>2121</v>
      </c>
      <c r="C876" s="2" t="s">
        <v>1410</v>
      </c>
      <c r="D876" s="2" t="s">
        <v>90</v>
      </c>
      <c r="E876" s="2" t="s">
        <v>23</v>
      </c>
      <c r="F876" s="2">
        <v>41</v>
      </c>
      <c r="G876" s="7">
        <v>44.98</v>
      </c>
      <c r="H876" s="7">
        <v>1844.18</v>
      </c>
      <c r="I876" s="2">
        <v>0</v>
      </c>
      <c r="J876" s="2" t="s">
        <v>53</v>
      </c>
      <c r="K876" s="2" t="s">
        <v>134</v>
      </c>
      <c r="L876" s="1" t="s">
        <v>2347</v>
      </c>
      <c r="M876" s="1" t="str">
        <f t="shared" si="39"/>
        <v>Online Payment</v>
      </c>
      <c r="N876" s="2" t="str">
        <f t="shared" si="40"/>
        <v>Accessories</v>
      </c>
      <c r="O876" s="1" t="str">
        <f t="shared" si="41"/>
        <v>High Stock</v>
      </c>
    </row>
    <row r="877" spans="1:15" x14ac:dyDescent="0.3">
      <c r="A877" s="5">
        <v>45952</v>
      </c>
      <c r="B877" s="2" t="s">
        <v>2122</v>
      </c>
      <c r="C877" s="2" t="s">
        <v>475</v>
      </c>
      <c r="D877" s="2" t="s">
        <v>82</v>
      </c>
      <c r="E877" s="2" t="s">
        <v>73</v>
      </c>
      <c r="F877" s="2">
        <v>33</v>
      </c>
      <c r="G877" s="7">
        <v>357.83</v>
      </c>
      <c r="H877" s="7">
        <v>10627.55</v>
      </c>
      <c r="I877" s="2">
        <v>10</v>
      </c>
      <c r="J877" s="2" t="s">
        <v>46</v>
      </c>
      <c r="K877" s="2" t="s">
        <v>124</v>
      </c>
      <c r="L877" s="2" t="s">
        <v>31</v>
      </c>
      <c r="M877" s="2" t="str">
        <f t="shared" si="39"/>
        <v>Credit Card</v>
      </c>
      <c r="N877" s="2" t="str">
        <f t="shared" si="40"/>
        <v>Furniture</v>
      </c>
      <c r="O877" s="2" t="str">
        <f t="shared" si="41"/>
        <v>High Stock</v>
      </c>
    </row>
    <row r="878" spans="1:15" x14ac:dyDescent="0.3">
      <c r="A878" s="5">
        <v>45910</v>
      </c>
      <c r="B878" s="2" t="s">
        <v>2123</v>
      </c>
      <c r="C878" s="2" t="s">
        <v>1058</v>
      </c>
      <c r="D878" s="2" t="s">
        <v>99</v>
      </c>
      <c r="E878" s="2" t="s">
        <v>23</v>
      </c>
      <c r="F878" s="2">
        <v>19</v>
      </c>
      <c r="G878" s="7">
        <v>25.74</v>
      </c>
      <c r="H878" s="7">
        <v>440.15</v>
      </c>
      <c r="I878" s="2">
        <v>10</v>
      </c>
      <c r="J878" s="2" t="s">
        <v>53</v>
      </c>
      <c r="K878" s="2" t="s">
        <v>54</v>
      </c>
      <c r="L878" s="2" t="s">
        <v>31</v>
      </c>
      <c r="M878" s="2" t="str">
        <f t="shared" si="39"/>
        <v>Credit Card</v>
      </c>
      <c r="N878" s="2" t="str">
        <f t="shared" si="40"/>
        <v>Accessories</v>
      </c>
      <c r="O878" s="2" t="str">
        <f t="shared" si="41"/>
        <v>High Stock</v>
      </c>
    </row>
    <row r="879" spans="1:15" x14ac:dyDescent="0.3">
      <c r="A879" s="5">
        <v>45784</v>
      </c>
      <c r="B879" s="2" t="s">
        <v>2125</v>
      </c>
      <c r="C879" s="2" t="s">
        <v>499</v>
      </c>
      <c r="D879" s="2" t="s">
        <v>45</v>
      </c>
      <c r="E879" s="2" t="s">
        <v>23</v>
      </c>
      <c r="F879" s="2">
        <v>1</v>
      </c>
      <c r="G879" s="7">
        <v>104.55</v>
      </c>
      <c r="H879" s="7">
        <v>88.87</v>
      </c>
      <c r="I879" s="2">
        <v>15</v>
      </c>
      <c r="J879" s="2" t="s">
        <v>46</v>
      </c>
      <c r="K879" s="2" t="s">
        <v>124</v>
      </c>
      <c r="L879" s="2" t="s">
        <v>31</v>
      </c>
      <c r="M879" s="2" t="str">
        <f t="shared" si="39"/>
        <v>Credit Card</v>
      </c>
      <c r="N879" s="2" t="str">
        <f t="shared" si="40"/>
        <v>Accessories</v>
      </c>
      <c r="O879" s="2" t="str">
        <f t="shared" si="41"/>
        <v>Low Stock</v>
      </c>
    </row>
    <row r="880" spans="1:15" x14ac:dyDescent="0.3">
      <c r="A880" s="5">
        <v>45984</v>
      </c>
      <c r="B880" s="2" t="s">
        <v>2126</v>
      </c>
      <c r="C880" s="2" t="s">
        <v>2127</v>
      </c>
      <c r="D880" s="2" t="s">
        <v>90</v>
      </c>
      <c r="E880" s="2" t="s">
        <v>23</v>
      </c>
      <c r="F880" s="2">
        <v>30</v>
      </c>
      <c r="G880" s="7">
        <v>42.09</v>
      </c>
      <c r="H880" s="7">
        <v>1262.7</v>
      </c>
      <c r="I880" s="2">
        <v>0</v>
      </c>
      <c r="J880" s="2" t="s">
        <v>46</v>
      </c>
      <c r="K880" s="2" t="s">
        <v>244</v>
      </c>
      <c r="L880" s="2" t="s">
        <v>49</v>
      </c>
      <c r="M880" s="2" t="str">
        <f t="shared" si="39"/>
        <v>Check</v>
      </c>
      <c r="N880" s="2" t="str">
        <f t="shared" si="40"/>
        <v>Accessories</v>
      </c>
      <c r="O880" s="2" t="str">
        <f t="shared" si="41"/>
        <v>High Stock</v>
      </c>
    </row>
    <row r="881" spans="1:15" x14ac:dyDescent="0.3">
      <c r="A881" s="5">
        <v>45945</v>
      </c>
      <c r="B881" s="2" t="s">
        <v>2129</v>
      </c>
      <c r="C881" s="2" t="s">
        <v>2130</v>
      </c>
      <c r="D881" s="2" t="s">
        <v>40</v>
      </c>
      <c r="E881" s="2" t="s">
        <v>23</v>
      </c>
      <c r="F881" s="2">
        <v>44</v>
      </c>
      <c r="G881" s="7">
        <v>78.42</v>
      </c>
      <c r="H881" s="7">
        <v>3277.96</v>
      </c>
      <c r="I881" s="2">
        <v>5</v>
      </c>
      <c r="J881" s="2" t="s">
        <v>24</v>
      </c>
      <c r="K881" s="2" t="s">
        <v>104</v>
      </c>
      <c r="L881" s="2" t="s">
        <v>49</v>
      </c>
      <c r="M881" s="2" t="str">
        <f t="shared" si="39"/>
        <v>Check</v>
      </c>
      <c r="N881" s="2" t="str">
        <f t="shared" si="40"/>
        <v>Accessories</v>
      </c>
      <c r="O881" s="2" t="str">
        <f t="shared" si="41"/>
        <v>High Stock</v>
      </c>
    </row>
    <row r="882" spans="1:15" x14ac:dyDescent="0.3">
      <c r="A882" s="5">
        <v>45878</v>
      </c>
      <c r="B882" s="2" t="s">
        <v>2131</v>
      </c>
      <c r="C882" s="2" t="s">
        <v>2132</v>
      </c>
      <c r="D882" s="2" t="s">
        <v>103</v>
      </c>
      <c r="E882" s="2" t="s">
        <v>35</v>
      </c>
      <c r="F882" s="2">
        <v>25</v>
      </c>
      <c r="G882" s="7">
        <v>300.70999999999998</v>
      </c>
      <c r="H882" s="7">
        <v>6765.98</v>
      </c>
      <c r="I882" s="2">
        <v>10</v>
      </c>
      <c r="J882" s="2" t="s">
        <v>16</v>
      </c>
      <c r="K882" s="2" t="s">
        <v>91</v>
      </c>
      <c r="L882" s="2" t="s">
        <v>69</v>
      </c>
      <c r="M882" s="2" t="str">
        <f t="shared" si="39"/>
        <v>Debit Card</v>
      </c>
      <c r="N882" s="2" t="str">
        <f t="shared" si="40"/>
        <v>Electronics</v>
      </c>
      <c r="O882" s="2" t="str">
        <f t="shared" si="41"/>
        <v>High Stock</v>
      </c>
    </row>
    <row r="883" spans="1:15" x14ac:dyDescent="0.3">
      <c r="A883" s="5">
        <v>46153</v>
      </c>
      <c r="B883" s="2" t="s">
        <v>2134</v>
      </c>
      <c r="C883" s="2" t="s">
        <v>339</v>
      </c>
      <c r="D883" s="2" t="s">
        <v>95</v>
      </c>
      <c r="E883" s="2" t="s">
        <v>35</v>
      </c>
      <c r="F883" s="2">
        <v>6</v>
      </c>
      <c r="G883" s="7">
        <v>1186.19</v>
      </c>
      <c r="H883" s="7">
        <v>5693.71</v>
      </c>
      <c r="I883" s="2">
        <v>20</v>
      </c>
      <c r="J883" s="2" t="s">
        <v>53</v>
      </c>
      <c r="K883" s="2" t="s">
        <v>54</v>
      </c>
      <c r="L883" s="2" t="s">
        <v>49</v>
      </c>
      <c r="M883" s="2" t="str">
        <f t="shared" si="39"/>
        <v>Check</v>
      </c>
      <c r="N883" s="2" t="str">
        <f t="shared" si="40"/>
        <v>Electronics</v>
      </c>
      <c r="O883" s="2" t="str">
        <f t="shared" si="41"/>
        <v>Low Stock</v>
      </c>
    </row>
    <row r="884" spans="1:15" x14ac:dyDescent="0.3">
      <c r="A884" s="5">
        <v>45947</v>
      </c>
      <c r="B884" s="2" t="s">
        <v>2135</v>
      </c>
      <c r="C884" s="2" t="s">
        <v>2022</v>
      </c>
      <c r="D884" s="2" t="s">
        <v>45</v>
      </c>
      <c r="E884" s="2" t="s">
        <v>23</v>
      </c>
      <c r="F884" s="2">
        <v>5</v>
      </c>
      <c r="G884" s="7">
        <v>48.8</v>
      </c>
      <c r="H884" s="7">
        <v>195.2</v>
      </c>
      <c r="I884" s="2">
        <v>20</v>
      </c>
      <c r="J884" s="2" t="s">
        <v>46</v>
      </c>
      <c r="K884" s="2" t="s">
        <v>124</v>
      </c>
      <c r="L884" s="1" t="s">
        <v>2347</v>
      </c>
      <c r="M884" s="1" t="str">
        <f t="shared" si="39"/>
        <v>Online Payment</v>
      </c>
      <c r="N884" s="2" t="str">
        <f t="shared" si="40"/>
        <v>Accessories</v>
      </c>
      <c r="O884" s="1" t="str">
        <f t="shared" si="41"/>
        <v>Low Stock</v>
      </c>
    </row>
    <row r="885" spans="1:15" x14ac:dyDescent="0.3">
      <c r="A885" s="5">
        <v>45671</v>
      </c>
      <c r="B885" s="2" t="s">
        <v>2137</v>
      </c>
      <c r="C885" s="2" t="s">
        <v>2138</v>
      </c>
      <c r="D885" s="2" t="s">
        <v>22</v>
      </c>
      <c r="E885" s="2" t="s">
        <v>23</v>
      </c>
      <c r="F885" s="2">
        <v>14</v>
      </c>
      <c r="G885" s="7">
        <v>37.65</v>
      </c>
      <c r="H885" s="7">
        <v>474.39</v>
      </c>
      <c r="I885" s="2">
        <v>10</v>
      </c>
      <c r="J885" s="2" t="s">
        <v>53</v>
      </c>
      <c r="K885" s="2" t="s">
        <v>141</v>
      </c>
      <c r="L885" s="2" t="s">
        <v>49</v>
      </c>
      <c r="M885" s="2" t="str">
        <f t="shared" si="39"/>
        <v>Check</v>
      </c>
      <c r="N885" s="2" t="str">
        <f t="shared" si="40"/>
        <v>Accessories</v>
      </c>
      <c r="O885" s="2" t="str">
        <f t="shared" si="41"/>
        <v>Low Stock</v>
      </c>
    </row>
    <row r="886" spans="1:15" x14ac:dyDescent="0.3">
      <c r="A886" s="5">
        <v>46065</v>
      </c>
      <c r="B886" s="2" t="s">
        <v>2139</v>
      </c>
      <c r="C886" s="2" t="s">
        <v>2140</v>
      </c>
      <c r="D886" s="2" t="s">
        <v>72</v>
      </c>
      <c r="E886" s="2" t="s">
        <v>73</v>
      </c>
      <c r="F886" s="2">
        <v>2</v>
      </c>
      <c r="G886" s="7">
        <v>171.06</v>
      </c>
      <c r="H886" s="7">
        <v>307.91000000000003</v>
      </c>
      <c r="I886" s="2">
        <v>10</v>
      </c>
      <c r="J886" s="2" t="s">
        <v>16</v>
      </c>
      <c r="K886" s="2" t="s">
        <v>111</v>
      </c>
      <c r="L886" s="2" t="s">
        <v>49</v>
      </c>
      <c r="M886" s="2" t="str">
        <f t="shared" si="39"/>
        <v>Check</v>
      </c>
      <c r="N886" s="2" t="str">
        <f t="shared" si="40"/>
        <v>Furniture</v>
      </c>
      <c r="O886" s="2" t="str">
        <f t="shared" si="41"/>
        <v>Low Stock</v>
      </c>
    </row>
    <row r="887" spans="1:15" x14ac:dyDescent="0.3">
      <c r="A887" s="5">
        <v>45809</v>
      </c>
      <c r="B887" s="2" t="s">
        <v>2142</v>
      </c>
      <c r="C887" s="2" t="s">
        <v>2143</v>
      </c>
      <c r="D887" s="2" t="s">
        <v>90</v>
      </c>
      <c r="E887" s="2" t="s">
        <v>23</v>
      </c>
      <c r="F887" s="2">
        <v>2</v>
      </c>
      <c r="G887" s="7">
        <v>24.7</v>
      </c>
      <c r="H887" s="7">
        <v>39.520000000000003</v>
      </c>
      <c r="I887" s="2">
        <v>20</v>
      </c>
      <c r="J887" s="2" t="s">
        <v>53</v>
      </c>
      <c r="K887" s="2" t="s">
        <v>141</v>
      </c>
      <c r="L887" s="2" t="s">
        <v>27</v>
      </c>
      <c r="M887" s="2" t="str">
        <f t="shared" si="39"/>
        <v>Cash</v>
      </c>
      <c r="N887" s="2" t="str">
        <f t="shared" si="40"/>
        <v>Accessories</v>
      </c>
      <c r="O887" s="2" t="str">
        <f t="shared" si="41"/>
        <v>Low Stock</v>
      </c>
    </row>
    <row r="888" spans="1:15" x14ac:dyDescent="0.3">
      <c r="A888" s="5">
        <v>46129</v>
      </c>
      <c r="B888" s="2" t="s">
        <v>2144</v>
      </c>
      <c r="C888" s="2" t="s">
        <v>2130</v>
      </c>
      <c r="D888" s="2" t="s">
        <v>34</v>
      </c>
      <c r="E888" s="2" t="s">
        <v>35</v>
      </c>
      <c r="F888" s="2">
        <v>24</v>
      </c>
      <c r="G888" s="7">
        <v>615.19000000000005</v>
      </c>
      <c r="H888" s="7">
        <v>14764.56</v>
      </c>
      <c r="I888" s="2">
        <v>0</v>
      </c>
      <c r="J888" s="2" t="s">
        <v>16</v>
      </c>
      <c r="K888" s="2" t="s">
        <v>111</v>
      </c>
      <c r="L888" s="2" t="s">
        <v>69</v>
      </c>
      <c r="M888" s="2" t="str">
        <f t="shared" si="39"/>
        <v>Debit Card</v>
      </c>
      <c r="N888" s="2" t="str">
        <f t="shared" si="40"/>
        <v>Electronics</v>
      </c>
      <c r="O888" s="2" t="str">
        <f t="shared" si="41"/>
        <v>High Stock</v>
      </c>
    </row>
    <row r="889" spans="1:15" x14ac:dyDescent="0.3">
      <c r="A889" s="5">
        <v>45670</v>
      </c>
      <c r="B889" s="2" t="s">
        <v>2145</v>
      </c>
      <c r="C889" s="2" t="s">
        <v>2146</v>
      </c>
      <c r="D889" s="2" t="s">
        <v>103</v>
      </c>
      <c r="E889" s="2" t="s">
        <v>35</v>
      </c>
      <c r="F889" s="2">
        <v>35</v>
      </c>
      <c r="G889" s="7">
        <v>471.67</v>
      </c>
      <c r="H889" s="7">
        <v>16508.45</v>
      </c>
      <c r="I889" s="2">
        <v>0</v>
      </c>
      <c r="J889" s="2" t="s">
        <v>24</v>
      </c>
      <c r="K889" s="2" t="s">
        <v>25</v>
      </c>
      <c r="L889" s="2" t="s">
        <v>49</v>
      </c>
      <c r="M889" s="2" t="str">
        <f t="shared" si="39"/>
        <v>Check</v>
      </c>
      <c r="N889" s="2" t="str">
        <f t="shared" si="40"/>
        <v>Electronics</v>
      </c>
      <c r="O889" s="2" t="str">
        <f t="shared" si="41"/>
        <v>High Stock</v>
      </c>
    </row>
    <row r="890" spans="1:15" x14ac:dyDescent="0.3">
      <c r="A890" s="5">
        <v>45977</v>
      </c>
      <c r="B890" s="2" t="s">
        <v>2147</v>
      </c>
      <c r="C890" s="2" t="s">
        <v>2148</v>
      </c>
      <c r="D890" s="2" t="s">
        <v>95</v>
      </c>
      <c r="E890" s="2" t="s">
        <v>35</v>
      </c>
      <c r="F890" s="2">
        <v>19</v>
      </c>
      <c r="G890" s="7">
        <v>917.25</v>
      </c>
      <c r="H890" s="7">
        <v>17427.75</v>
      </c>
      <c r="I890" s="2">
        <v>0</v>
      </c>
      <c r="J890" s="2" t="s">
        <v>16</v>
      </c>
      <c r="K890" s="2" t="s">
        <v>17</v>
      </c>
      <c r="L890" s="1" t="s">
        <v>2347</v>
      </c>
      <c r="M890" s="1" t="str">
        <f t="shared" si="39"/>
        <v>Online Payment</v>
      </c>
      <c r="N890" s="2" t="str">
        <f t="shared" si="40"/>
        <v>Electronics</v>
      </c>
      <c r="O890" s="1" t="str">
        <f t="shared" si="41"/>
        <v>High Stock</v>
      </c>
    </row>
    <row r="891" spans="1:15" x14ac:dyDescent="0.3">
      <c r="A891" s="5">
        <v>45630</v>
      </c>
      <c r="B891" s="2" t="s">
        <v>2149</v>
      </c>
      <c r="C891" s="2" t="s">
        <v>2150</v>
      </c>
      <c r="D891" s="2" t="s">
        <v>22</v>
      </c>
      <c r="E891" s="2" t="s">
        <v>23</v>
      </c>
      <c r="F891" s="2">
        <v>43</v>
      </c>
      <c r="G891" s="7">
        <v>32.75</v>
      </c>
      <c r="H891" s="7">
        <v>1267.43</v>
      </c>
      <c r="I891" s="2">
        <v>10</v>
      </c>
      <c r="J891" s="2" t="s">
        <v>24</v>
      </c>
      <c r="K891" s="2" t="s">
        <v>59</v>
      </c>
      <c r="L891" s="2" t="s">
        <v>69</v>
      </c>
      <c r="M891" s="2" t="str">
        <f t="shared" si="39"/>
        <v>Debit Card</v>
      </c>
      <c r="N891" s="2" t="str">
        <f t="shared" si="40"/>
        <v>Accessories</v>
      </c>
      <c r="O891" s="2" t="str">
        <f t="shared" si="41"/>
        <v>High Stock</v>
      </c>
    </row>
    <row r="892" spans="1:15" x14ac:dyDescent="0.3">
      <c r="A892" s="5">
        <v>46233</v>
      </c>
      <c r="B892" s="2" t="s">
        <v>2152</v>
      </c>
      <c r="C892" s="2" t="s">
        <v>2153</v>
      </c>
      <c r="D892" s="2" t="s">
        <v>45</v>
      </c>
      <c r="E892" s="2" t="s">
        <v>23</v>
      </c>
      <c r="F892" s="2">
        <v>39</v>
      </c>
      <c r="G892" s="7">
        <v>107.46</v>
      </c>
      <c r="H892" s="7">
        <v>4190.9399999999996</v>
      </c>
      <c r="I892" s="2">
        <v>0</v>
      </c>
      <c r="J892" s="2" t="s">
        <v>53</v>
      </c>
      <c r="K892" s="2" t="s">
        <v>141</v>
      </c>
      <c r="L892" s="2" t="s">
        <v>27</v>
      </c>
      <c r="M892" s="2" t="str">
        <f t="shared" si="39"/>
        <v>Cash</v>
      </c>
      <c r="N892" s="2" t="str">
        <f t="shared" si="40"/>
        <v>Accessories</v>
      </c>
      <c r="O892" s="2" t="str">
        <f t="shared" si="41"/>
        <v>High Stock</v>
      </c>
    </row>
    <row r="893" spans="1:15" x14ac:dyDescent="0.3">
      <c r="A893" s="5">
        <v>45800</v>
      </c>
      <c r="B893" s="2" t="s">
        <v>2155</v>
      </c>
      <c r="C893" s="2" t="s">
        <v>705</v>
      </c>
      <c r="D893" s="2" t="s">
        <v>95</v>
      </c>
      <c r="E893" s="2" t="s">
        <v>35</v>
      </c>
      <c r="F893" s="2">
        <v>22</v>
      </c>
      <c r="G893" s="7">
        <v>210.7</v>
      </c>
      <c r="H893" s="7">
        <v>4635.3999999999996</v>
      </c>
      <c r="I893" s="2">
        <v>0</v>
      </c>
      <c r="J893" s="2" t="s">
        <v>16</v>
      </c>
      <c r="K893" s="2" t="s">
        <v>74</v>
      </c>
      <c r="L893" s="2" t="s">
        <v>27</v>
      </c>
      <c r="M893" s="2" t="str">
        <f t="shared" si="39"/>
        <v>Cash</v>
      </c>
      <c r="N893" s="2" t="str">
        <f t="shared" si="40"/>
        <v>Electronics</v>
      </c>
      <c r="O893" s="2" t="str">
        <f t="shared" si="41"/>
        <v>High Stock</v>
      </c>
    </row>
    <row r="894" spans="1:15" x14ac:dyDescent="0.3">
      <c r="A894" s="5">
        <v>46029</v>
      </c>
      <c r="B894" s="2" t="s">
        <v>2156</v>
      </c>
      <c r="C894" s="2" t="s">
        <v>1091</v>
      </c>
      <c r="D894" s="2" t="s">
        <v>14</v>
      </c>
      <c r="E894" s="2" t="s">
        <v>15</v>
      </c>
      <c r="F894" s="2">
        <v>47</v>
      </c>
      <c r="G894" s="7">
        <v>79.760000000000005</v>
      </c>
      <c r="H894" s="7">
        <v>3748.72</v>
      </c>
      <c r="I894" s="2">
        <v>0</v>
      </c>
      <c r="J894" s="2" t="s">
        <v>16</v>
      </c>
      <c r="K894" s="2" t="s">
        <v>111</v>
      </c>
      <c r="L894" s="2" t="s">
        <v>69</v>
      </c>
      <c r="M894" s="2" t="str">
        <f t="shared" si="39"/>
        <v>Debit Card</v>
      </c>
      <c r="N894" s="2" t="str">
        <f t="shared" si="40"/>
        <v>Peripherals</v>
      </c>
      <c r="O894" s="2" t="str">
        <f t="shared" si="41"/>
        <v>High Stock</v>
      </c>
    </row>
    <row r="895" spans="1:15" x14ac:dyDescent="0.3">
      <c r="A895" s="5">
        <v>46202</v>
      </c>
      <c r="B895" s="2" t="s">
        <v>2157</v>
      </c>
      <c r="C895" s="2" t="s">
        <v>2158</v>
      </c>
      <c r="D895" s="2" t="s">
        <v>99</v>
      </c>
      <c r="E895" s="2" t="s">
        <v>23</v>
      </c>
      <c r="F895" s="2">
        <v>48</v>
      </c>
      <c r="G895" s="7">
        <v>20.63</v>
      </c>
      <c r="H895" s="7">
        <v>990.24</v>
      </c>
      <c r="I895" s="2">
        <v>0</v>
      </c>
      <c r="J895" s="2" t="s">
        <v>53</v>
      </c>
      <c r="K895" s="2" t="s">
        <v>141</v>
      </c>
      <c r="L895" s="1" t="s">
        <v>2347</v>
      </c>
      <c r="M895" s="1" t="str">
        <f t="shared" si="39"/>
        <v>Online Payment</v>
      </c>
      <c r="N895" s="2" t="str">
        <f t="shared" si="40"/>
        <v>Accessories</v>
      </c>
      <c r="O895" s="1" t="str">
        <f t="shared" si="41"/>
        <v>High Stock</v>
      </c>
    </row>
    <row r="896" spans="1:15" x14ac:dyDescent="0.3">
      <c r="A896" s="5">
        <v>45688</v>
      </c>
      <c r="B896" s="2" t="s">
        <v>2160</v>
      </c>
      <c r="C896" s="2" t="s">
        <v>2161</v>
      </c>
      <c r="D896" s="2" t="s">
        <v>14</v>
      </c>
      <c r="E896" s="2" t="s">
        <v>15</v>
      </c>
      <c r="F896" s="2">
        <v>47</v>
      </c>
      <c r="G896" s="7">
        <v>95.56</v>
      </c>
      <c r="H896" s="7">
        <v>4491.32</v>
      </c>
      <c r="I896" s="2">
        <v>0</v>
      </c>
      <c r="J896" s="2" t="s">
        <v>24</v>
      </c>
      <c r="K896" s="2" t="s">
        <v>41</v>
      </c>
      <c r="L896" s="2" t="s">
        <v>49</v>
      </c>
      <c r="M896" s="2" t="str">
        <f t="shared" si="39"/>
        <v>Check</v>
      </c>
      <c r="N896" s="2" t="str">
        <f t="shared" si="40"/>
        <v>Peripherals</v>
      </c>
      <c r="O896" s="2" t="str">
        <f t="shared" si="41"/>
        <v>High Stock</v>
      </c>
    </row>
    <row r="897" spans="1:15" x14ac:dyDescent="0.3">
      <c r="A897" s="5">
        <v>45616</v>
      </c>
      <c r="B897" s="2" t="s">
        <v>2163</v>
      </c>
      <c r="C897" s="2" t="s">
        <v>1208</v>
      </c>
      <c r="D897" s="2" t="s">
        <v>14</v>
      </c>
      <c r="E897" s="2" t="s">
        <v>15</v>
      </c>
      <c r="F897" s="2">
        <v>16</v>
      </c>
      <c r="G897" s="7">
        <v>44.92</v>
      </c>
      <c r="H897" s="7">
        <v>574.98</v>
      </c>
      <c r="I897" s="2">
        <v>20</v>
      </c>
      <c r="J897" s="2" t="s">
        <v>24</v>
      </c>
      <c r="K897" s="2" t="s">
        <v>36</v>
      </c>
      <c r="L897" s="2" t="s">
        <v>31</v>
      </c>
      <c r="M897" s="2" t="str">
        <f t="shared" si="39"/>
        <v>Credit Card</v>
      </c>
      <c r="N897" s="2" t="str">
        <f t="shared" si="40"/>
        <v>Peripherals</v>
      </c>
      <c r="O897" s="2" t="str">
        <f t="shared" si="41"/>
        <v>High Stock</v>
      </c>
    </row>
    <row r="898" spans="1:15" x14ac:dyDescent="0.3">
      <c r="A898" s="5">
        <v>46212</v>
      </c>
      <c r="B898" s="2" t="s">
        <v>2164</v>
      </c>
      <c r="C898" s="2" t="s">
        <v>2165</v>
      </c>
      <c r="D898" s="2" t="s">
        <v>52</v>
      </c>
      <c r="E898" s="2" t="s">
        <v>35</v>
      </c>
      <c r="F898" s="2">
        <v>47</v>
      </c>
      <c r="G898" s="7">
        <v>123.31</v>
      </c>
      <c r="H898" s="7">
        <v>5216.01</v>
      </c>
      <c r="I898" s="2">
        <v>10</v>
      </c>
      <c r="J898" s="2" t="s">
        <v>53</v>
      </c>
      <c r="K898" s="2" t="s">
        <v>170</v>
      </c>
      <c r="L898" s="2" t="s">
        <v>31</v>
      </c>
      <c r="M898" s="2" t="str">
        <f t="shared" si="39"/>
        <v>Credit Card</v>
      </c>
      <c r="N898" s="2" t="str">
        <f t="shared" si="40"/>
        <v>Electronics</v>
      </c>
      <c r="O898" s="2" t="str">
        <f t="shared" si="41"/>
        <v>High Stock</v>
      </c>
    </row>
    <row r="899" spans="1:15" x14ac:dyDescent="0.3">
      <c r="A899" s="5">
        <v>46246</v>
      </c>
      <c r="B899" s="2" t="s">
        <v>2166</v>
      </c>
      <c r="C899" s="2" t="s">
        <v>256</v>
      </c>
      <c r="D899" s="2" t="s">
        <v>14</v>
      </c>
      <c r="E899" s="2" t="s">
        <v>15</v>
      </c>
      <c r="F899" s="2">
        <v>23</v>
      </c>
      <c r="G899" s="7">
        <v>78.56</v>
      </c>
      <c r="H899" s="7">
        <v>1806.88</v>
      </c>
      <c r="I899" s="2">
        <v>0</v>
      </c>
      <c r="J899" s="2" t="s">
        <v>16</v>
      </c>
      <c r="K899" s="2" t="s">
        <v>74</v>
      </c>
      <c r="L899" s="2" t="s">
        <v>31</v>
      </c>
      <c r="M899" s="2" t="str">
        <f t="shared" ref="M899:M962" si="42">TRIM(L899)</f>
        <v>Credit Card</v>
      </c>
      <c r="N899" s="2" t="str">
        <f t="shared" ref="N899:N962" si="43">PROPER(E899)</f>
        <v>Peripherals</v>
      </c>
      <c r="O899" s="2" t="str">
        <f t="shared" ref="O899:O962" si="44">IF(F899&gt;15,"High Stock","Low Stock")</f>
        <v>High Stock</v>
      </c>
    </row>
    <row r="900" spans="1:15" x14ac:dyDescent="0.3">
      <c r="A900" s="5">
        <v>45995</v>
      </c>
      <c r="B900" s="2" t="s">
        <v>2167</v>
      </c>
      <c r="C900" s="2" t="s">
        <v>1114</v>
      </c>
      <c r="D900" s="2" t="s">
        <v>34</v>
      </c>
      <c r="E900" s="2" t="s">
        <v>35</v>
      </c>
      <c r="F900" s="2">
        <v>45</v>
      </c>
      <c r="G900" s="7">
        <v>491.49</v>
      </c>
      <c r="H900" s="7">
        <v>21011.200000000001</v>
      </c>
      <c r="I900" s="2">
        <v>5</v>
      </c>
      <c r="J900" s="2" t="s">
        <v>16</v>
      </c>
      <c r="K900" s="2" t="s">
        <v>91</v>
      </c>
      <c r="L900" s="2" t="s">
        <v>31</v>
      </c>
      <c r="M900" s="2" t="str">
        <f t="shared" si="42"/>
        <v>Credit Card</v>
      </c>
      <c r="N900" s="2" t="str">
        <f t="shared" si="43"/>
        <v>Electronics</v>
      </c>
      <c r="O900" s="2" t="str">
        <f t="shared" si="44"/>
        <v>High Stock</v>
      </c>
    </row>
    <row r="901" spans="1:15" x14ac:dyDescent="0.3">
      <c r="A901" s="5">
        <v>45868</v>
      </c>
      <c r="B901" s="2" t="s">
        <v>2168</v>
      </c>
      <c r="C901" s="2" t="s">
        <v>1498</v>
      </c>
      <c r="D901" s="2" t="s">
        <v>63</v>
      </c>
      <c r="E901" s="2" t="s">
        <v>15</v>
      </c>
      <c r="F901" s="2">
        <v>34</v>
      </c>
      <c r="G901" s="7">
        <v>56.53</v>
      </c>
      <c r="H901" s="7">
        <v>1825.92</v>
      </c>
      <c r="I901" s="2">
        <v>5</v>
      </c>
      <c r="J901" s="2" t="s">
        <v>16</v>
      </c>
      <c r="K901" s="2" t="s">
        <v>91</v>
      </c>
      <c r="L901" s="2" t="s">
        <v>69</v>
      </c>
      <c r="M901" s="2" t="str">
        <f t="shared" si="42"/>
        <v>Debit Card</v>
      </c>
      <c r="N901" s="2" t="str">
        <f t="shared" si="43"/>
        <v>Peripherals</v>
      </c>
      <c r="O901" s="2" t="str">
        <f t="shared" si="44"/>
        <v>High Stock</v>
      </c>
    </row>
    <row r="902" spans="1:15" x14ac:dyDescent="0.3">
      <c r="A902" s="5">
        <v>45623</v>
      </c>
      <c r="B902" s="2" t="s">
        <v>2169</v>
      </c>
      <c r="C902" s="2" t="s">
        <v>444</v>
      </c>
      <c r="D902" s="2" t="s">
        <v>45</v>
      </c>
      <c r="E902" s="2" t="s">
        <v>23</v>
      </c>
      <c r="F902" s="2">
        <v>17</v>
      </c>
      <c r="G902" s="7">
        <v>61.77</v>
      </c>
      <c r="H902" s="7">
        <v>1050.0899999999999</v>
      </c>
      <c r="I902" s="2">
        <v>0</v>
      </c>
      <c r="J902" s="2" t="s">
        <v>16</v>
      </c>
      <c r="K902" s="2" t="s">
        <v>111</v>
      </c>
      <c r="L902" s="2" t="s">
        <v>69</v>
      </c>
      <c r="M902" s="2" t="str">
        <f t="shared" si="42"/>
        <v>Debit Card</v>
      </c>
      <c r="N902" s="2" t="str">
        <f t="shared" si="43"/>
        <v>Accessories</v>
      </c>
      <c r="O902" s="2" t="str">
        <f t="shared" si="44"/>
        <v>High Stock</v>
      </c>
    </row>
    <row r="903" spans="1:15" x14ac:dyDescent="0.3">
      <c r="A903" s="5">
        <v>46298</v>
      </c>
      <c r="B903" s="2" t="s">
        <v>2171</v>
      </c>
      <c r="C903" s="2" t="s">
        <v>2172</v>
      </c>
      <c r="D903" s="2" t="s">
        <v>95</v>
      </c>
      <c r="E903" s="2" t="s">
        <v>35</v>
      </c>
      <c r="F903" s="2">
        <v>45</v>
      </c>
      <c r="G903" s="7">
        <v>825.24</v>
      </c>
      <c r="H903" s="7">
        <v>31565.43</v>
      </c>
      <c r="I903" s="2">
        <v>15</v>
      </c>
      <c r="J903" s="2" t="s">
        <v>24</v>
      </c>
      <c r="K903" s="2" t="s">
        <v>104</v>
      </c>
      <c r="L903" s="2" t="s">
        <v>49</v>
      </c>
      <c r="M903" s="2" t="str">
        <f t="shared" si="42"/>
        <v>Check</v>
      </c>
      <c r="N903" s="2" t="str">
        <f t="shared" si="43"/>
        <v>Electronics</v>
      </c>
      <c r="O903" s="2" t="str">
        <f t="shared" si="44"/>
        <v>High Stock</v>
      </c>
    </row>
    <row r="904" spans="1:15" x14ac:dyDescent="0.3">
      <c r="A904" s="5">
        <v>45788</v>
      </c>
      <c r="B904" s="2" t="s">
        <v>2174</v>
      </c>
      <c r="C904" s="2" t="s">
        <v>2175</v>
      </c>
      <c r="D904" s="2" t="s">
        <v>90</v>
      </c>
      <c r="E904" s="2" t="s">
        <v>23</v>
      </c>
      <c r="F904" s="2">
        <v>19</v>
      </c>
      <c r="G904" s="7">
        <v>28.02</v>
      </c>
      <c r="H904" s="7">
        <v>479.14</v>
      </c>
      <c r="I904" s="2">
        <v>10</v>
      </c>
      <c r="J904" s="2" t="s">
        <v>53</v>
      </c>
      <c r="K904" s="2" t="s">
        <v>54</v>
      </c>
      <c r="L904" s="1" t="s">
        <v>2347</v>
      </c>
      <c r="M904" s="1" t="str">
        <f t="shared" si="42"/>
        <v>Online Payment</v>
      </c>
      <c r="N904" s="2" t="str">
        <f t="shared" si="43"/>
        <v>Accessories</v>
      </c>
      <c r="O904" s="1" t="str">
        <f t="shared" si="44"/>
        <v>High Stock</v>
      </c>
    </row>
    <row r="905" spans="1:15" x14ac:dyDescent="0.3">
      <c r="A905" s="5">
        <v>46015</v>
      </c>
      <c r="B905" s="2" t="s">
        <v>2176</v>
      </c>
      <c r="C905" s="2" t="s">
        <v>1366</v>
      </c>
      <c r="D905" s="2" t="s">
        <v>90</v>
      </c>
      <c r="E905" s="2" t="s">
        <v>23</v>
      </c>
      <c r="F905" s="2">
        <v>15</v>
      </c>
      <c r="G905" s="7">
        <v>19.809999999999999</v>
      </c>
      <c r="H905" s="7">
        <v>297.14999999999998</v>
      </c>
      <c r="I905" s="2">
        <v>0</v>
      </c>
      <c r="J905" s="2" t="s">
        <v>16</v>
      </c>
      <c r="K905" s="2" t="s">
        <v>111</v>
      </c>
      <c r="L905" s="2" t="s">
        <v>27</v>
      </c>
      <c r="M905" s="2" t="str">
        <f t="shared" si="42"/>
        <v>Cash</v>
      </c>
      <c r="N905" s="2" t="str">
        <f t="shared" si="43"/>
        <v>Accessories</v>
      </c>
      <c r="O905" s="2" t="str">
        <f t="shared" si="44"/>
        <v>Low Stock</v>
      </c>
    </row>
    <row r="906" spans="1:15" x14ac:dyDescent="0.3">
      <c r="A906" s="5">
        <v>46182</v>
      </c>
      <c r="B906" s="2" t="s">
        <v>2177</v>
      </c>
      <c r="C906" s="2" t="s">
        <v>356</v>
      </c>
      <c r="D906" s="2" t="s">
        <v>45</v>
      </c>
      <c r="E906" s="2" t="s">
        <v>23</v>
      </c>
      <c r="F906" s="2">
        <v>2</v>
      </c>
      <c r="G906" s="7">
        <v>176.46</v>
      </c>
      <c r="H906" s="7">
        <v>299.98</v>
      </c>
      <c r="I906" s="2">
        <v>15</v>
      </c>
      <c r="J906" s="2" t="s">
        <v>46</v>
      </c>
      <c r="K906" s="2" t="s">
        <v>78</v>
      </c>
      <c r="L906" s="2" t="s">
        <v>49</v>
      </c>
      <c r="M906" s="2" t="str">
        <f t="shared" si="42"/>
        <v>Check</v>
      </c>
      <c r="N906" s="2" t="str">
        <f t="shared" si="43"/>
        <v>Accessories</v>
      </c>
      <c r="O906" s="2" t="str">
        <f t="shared" si="44"/>
        <v>Low Stock</v>
      </c>
    </row>
    <row r="907" spans="1:15" x14ac:dyDescent="0.3">
      <c r="A907" s="5">
        <v>45573</v>
      </c>
      <c r="B907" s="2" t="s">
        <v>2178</v>
      </c>
      <c r="C907" s="2" t="s">
        <v>1366</v>
      </c>
      <c r="D907" s="2" t="s">
        <v>103</v>
      </c>
      <c r="E907" s="2" t="s">
        <v>35</v>
      </c>
      <c r="F907" s="2">
        <v>31</v>
      </c>
      <c r="G907" s="7">
        <v>554.71</v>
      </c>
      <c r="H907" s="7">
        <v>17196.009999999998</v>
      </c>
      <c r="I907" s="2">
        <v>0</v>
      </c>
      <c r="J907" s="2" t="s">
        <v>53</v>
      </c>
      <c r="K907" s="2" t="s">
        <v>141</v>
      </c>
      <c r="L907" s="1" t="s">
        <v>2347</v>
      </c>
      <c r="M907" s="1" t="str">
        <f t="shared" si="42"/>
        <v>Online Payment</v>
      </c>
      <c r="N907" s="2" t="str">
        <f t="shared" si="43"/>
        <v>Electronics</v>
      </c>
      <c r="O907" s="1" t="str">
        <f t="shared" si="44"/>
        <v>High Stock</v>
      </c>
    </row>
    <row r="908" spans="1:15" x14ac:dyDescent="0.3">
      <c r="A908" s="5">
        <v>45635</v>
      </c>
      <c r="B908" s="2" t="s">
        <v>2180</v>
      </c>
      <c r="C908" s="2" t="s">
        <v>373</v>
      </c>
      <c r="D908" s="2" t="s">
        <v>34</v>
      </c>
      <c r="E908" s="2" t="s">
        <v>35</v>
      </c>
      <c r="F908" s="2">
        <v>7</v>
      </c>
      <c r="G908" s="7">
        <v>622.66</v>
      </c>
      <c r="H908" s="7">
        <v>4358.62</v>
      </c>
      <c r="I908" s="2">
        <v>0</v>
      </c>
      <c r="J908" s="2" t="s">
        <v>16</v>
      </c>
      <c r="K908" s="2" t="s">
        <v>74</v>
      </c>
      <c r="L908" s="2" t="s">
        <v>49</v>
      </c>
      <c r="M908" s="2" t="str">
        <f t="shared" si="42"/>
        <v>Check</v>
      </c>
      <c r="N908" s="2" t="str">
        <f t="shared" si="43"/>
        <v>Electronics</v>
      </c>
      <c r="O908" s="2" t="str">
        <f t="shared" si="44"/>
        <v>Low Stock</v>
      </c>
    </row>
    <row r="909" spans="1:15" x14ac:dyDescent="0.3">
      <c r="A909" s="5">
        <v>45923</v>
      </c>
      <c r="B909" s="2" t="s">
        <v>2181</v>
      </c>
      <c r="C909" s="2" t="s">
        <v>339</v>
      </c>
      <c r="D909" s="2" t="s">
        <v>52</v>
      </c>
      <c r="E909" s="2" t="s">
        <v>35</v>
      </c>
      <c r="F909" s="2">
        <v>22</v>
      </c>
      <c r="G909" s="7">
        <v>383.53</v>
      </c>
      <c r="H909" s="7">
        <v>8437.66</v>
      </c>
      <c r="I909" s="2">
        <v>0</v>
      </c>
      <c r="J909" s="2" t="s">
        <v>16</v>
      </c>
      <c r="K909" s="2" t="s">
        <v>74</v>
      </c>
      <c r="L909" s="2" t="s">
        <v>31</v>
      </c>
      <c r="M909" s="2" t="str">
        <f t="shared" si="42"/>
        <v>Credit Card</v>
      </c>
      <c r="N909" s="2" t="str">
        <f t="shared" si="43"/>
        <v>Electronics</v>
      </c>
      <c r="O909" s="2" t="str">
        <f t="shared" si="44"/>
        <v>High Stock</v>
      </c>
    </row>
    <row r="910" spans="1:15" x14ac:dyDescent="0.3">
      <c r="A910" s="5">
        <v>45799</v>
      </c>
      <c r="B910" s="2" t="s">
        <v>2182</v>
      </c>
      <c r="C910" s="2" t="s">
        <v>1452</v>
      </c>
      <c r="D910" s="2" t="s">
        <v>40</v>
      </c>
      <c r="E910" s="2" t="s">
        <v>23</v>
      </c>
      <c r="F910" s="2">
        <v>48</v>
      </c>
      <c r="G910" s="7">
        <v>36.590000000000003</v>
      </c>
      <c r="H910" s="7">
        <v>1756.32</v>
      </c>
      <c r="I910" s="2">
        <v>0</v>
      </c>
      <c r="J910" s="2" t="s">
        <v>24</v>
      </c>
      <c r="K910" s="2" t="s">
        <v>36</v>
      </c>
      <c r="L910" s="2" t="s">
        <v>27</v>
      </c>
      <c r="M910" s="2" t="str">
        <f t="shared" si="42"/>
        <v>Cash</v>
      </c>
      <c r="N910" s="2" t="str">
        <f t="shared" si="43"/>
        <v>Accessories</v>
      </c>
      <c r="O910" s="2" t="str">
        <f t="shared" si="44"/>
        <v>High Stock</v>
      </c>
    </row>
    <row r="911" spans="1:15" x14ac:dyDescent="0.3">
      <c r="A911" s="5">
        <v>46085</v>
      </c>
      <c r="B911" s="2" t="s">
        <v>2183</v>
      </c>
      <c r="C911" s="2" t="s">
        <v>2184</v>
      </c>
      <c r="D911" s="2" t="s">
        <v>95</v>
      </c>
      <c r="E911" s="2" t="s">
        <v>35</v>
      </c>
      <c r="F911" s="2">
        <v>50</v>
      </c>
      <c r="G911" s="7">
        <v>903.41</v>
      </c>
      <c r="H911" s="7">
        <v>45170.5</v>
      </c>
      <c r="I911" s="2">
        <v>0</v>
      </c>
      <c r="J911" s="2" t="s">
        <v>46</v>
      </c>
      <c r="K911" s="2" t="s">
        <v>83</v>
      </c>
      <c r="L911" s="2" t="s">
        <v>49</v>
      </c>
      <c r="M911" s="2" t="str">
        <f t="shared" si="42"/>
        <v>Check</v>
      </c>
      <c r="N911" s="2" t="str">
        <f t="shared" si="43"/>
        <v>Electronics</v>
      </c>
      <c r="O911" s="2" t="str">
        <f t="shared" si="44"/>
        <v>High Stock</v>
      </c>
    </row>
    <row r="912" spans="1:15" x14ac:dyDescent="0.3">
      <c r="A912" s="5">
        <v>45965</v>
      </c>
      <c r="B912" s="2" t="s">
        <v>2185</v>
      </c>
      <c r="C912" s="2" t="s">
        <v>1767</v>
      </c>
      <c r="D912" s="2" t="s">
        <v>103</v>
      </c>
      <c r="E912" s="2" t="s">
        <v>35</v>
      </c>
      <c r="F912" s="2">
        <v>28</v>
      </c>
      <c r="G912" s="7">
        <v>336.2</v>
      </c>
      <c r="H912" s="7">
        <v>8942.92</v>
      </c>
      <c r="I912" s="2">
        <v>5</v>
      </c>
      <c r="J912" s="2" t="s">
        <v>53</v>
      </c>
      <c r="K912" s="2" t="s">
        <v>67</v>
      </c>
      <c r="L912" s="2" t="s">
        <v>49</v>
      </c>
      <c r="M912" s="2" t="str">
        <f t="shared" si="42"/>
        <v>Check</v>
      </c>
      <c r="N912" s="2" t="str">
        <f t="shared" si="43"/>
        <v>Electronics</v>
      </c>
      <c r="O912" s="2" t="str">
        <f t="shared" si="44"/>
        <v>High Stock</v>
      </c>
    </row>
    <row r="913" spans="1:15" x14ac:dyDescent="0.3">
      <c r="A913" s="5">
        <v>45913</v>
      </c>
      <c r="B913" s="2" t="s">
        <v>2186</v>
      </c>
      <c r="C913" s="2" t="s">
        <v>130</v>
      </c>
      <c r="D913" s="2" t="s">
        <v>72</v>
      </c>
      <c r="E913" s="2" t="s">
        <v>73</v>
      </c>
      <c r="F913" s="2">
        <v>2</v>
      </c>
      <c r="G913" s="7">
        <v>163.56</v>
      </c>
      <c r="H913" s="7">
        <v>310.76</v>
      </c>
      <c r="I913" s="2">
        <v>5</v>
      </c>
      <c r="J913" s="2" t="s">
        <v>24</v>
      </c>
      <c r="K913" s="2" t="s">
        <v>25</v>
      </c>
      <c r="L913" s="2" t="s">
        <v>49</v>
      </c>
      <c r="M913" s="2" t="str">
        <f t="shared" si="42"/>
        <v>Check</v>
      </c>
      <c r="N913" s="2" t="str">
        <f t="shared" si="43"/>
        <v>Furniture</v>
      </c>
      <c r="O913" s="2" t="str">
        <f t="shared" si="44"/>
        <v>Low Stock</v>
      </c>
    </row>
    <row r="914" spans="1:15" x14ac:dyDescent="0.3">
      <c r="A914" s="5">
        <v>46066</v>
      </c>
      <c r="B914" s="2" t="s">
        <v>2187</v>
      </c>
      <c r="C914" s="2" t="s">
        <v>2000</v>
      </c>
      <c r="D914" s="2" t="s">
        <v>95</v>
      </c>
      <c r="E914" s="2" t="s">
        <v>35</v>
      </c>
      <c r="F914" s="2">
        <v>1</v>
      </c>
      <c r="G914" s="7">
        <v>234.69</v>
      </c>
      <c r="H914" s="7">
        <v>222.96</v>
      </c>
      <c r="I914" s="2">
        <v>5</v>
      </c>
      <c r="J914" s="2" t="s">
        <v>16</v>
      </c>
      <c r="K914" s="2" t="s">
        <v>160</v>
      </c>
      <c r="L914" s="2" t="s">
        <v>27</v>
      </c>
      <c r="M914" s="2" t="str">
        <f t="shared" si="42"/>
        <v>Cash</v>
      </c>
      <c r="N914" s="2" t="str">
        <f t="shared" si="43"/>
        <v>Electronics</v>
      </c>
      <c r="O914" s="2" t="str">
        <f t="shared" si="44"/>
        <v>Low Stock</v>
      </c>
    </row>
    <row r="915" spans="1:15" x14ac:dyDescent="0.3">
      <c r="A915" s="5">
        <v>46050</v>
      </c>
      <c r="B915" s="2" t="s">
        <v>2188</v>
      </c>
      <c r="C915" s="2" t="s">
        <v>2189</v>
      </c>
      <c r="D915" s="2" t="s">
        <v>22</v>
      </c>
      <c r="E915" s="2" t="s">
        <v>23</v>
      </c>
      <c r="F915" s="2">
        <v>13</v>
      </c>
      <c r="G915" s="7">
        <v>36.67</v>
      </c>
      <c r="H915" s="7">
        <v>476.71</v>
      </c>
      <c r="I915" s="2">
        <v>0</v>
      </c>
      <c r="J915" s="2" t="s">
        <v>16</v>
      </c>
      <c r="K915" s="2" t="s">
        <v>111</v>
      </c>
      <c r="L915" s="2" t="s">
        <v>27</v>
      </c>
      <c r="M915" s="2" t="str">
        <f t="shared" si="42"/>
        <v>Cash</v>
      </c>
      <c r="N915" s="2" t="str">
        <f t="shared" si="43"/>
        <v>Accessories</v>
      </c>
      <c r="O915" s="2" t="str">
        <f t="shared" si="44"/>
        <v>Low Stock</v>
      </c>
    </row>
    <row r="916" spans="1:15" x14ac:dyDescent="0.3">
      <c r="A916" s="5">
        <v>46220</v>
      </c>
      <c r="B916" s="2" t="s">
        <v>2191</v>
      </c>
      <c r="C916" s="2" t="s">
        <v>2192</v>
      </c>
      <c r="D916" s="2" t="s">
        <v>22</v>
      </c>
      <c r="E916" s="2" t="s">
        <v>23</v>
      </c>
      <c r="F916" s="2">
        <v>45</v>
      </c>
      <c r="G916" s="7">
        <v>23.1</v>
      </c>
      <c r="H916" s="7">
        <v>935.55</v>
      </c>
      <c r="I916" s="2">
        <v>10</v>
      </c>
      <c r="J916" s="2" t="s">
        <v>53</v>
      </c>
      <c r="K916" s="2" t="s">
        <v>170</v>
      </c>
      <c r="L916" s="1" t="s">
        <v>2347</v>
      </c>
      <c r="M916" s="1" t="str">
        <f t="shared" si="42"/>
        <v>Online Payment</v>
      </c>
      <c r="N916" s="2" t="str">
        <f t="shared" si="43"/>
        <v>Accessories</v>
      </c>
      <c r="O916" s="1" t="str">
        <f t="shared" si="44"/>
        <v>High Stock</v>
      </c>
    </row>
    <row r="917" spans="1:15" x14ac:dyDescent="0.3">
      <c r="A917" s="5">
        <v>45931</v>
      </c>
      <c r="B917" s="2" t="s">
        <v>2193</v>
      </c>
      <c r="C917" s="2" t="s">
        <v>2194</v>
      </c>
      <c r="D917" s="2" t="s">
        <v>14</v>
      </c>
      <c r="E917" s="2" t="s">
        <v>15</v>
      </c>
      <c r="F917" s="2">
        <v>14</v>
      </c>
      <c r="G917" s="7">
        <v>119.23</v>
      </c>
      <c r="H917" s="7">
        <v>1502.3</v>
      </c>
      <c r="I917" s="2">
        <v>10</v>
      </c>
      <c r="J917" s="2" t="s">
        <v>24</v>
      </c>
      <c r="K917" s="2" t="s">
        <v>36</v>
      </c>
      <c r="L917" s="2" t="s">
        <v>31</v>
      </c>
      <c r="M917" s="2" t="str">
        <f t="shared" si="42"/>
        <v>Credit Card</v>
      </c>
      <c r="N917" s="2" t="str">
        <f t="shared" si="43"/>
        <v>Peripherals</v>
      </c>
      <c r="O917" s="2" t="str">
        <f t="shared" si="44"/>
        <v>Low Stock</v>
      </c>
    </row>
    <row r="918" spans="1:15" x14ac:dyDescent="0.3">
      <c r="A918" s="5">
        <v>46176</v>
      </c>
      <c r="B918" s="2" t="s">
        <v>2196</v>
      </c>
      <c r="C918" s="2" t="s">
        <v>2197</v>
      </c>
      <c r="D918" s="2" t="s">
        <v>40</v>
      </c>
      <c r="E918" s="2" t="s">
        <v>23</v>
      </c>
      <c r="F918" s="2">
        <v>32</v>
      </c>
      <c r="G918" s="7">
        <v>65.02</v>
      </c>
      <c r="H918" s="7">
        <v>1976.61</v>
      </c>
      <c r="I918" s="2">
        <v>5</v>
      </c>
      <c r="J918" s="2" t="s">
        <v>24</v>
      </c>
      <c r="K918" s="2" t="s">
        <v>25</v>
      </c>
      <c r="L918" s="2" t="s">
        <v>69</v>
      </c>
      <c r="M918" s="2" t="str">
        <f t="shared" si="42"/>
        <v>Debit Card</v>
      </c>
      <c r="N918" s="2" t="str">
        <f t="shared" si="43"/>
        <v>Accessories</v>
      </c>
      <c r="O918" s="2" t="str">
        <f t="shared" si="44"/>
        <v>High Stock</v>
      </c>
    </row>
    <row r="919" spans="1:15" x14ac:dyDescent="0.3">
      <c r="A919" s="5">
        <v>45912</v>
      </c>
      <c r="B919" s="2" t="s">
        <v>2198</v>
      </c>
      <c r="C919" s="2" t="s">
        <v>618</v>
      </c>
      <c r="D919" s="2" t="s">
        <v>82</v>
      </c>
      <c r="E919" s="2" t="s">
        <v>73</v>
      </c>
      <c r="F919" s="2">
        <v>36</v>
      </c>
      <c r="G919" s="7">
        <v>396.91</v>
      </c>
      <c r="H919" s="7">
        <v>14288.76</v>
      </c>
      <c r="I919" s="2">
        <v>0</v>
      </c>
      <c r="J919" s="2" t="s">
        <v>53</v>
      </c>
      <c r="K919" s="2" t="s">
        <v>54</v>
      </c>
      <c r="L919" s="2" t="s">
        <v>27</v>
      </c>
      <c r="M919" s="2" t="str">
        <f t="shared" si="42"/>
        <v>Cash</v>
      </c>
      <c r="N919" s="2" t="str">
        <f t="shared" si="43"/>
        <v>Furniture</v>
      </c>
      <c r="O919" s="2" t="str">
        <f t="shared" si="44"/>
        <v>High Stock</v>
      </c>
    </row>
    <row r="920" spans="1:15" x14ac:dyDescent="0.3">
      <c r="A920" s="5">
        <v>45888</v>
      </c>
      <c r="B920" s="2" t="s">
        <v>2199</v>
      </c>
      <c r="C920" s="2" t="s">
        <v>2200</v>
      </c>
      <c r="D920" s="2" t="s">
        <v>34</v>
      </c>
      <c r="E920" s="2" t="s">
        <v>35</v>
      </c>
      <c r="F920" s="2">
        <v>16</v>
      </c>
      <c r="G920" s="7">
        <v>436.69</v>
      </c>
      <c r="H920" s="7">
        <v>6987.04</v>
      </c>
      <c r="I920" s="2">
        <v>0</v>
      </c>
      <c r="J920" s="2" t="s">
        <v>46</v>
      </c>
      <c r="K920" s="2" t="s">
        <v>83</v>
      </c>
      <c r="L920" s="2" t="s">
        <v>27</v>
      </c>
      <c r="M920" s="2" t="str">
        <f t="shared" si="42"/>
        <v>Cash</v>
      </c>
      <c r="N920" s="2" t="str">
        <f t="shared" si="43"/>
        <v>Electronics</v>
      </c>
      <c r="O920" s="2" t="str">
        <f t="shared" si="44"/>
        <v>High Stock</v>
      </c>
    </row>
    <row r="921" spans="1:15" x14ac:dyDescent="0.3">
      <c r="A921" s="5">
        <v>46245</v>
      </c>
      <c r="B921" s="2" t="s">
        <v>2201</v>
      </c>
      <c r="C921" s="2" t="s">
        <v>2202</v>
      </c>
      <c r="D921" s="2" t="s">
        <v>90</v>
      </c>
      <c r="E921" s="2" t="s">
        <v>23</v>
      </c>
      <c r="F921" s="2">
        <v>28</v>
      </c>
      <c r="G921" s="7">
        <v>44.47</v>
      </c>
      <c r="H921" s="7">
        <v>1058.3900000000001</v>
      </c>
      <c r="I921" s="2">
        <v>15</v>
      </c>
      <c r="J921" s="2" t="s">
        <v>24</v>
      </c>
      <c r="K921" s="2" t="s">
        <v>59</v>
      </c>
      <c r="L921" s="2" t="s">
        <v>49</v>
      </c>
      <c r="M921" s="2" t="str">
        <f t="shared" si="42"/>
        <v>Check</v>
      </c>
      <c r="N921" s="2" t="str">
        <f t="shared" si="43"/>
        <v>Accessories</v>
      </c>
      <c r="O921" s="2" t="str">
        <f t="shared" si="44"/>
        <v>High Stock</v>
      </c>
    </row>
    <row r="922" spans="1:15" x14ac:dyDescent="0.3">
      <c r="A922" s="5">
        <v>45902</v>
      </c>
      <c r="B922" s="2" t="s">
        <v>2203</v>
      </c>
      <c r="C922" s="2" t="s">
        <v>2204</v>
      </c>
      <c r="D922" s="2" t="s">
        <v>99</v>
      </c>
      <c r="E922" s="2" t="s">
        <v>23</v>
      </c>
      <c r="F922" s="2">
        <v>38</v>
      </c>
      <c r="G922" s="7">
        <v>18.98</v>
      </c>
      <c r="H922" s="7">
        <v>613.04999999999995</v>
      </c>
      <c r="I922" s="2">
        <v>15</v>
      </c>
      <c r="J922" s="2" t="s">
        <v>24</v>
      </c>
      <c r="K922" s="2" t="s">
        <v>25</v>
      </c>
      <c r="L922" s="2" t="s">
        <v>31</v>
      </c>
      <c r="M922" s="2" t="str">
        <f t="shared" si="42"/>
        <v>Credit Card</v>
      </c>
      <c r="N922" s="2" t="str">
        <f t="shared" si="43"/>
        <v>Accessories</v>
      </c>
      <c r="O922" s="2" t="str">
        <f t="shared" si="44"/>
        <v>High Stock</v>
      </c>
    </row>
    <row r="923" spans="1:15" x14ac:dyDescent="0.3">
      <c r="A923" s="5">
        <v>45620</v>
      </c>
      <c r="B923" s="2" t="s">
        <v>2205</v>
      </c>
      <c r="C923" s="2" t="s">
        <v>1288</v>
      </c>
      <c r="D923" s="2" t="s">
        <v>123</v>
      </c>
      <c r="E923" s="2" t="s">
        <v>15</v>
      </c>
      <c r="F923" s="2">
        <v>27</v>
      </c>
      <c r="G923" s="7">
        <v>27.68</v>
      </c>
      <c r="H923" s="7">
        <v>709.99</v>
      </c>
      <c r="I923" s="2">
        <v>5</v>
      </c>
      <c r="J923" s="2" t="s">
        <v>46</v>
      </c>
      <c r="K923" s="2" t="s">
        <v>83</v>
      </c>
      <c r="L923" s="2" t="s">
        <v>27</v>
      </c>
      <c r="M923" s="2" t="str">
        <f t="shared" si="42"/>
        <v>Cash</v>
      </c>
      <c r="N923" s="2" t="str">
        <f t="shared" si="43"/>
        <v>Peripherals</v>
      </c>
      <c r="O923" s="2" t="str">
        <f t="shared" si="44"/>
        <v>High Stock</v>
      </c>
    </row>
    <row r="924" spans="1:15" x14ac:dyDescent="0.3">
      <c r="A924" s="5">
        <v>45655</v>
      </c>
      <c r="B924" s="2" t="s">
        <v>2207</v>
      </c>
      <c r="C924" s="2" t="s">
        <v>2208</v>
      </c>
      <c r="D924" s="2" t="s">
        <v>99</v>
      </c>
      <c r="E924" s="2" t="s">
        <v>23</v>
      </c>
      <c r="F924" s="2">
        <v>30</v>
      </c>
      <c r="G924" s="7">
        <v>18.13</v>
      </c>
      <c r="H924" s="7">
        <v>543.9</v>
      </c>
      <c r="I924" s="2">
        <v>0</v>
      </c>
      <c r="J924" s="2" t="s">
        <v>16</v>
      </c>
      <c r="K924" s="2" t="s">
        <v>160</v>
      </c>
      <c r="L924" s="2" t="s">
        <v>69</v>
      </c>
      <c r="M924" s="2" t="str">
        <f t="shared" si="42"/>
        <v>Debit Card</v>
      </c>
      <c r="N924" s="2" t="str">
        <f t="shared" si="43"/>
        <v>Accessories</v>
      </c>
      <c r="O924" s="2" t="str">
        <f t="shared" si="44"/>
        <v>High Stock</v>
      </c>
    </row>
    <row r="925" spans="1:15" x14ac:dyDescent="0.3">
      <c r="A925" s="5">
        <v>46294</v>
      </c>
      <c r="B925" s="2" t="s">
        <v>2209</v>
      </c>
      <c r="C925" s="2" t="s">
        <v>795</v>
      </c>
      <c r="D925" s="2" t="s">
        <v>52</v>
      </c>
      <c r="E925" s="2" t="s">
        <v>35</v>
      </c>
      <c r="F925" s="2">
        <v>38</v>
      </c>
      <c r="G925" s="7">
        <v>187.2</v>
      </c>
      <c r="H925" s="7">
        <v>7113.6</v>
      </c>
      <c r="I925" s="2">
        <v>0</v>
      </c>
      <c r="J925" s="2" t="s">
        <v>53</v>
      </c>
      <c r="K925" s="2" t="s">
        <v>134</v>
      </c>
      <c r="L925" s="2" t="s">
        <v>69</v>
      </c>
      <c r="M925" s="2" t="str">
        <f t="shared" si="42"/>
        <v>Debit Card</v>
      </c>
      <c r="N925" s="2" t="str">
        <f t="shared" si="43"/>
        <v>Electronics</v>
      </c>
      <c r="O925" s="2" t="str">
        <f t="shared" si="44"/>
        <v>High Stock</v>
      </c>
    </row>
    <row r="926" spans="1:15" x14ac:dyDescent="0.3">
      <c r="A926" s="5">
        <v>46293</v>
      </c>
      <c r="B926" s="2" t="s">
        <v>2210</v>
      </c>
      <c r="C926" s="2" t="s">
        <v>1928</v>
      </c>
      <c r="D926" s="2" t="s">
        <v>82</v>
      </c>
      <c r="E926" s="2" t="s">
        <v>73</v>
      </c>
      <c r="F926" s="2">
        <v>26</v>
      </c>
      <c r="G926" s="7">
        <v>495.88</v>
      </c>
      <c r="H926" s="7">
        <v>12248.24</v>
      </c>
      <c r="I926" s="2">
        <v>5</v>
      </c>
      <c r="J926" s="2" t="s">
        <v>46</v>
      </c>
      <c r="K926" s="2" t="s">
        <v>78</v>
      </c>
      <c r="L926" s="2" t="s">
        <v>27</v>
      </c>
      <c r="M926" s="2" t="str">
        <f t="shared" si="42"/>
        <v>Cash</v>
      </c>
      <c r="N926" s="2" t="str">
        <f t="shared" si="43"/>
        <v>Furniture</v>
      </c>
      <c r="O926" s="2" t="str">
        <f t="shared" si="44"/>
        <v>High Stock</v>
      </c>
    </row>
    <row r="927" spans="1:15" x14ac:dyDescent="0.3">
      <c r="A927" s="5">
        <v>45816</v>
      </c>
      <c r="B927" s="2" t="s">
        <v>2211</v>
      </c>
      <c r="C927" s="2" t="s">
        <v>2143</v>
      </c>
      <c r="D927" s="2" t="s">
        <v>95</v>
      </c>
      <c r="E927" s="2" t="s">
        <v>35</v>
      </c>
      <c r="F927" s="2">
        <v>7</v>
      </c>
      <c r="G927" s="7">
        <v>1155.47</v>
      </c>
      <c r="H927" s="7">
        <v>6470.63</v>
      </c>
      <c r="I927" s="2">
        <v>20</v>
      </c>
      <c r="J927" s="2" t="s">
        <v>16</v>
      </c>
      <c r="K927" s="2" t="s">
        <v>111</v>
      </c>
      <c r="L927" s="1" t="s">
        <v>2347</v>
      </c>
      <c r="M927" s="1" t="str">
        <f t="shared" si="42"/>
        <v>Online Payment</v>
      </c>
      <c r="N927" s="2" t="str">
        <f t="shared" si="43"/>
        <v>Electronics</v>
      </c>
      <c r="O927" s="1" t="str">
        <f t="shared" si="44"/>
        <v>Low Stock</v>
      </c>
    </row>
    <row r="928" spans="1:15" x14ac:dyDescent="0.3">
      <c r="A928" s="5">
        <v>45816</v>
      </c>
      <c r="B928" s="2" t="s">
        <v>2212</v>
      </c>
      <c r="C928" s="2" t="s">
        <v>2213</v>
      </c>
      <c r="D928" s="2" t="s">
        <v>45</v>
      </c>
      <c r="E928" s="2" t="s">
        <v>23</v>
      </c>
      <c r="F928" s="2">
        <v>45</v>
      </c>
      <c r="G928" s="7">
        <v>98.8</v>
      </c>
      <c r="H928" s="7">
        <v>3779.1</v>
      </c>
      <c r="I928" s="2">
        <v>15</v>
      </c>
      <c r="J928" s="2" t="s">
        <v>46</v>
      </c>
      <c r="K928" s="2" t="s">
        <v>124</v>
      </c>
      <c r="L928" s="1" t="s">
        <v>2347</v>
      </c>
      <c r="M928" s="1" t="str">
        <f t="shared" si="42"/>
        <v>Online Payment</v>
      </c>
      <c r="N928" s="2" t="str">
        <f t="shared" si="43"/>
        <v>Accessories</v>
      </c>
      <c r="O928" s="1" t="str">
        <f t="shared" si="44"/>
        <v>High Stock</v>
      </c>
    </row>
    <row r="929" spans="1:15" x14ac:dyDescent="0.3">
      <c r="A929" s="5">
        <v>45845</v>
      </c>
      <c r="B929" s="2" t="s">
        <v>2214</v>
      </c>
      <c r="C929" s="2" t="s">
        <v>1516</v>
      </c>
      <c r="D929" s="2" t="s">
        <v>90</v>
      </c>
      <c r="E929" s="2" t="s">
        <v>23</v>
      </c>
      <c r="F929" s="2">
        <v>33</v>
      </c>
      <c r="G929" s="7">
        <v>42.6</v>
      </c>
      <c r="H929" s="7">
        <v>1405.8</v>
      </c>
      <c r="I929" s="2">
        <v>0</v>
      </c>
      <c r="J929" s="2" t="s">
        <v>24</v>
      </c>
      <c r="K929" s="2" t="s">
        <v>25</v>
      </c>
      <c r="L929" s="2" t="s">
        <v>27</v>
      </c>
      <c r="M929" s="2" t="str">
        <f t="shared" si="42"/>
        <v>Cash</v>
      </c>
      <c r="N929" s="2" t="str">
        <f t="shared" si="43"/>
        <v>Accessories</v>
      </c>
      <c r="O929" s="2" t="str">
        <f t="shared" si="44"/>
        <v>High Stock</v>
      </c>
    </row>
    <row r="930" spans="1:15" x14ac:dyDescent="0.3">
      <c r="A930" s="5">
        <v>45797</v>
      </c>
      <c r="B930" s="2" t="s">
        <v>2215</v>
      </c>
      <c r="C930" s="2" t="s">
        <v>2216</v>
      </c>
      <c r="D930" s="2" t="s">
        <v>123</v>
      </c>
      <c r="E930" s="2" t="s">
        <v>15</v>
      </c>
      <c r="F930" s="2">
        <v>48</v>
      </c>
      <c r="G930" s="7">
        <v>29.37</v>
      </c>
      <c r="H930" s="7">
        <v>1127.81</v>
      </c>
      <c r="I930" s="2">
        <v>20</v>
      </c>
      <c r="J930" s="2" t="s">
        <v>16</v>
      </c>
      <c r="K930" s="2" t="s">
        <v>91</v>
      </c>
      <c r="L930" s="2" t="s">
        <v>49</v>
      </c>
      <c r="M930" s="2" t="str">
        <f t="shared" si="42"/>
        <v>Check</v>
      </c>
      <c r="N930" s="2" t="str">
        <f t="shared" si="43"/>
        <v>Peripherals</v>
      </c>
      <c r="O930" s="2" t="str">
        <f t="shared" si="44"/>
        <v>High Stock</v>
      </c>
    </row>
    <row r="931" spans="1:15" x14ac:dyDescent="0.3">
      <c r="A931" s="5">
        <v>46165</v>
      </c>
      <c r="B931" s="2" t="s">
        <v>2217</v>
      </c>
      <c r="C931" s="2" t="s">
        <v>2218</v>
      </c>
      <c r="D931" s="2" t="s">
        <v>95</v>
      </c>
      <c r="E931" s="2" t="s">
        <v>35</v>
      </c>
      <c r="F931" s="2">
        <v>40</v>
      </c>
      <c r="G931" s="7">
        <v>207.72</v>
      </c>
      <c r="H931" s="7">
        <v>7062.48</v>
      </c>
      <c r="I931" s="2">
        <v>15</v>
      </c>
      <c r="J931" s="2" t="s">
        <v>53</v>
      </c>
      <c r="K931" s="2" t="s">
        <v>134</v>
      </c>
      <c r="L931" s="2" t="s">
        <v>31</v>
      </c>
      <c r="M931" s="2" t="str">
        <f t="shared" si="42"/>
        <v>Credit Card</v>
      </c>
      <c r="N931" s="2" t="str">
        <f t="shared" si="43"/>
        <v>Electronics</v>
      </c>
      <c r="O931" s="2" t="str">
        <f t="shared" si="44"/>
        <v>High Stock</v>
      </c>
    </row>
    <row r="932" spans="1:15" x14ac:dyDescent="0.3">
      <c r="A932" s="5">
        <v>45651</v>
      </c>
      <c r="B932" s="2" t="s">
        <v>2220</v>
      </c>
      <c r="C932" s="2" t="s">
        <v>1693</v>
      </c>
      <c r="D932" s="2" t="s">
        <v>95</v>
      </c>
      <c r="E932" s="2" t="s">
        <v>35</v>
      </c>
      <c r="F932" s="2">
        <v>48</v>
      </c>
      <c r="G932" s="7">
        <v>376.64</v>
      </c>
      <c r="H932" s="7">
        <v>17174.78</v>
      </c>
      <c r="I932" s="2">
        <v>5</v>
      </c>
      <c r="J932" s="2" t="s">
        <v>16</v>
      </c>
      <c r="K932" s="2" t="s">
        <v>74</v>
      </c>
      <c r="L932" s="2" t="s">
        <v>49</v>
      </c>
      <c r="M932" s="2" t="str">
        <f t="shared" si="42"/>
        <v>Check</v>
      </c>
      <c r="N932" s="2" t="str">
        <f t="shared" si="43"/>
        <v>Electronics</v>
      </c>
      <c r="O932" s="2" t="str">
        <f t="shared" si="44"/>
        <v>High Stock</v>
      </c>
    </row>
    <row r="933" spans="1:15" x14ac:dyDescent="0.3">
      <c r="A933" s="5">
        <v>46196</v>
      </c>
      <c r="B933" s="2" t="s">
        <v>2222</v>
      </c>
      <c r="C933" s="2" t="s">
        <v>89</v>
      </c>
      <c r="D933" s="2" t="s">
        <v>82</v>
      </c>
      <c r="E933" s="2" t="s">
        <v>73</v>
      </c>
      <c r="F933" s="2">
        <v>8</v>
      </c>
      <c r="G933" s="7">
        <v>310.63</v>
      </c>
      <c r="H933" s="7">
        <v>2360.79</v>
      </c>
      <c r="I933" s="2">
        <v>5</v>
      </c>
      <c r="J933" s="2" t="s">
        <v>16</v>
      </c>
      <c r="K933" s="2" t="s">
        <v>111</v>
      </c>
      <c r="L933" s="2" t="s">
        <v>49</v>
      </c>
      <c r="M933" s="2" t="str">
        <f t="shared" si="42"/>
        <v>Check</v>
      </c>
      <c r="N933" s="2" t="str">
        <f t="shared" si="43"/>
        <v>Furniture</v>
      </c>
      <c r="O933" s="2" t="str">
        <f t="shared" si="44"/>
        <v>Low Stock</v>
      </c>
    </row>
    <row r="934" spans="1:15" x14ac:dyDescent="0.3">
      <c r="A934" s="5">
        <v>45651</v>
      </c>
      <c r="B934" s="2" t="s">
        <v>2223</v>
      </c>
      <c r="C934" s="2" t="s">
        <v>1652</v>
      </c>
      <c r="D934" s="2" t="s">
        <v>95</v>
      </c>
      <c r="E934" s="2" t="s">
        <v>35</v>
      </c>
      <c r="F934" s="2">
        <v>10</v>
      </c>
      <c r="G934" s="7">
        <v>1025.49</v>
      </c>
      <c r="H934" s="7">
        <v>10254.9</v>
      </c>
      <c r="I934" s="2">
        <v>0</v>
      </c>
      <c r="J934" s="2" t="s">
        <v>16</v>
      </c>
      <c r="K934" s="2" t="s">
        <v>17</v>
      </c>
      <c r="L934" s="2" t="s">
        <v>31</v>
      </c>
      <c r="M934" s="2" t="str">
        <f t="shared" si="42"/>
        <v>Credit Card</v>
      </c>
      <c r="N934" s="2" t="str">
        <f t="shared" si="43"/>
        <v>Electronics</v>
      </c>
      <c r="O934" s="2" t="str">
        <f t="shared" si="44"/>
        <v>Low Stock</v>
      </c>
    </row>
    <row r="935" spans="1:15" x14ac:dyDescent="0.3">
      <c r="A935" s="5">
        <v>45698</v>
      </c>
      <c r="B935" s="2" t="s">
        <v>2224</v>
      </c>
      <c r="C935" s="2" t="s">
        <v>2225</v>
      </c>
      <c r="D935" s="2" t="s">
        <v>82</v>
      </c>
      <c r="E935" s="2" t="s">
        <v>73</v>
      </c>
      <c r="F935" s="2">
        <v>18</v>
      </c>
      <c r="G935" s="7">
        <v>729.65</v>
      </c>
      <c r="H935" s="7">
        <v>13133.7</v>
      </c>
      <c r="I935" s="2">
        <v>0</v>
      </c>
      <c r="J935" s="2" t="s">
        <v>53</v>
      </c>
      <c r="K935" s="2" t="s">
        <v>170</v>
      </c>
      <c r="L935" s="2" t="s">
        <v>27</v>
      </c>
      <c r="M935" s="2" t="str">
        <f t="shared" si="42"/>
        <v>Cash</v>
      </c>
      <c r="N935" s="2" t="str">
        <f t="shared" si="43"/>
        <v>Furniture</v>
      </c>
      <c r="O935" s="2" t="str">
        <f t="shared" si="44"/>
        <v>High Stock</v>
      </c>
    </row>
    <row r="936" spans="1:15" x14ac:dyDescent="0.3">
      <c r="A936" s="5">
        <v>46147</v>
      </c>
      <c r="B936" s="2" t="s">
        <v>2226</v>
      </c>
      <c r="C936" s="2" t="s">
        <v>2227</v>
      </c>
      <c r="D936" s="2" t="s">
        <v>82</v>
      </c>
      <c r="E936" s="2" t="s">
        <v>73</v>
      </c>
      <c r="F936" s="2">
        <v>23</v>
      </c>
      <c r="G936" s="7">
        <v>527.59</v>
      </c>
      <c r="H936" s="7">
        <v>10921.11</v>
      </c>
      <c r="I936" s="2">
        <v>10</v>
      </c>
      <c r="J936" s="2" t="s">
        <v>16</v>
      </c>
      <c r="K936" s="2" t="s">
        <v>17</v>
      </c>
      <c r="L936" s="2" t="s">
        <v>49</v>
      </c>
      <c r="M936" s="2" t="str">
        <f t="shared" si="42"/>
        <v>Check</v>
      </c>
      <c r="N936" s="2" t="str">
        <f t="shared" si="43"/>
        <v>Furniture</v>
      </c>
      <c r="O936" s="2" t="str">
        <f t="shared" si="44"/>
        <v>High Stock</v>
      </c>
    </row>
    <row r="937" spans="1:15" x14ac:dyDescent="0.3">
      <c r="A937" s="5">
        <v>46046</v>
      </c>
      <c r="B937" s="2" t="s">
        <v>2229</v>
      </c>
      <c r="C937" s="2" t="s">
        <v>2230</v>
      </c>
      <c r="D937" s="2" t="s">
        <v>123</v>
      </c>
      <c r="E937" s="2" t="s">
        <v>15</v>
      </c>
      <c r="F937" s="2">
        <v>6</v>
      </c>
      <c r="G937" s="7">
        <v>45.59</v>
      </c>
      <c r="H937" s="7">
        <v>273.54000000000002</v>
      </c>
      <c r="I937" s="2">
        <v>0</v>
      </c>
      <c r="J937" s="2" t="s">
        <v>16</v>
      </c>
      <c r="K937" s="2" t="s">
        <v>160</v>
      </c>
      <c r="L937" s="2" t="s">
        <v>49</v>
      </c>
      <c r="M937" s="2" t="str">
        <f t="shared" si="42"/>
        <v>Check</v>
      </c>
      <c r="N937" s="2" t="str">
        <f t="shared" si="43"/>
        <v>Peripherals</v>
      </c>
      <c r="O937" s="2" t="str">
        <f t="shared" si="44"/>
        <v>Low Stock</v>
      </c>
    </row>
    <row r="938" spans="1:15" x14ac:dyDescent="0.3">
      <c r="A938" s="5">
        <v>45709</v>
      </c>
      <c r="B938" s="2" t="s">
        <v>2231</v>
      </c>
      <c r="C938" s="2" t="s">
        <v>2232</v>
      </c>
      <c r="D938" s="2" t="s">
        <v>72</v>
      </c>
      <c r="E938" s="2" t="s">
        <v>73</v>
      </c>
      <c r="F938" s="2">
        <v>18</v>
      </c>
      <c r="G938" s="7">
        <v>166.02</v>
      </c>
      <c r="H938" s="7">
        <v>2838.94</v>
      </c>
      <c r="I938" s="2">
        <v>5</v>
      </c>
      <c r="J938" s="2" t="s">
        <v>53</v>
      </c>
      <c r="K938" s="2" t="s">
        <v>141</v>
      </c>
      <c r="L938" s="1" t="s">
        <v>2347</v>
      </c>
      <c r="M938" s="1" t="str">
        <f t="shared" si="42"/>
        <v>Online Payment</v>
      </c>
      <c r="N938" s="2" t="str">
        <f t="shared" si="43"/>
        <v>Furniture</v>
      </c>
      <c r="O938" s="1" t="str">
        <f t="shared" si="44"/>
        <v>High Stock</v>
      </c>
    </row>
    <row r="939" spans="1:15" x14ac:dyDescent="0.3">
      <c r="A939" s="5">
        <v>45897</v>
      </c>
      <c r="B939" s="2" t="s">
        <v>2233</v>
      </c>
      <c r="C939" s="2" t="s">
        <v>1852</v>
      </c>
      <c r="D939" s="2" t="s">
        <v>40</v>
      </c>
      <c r="E939" s="2" t="s">
        <v>23</v>
      </c>
      <c r="F939" s="2">
        <v>22</v>
      </c>
      <c r="G939" s="7">
        <v>40.700000000000003</v>
      </c>
      <c r="H939" s="7">
        <v>805.86</v>
      </c>
      <c r="I939" s="2">
        <v>10</v>
      </c>
      <c r="J939" s="2" t="s">
        <v>24</v>
      </c>
      <c r="K939" s="2" t="s">
        <v>25</v>
      </c>
      <c r="L939" s="2" t="s">
        <v>31</v>
      </c>
      <c r="M939" s="2" t="str">
        <f t="shared" si="42"/>
        <v>Credit Card</v>
      </c>
      <c r="N939" s="2" t="str">
        <f t="shared" si="43"/>
        <v>Accessories</v>
      </c>
      <c r="O939" s="2" t="str">
        <f t="shared" si="44"/>
        <v>High Stock</v>
      </c>
    </row>
    <row r="940" spans="1:15" x14ac:dyDescent="0.3">
      <c r="A940" s="5">
        <v>45904</v>
      </c>
      <c r="B940" s="2" t="s">
        <v>2234</v>
      </c>
      <c r="C940" s="2" t="s">
        <v>2235</v>
      </c>
      <c r="D940" s="2" t="s">
        <v>22</v>
      </c>
      <c r="E940" s="2" t="s">
        <v>23</v>
      </c>
      <c r="F940" s="2">
        <v>31</v>
      </c>
      <c r="G940" s="7">
        <v>22.48</v>
      </c>
      <c r="H940" s="7">
        <v>696.88</v>
      </c>
      <c r="I940" s="2">
        <v>0</v>
      </c>
      <c r="J940" s="2" t="s">
        <v>24</v>
      </c>
      <c r="K940" s="2" t="s">
        <v>104</v>
      </c>
      <c r="L940" s="2" t="s">
        <v>69</v>
      </c>
      <c r="M940" s="2" t="str">
        <f t="shared" si="42"/>
        <v>Debit Card</v>
      </c>
      <c r="N940" s="2" t="str">
        <f t="shared" si="43"/>
        <v>Accessories</v>
      </c>
      <c r="O940" s="2" t="str">
        <f t="shared" si="44"/>
        <v>High Stock</v>
      </c>
    </row>
    <row r="941" spans="1:15" x14ac:dyDescent="0.3">
      <c r="A941" s="5">
        <v>46262</v>
      </c>
      <c r="B941" s="2" t="s">
        <v>2236</v>
      </c>
      <c r="C941" s="2" t="s">
        <v>2237</v>
      </c>
      <c r="D941" s="2" t="s">
        <v>40</v>
      </c>
      <c r="E941" s="2" t="s">
        <v>23</v>
      </c>
      <c r="F941" s="2">
        <v>17</v>
      </c>
      <c r="G941" s="7">
        <v>50.45</v>
      </c>
      <c r="H941" s="7">
        <v>857.65</v>
      </c>
      <c r="I941" s="2">
        <v>0</v>
      </c>
      <c r="J941" s="2" t="s">
        <v>16</v>
      </c>
      <c r="K941" s="2" t="s">
        <v>111</v>
      </c>
      <c r="L941" s="2" t="s">
        <v>69</v>
      </c>
      <c r="M941" s="2" t="str">
        <f t="shared" si="42"/>
        <v>Debit Card</v>
      </c>
      <c r="N941" s="2" t="str">
        <f t="shared" si="43"/>
        <v>Accessories</v>
      </c>
      <c r="O941" s="2" t="str">
        <f t="shared" si="44"/>
        <v>High Stock</v>
      </c>
    </row>
    <row r="942" spans="1:15" x14ac:dyDescent="0.3">
      <c r="A942" s="5">
        <v>45913</v>
      </c>
      <c r="B942" s="2" t="s">
        <v>2238</v>
      </c>
      <c r="C942" s="2" t="s">
        <v>1452</v>
      </c>
      <c r="D942" s="2" t="s">
        <v>14</v>
      </c>
      <c r="E942" s="2" t="s">
        <v>15</v>
      </c>
      <c r="F942" s="2">
        <v>7</v>
      </c>
      <c r="G942" s="7">
        <v>50.64</v>
      </c>
      <c r="H942" s="7">
        <v>354.48</v>
      </c>
      <c r="I942" s="2">
        <v>0</v>
      </c>
      <c r="J942" s="2" t="s">
        <v>53</v>
      </c>
      <c r="K942" s="2" t="s">
        <v>54</v>
      </c>
      <c r="L942" s="2" t="s">
        <v>49</v>
      </c>
      <c r="M942" s="2" t="str">
        <f t="shared" si="42"/>
        <v>Check</v>
      </c>
      <c r="N942" s="2" t="str">
        <f t="shared" si="43"/>
        <v>Peripherals</v>
      </c>
      <c r="O942" s="2" t="str">
        <f t="shared" si="44"/>
        <v>Low Stock</v>
      </c>
    </row>
    <row r="943" spans="1:15" x14ac:dyDescent="0.3">
      <c r="A943" s="5">
        <v>46112</v>
      </c>
      <c r="B943" s="2" t="s">
        <v>2239</v>
      </c>
      <c r="C943" s="2" t="s">
        <v>2240</v>
      </c>
      <c r="D943" s="2" t="s">
        <v>72</v>
      </c>
      <c r="E943" s="2" t="s">
        <v>73</v>
      </c>
      <c r="F943" s="2">
        <v>21</v>
      </c>
      <c r="G943" s="7">
        <v>477.08</v>
      </c>
      <c r="H943" s="7">
        <v>10018.68</v>
      </c>
      <c r="I943" s="2">
        <v>0</v>
      </c>
      <c r="J943" s="2" t="s">
        <v>53</v>
      </c>
      <c r="K943" s="2" t="s">
        <v>170</v>
      </c>
      <c r="L943" s="2" t="s">
        <v>31</v>
      </c>
      <c r="M943" s="2" t="str">
        <f t="shared" si="42"/>
        <v>Credit Card</v>
      </c>
      <c r="N943" s="2" t="str">
        <f t="shared" si="43"/>
        <v>Furniture</v>
      </c>
      <c r="O943" s="2" t="str">
        <f t="shared" si="44"/>
        <v>High Stock</v>
      </c>
    </row>
    <row r="944" spans="1:15" x14ac:dyDescent="0.3">
      <c r="A944" s="5">
        <v>46112</v>
      </c>
      <c r="B944" s="2" t="s">
        <v>2242</v>
      </c>
      <c r="C944" s="2" t="s">
        <v>2243</v>
      </c>
      <c r="D944" s="2" t="s">
        <v>123</v>
      </c>
      <c r="E944" s="2" t="s">
        <v>15</v>
      </c>
      <c r="F944" s="2">
        <v>40</v>
      </c>
      <c r="G944" s="7">
        <v>18.350000000000001</v>
      </c>
      <c r="H944" s="7">
        <v>734</v>
      </c>
      <c r="I944" s="2">
        <v>0</v>
      </c>
      <c r="J944" s="2" t="s">
        <v>16</v>
      </c>
      <c r="K944" s="2" t="s">
        <v>74</v>
      </c>
      <c r="L944" s="2" t="s">
        <v>31</v>
      </c>
      <c r="M944" s="2" t="str">
        <f t="shared" si="42"/>
        <v>Credit Card</v>
      </c>
      <c r="N944" s="2" t="str">
        <f t="shared" si="43"/>
        <v>Peripherals</v>
      </c>
      <c r="O944" s="2" t="str">
        <f t="shared" si="44"/>
        <v>High Stock</v>
      </c>
    </row>
    <row r="945" spans="1:15" x14ac:dyDescent="0.3">
      <c r="A945" s="5">
        <v>45622</v>
      </c>
      <c r="B945" s="2" t="s">
        <v>2244</v>
      </c>
      <c r="C945" s="2" t="s">
        <v>2245</v>
      </c>
      <c r="D945" s="2" t="s">
        <v>63</v>
      </c>
      <c r="E945" s="2" t="s">
        <v>15</v>
      </c>
      <c r="F945" s="2">
        <v>44</v>
      </c>
      <c r="G945" s="7">
        <v>68.2</v>
      </c>
      <c r="H945" s="7">
        <v>2700.72</v>
      </c>
      <c r="I945" s="2">
        <v>10</v>
      </c>
      <c r="J945" s="2" t="s">
        <v>24</v>
      </c>
      <c r="K945" s="2" t="s">
        <v>59</v>
      </c>
      <c r="L945" s="2" t="s">
        <v>27</v>
      </c>
      <c r="M945" s="2" t="str">
        <f t="shared" si="42"/>
        <v>Cash</v>
      </c>
      <c r="N945" s="2" t="str">
        <f t="shared" si="43"/>
        <v>Peripherals</v>
      </c>
      <c r="O945" s="2" t="str">
        <f t="shared" si="44"/>
        <v>High Stock</v>
      </c>
    </row>
    <row r="946" spans="1:15" x14ac:dyDescent="0.3">
      <c r="A946" s="5">
        <v>45771</v>
      </c>
      <c r="B946" s="2" t="s">
        <v>2246</v>
      </c>
      <c r="C946" s="2" t="s">
        <v>2247</v>
      </c>
      <c r="D946" s="2" t="s">
        <v>90</v>
      </c>
      <c r="E946" s="2" t="s">
        <v>23</v>
      </c>
      <c r="F946" s="2">
        <v>39</v>
      </c>
      <c r="G946" s="7">
        <v>28.09</v>
      </c>
      <c r="H946" s="7">
        <v>876.41</v>
      </c>
      <c r="I946" s="2">
        <v>20</v>
      </c>
      <c r="J946" s="2" t="s">
        <v>53</v>
      </c>
      <c r="K946" s="2" t="s">
        <v>67</v>
      </c>
      <c r="L946" s="1" t="s">
        <v>2347</v>
      </c>
      <c r="M946" s="1" t="str">
        <f t="shared" si="42"/>
        <v>Online Payment</v>
      </c>
      <c r="N946" s="2" t="str">
        <f t="shared" si="43"/>
        <v>Accessories</v>
      </c>
      <c r="O946" s="1" t="str">
        <f t="shared" si="44"/>
        <v>High Stock</v>
      </c>
    </row>
    <row r="947" spans="1:15" x14ac:dyDescent="0.3">
      <c r="A947" s="5">
        <v>45699</v>
      </c>
      <c r="B947" s="2" t="s">
        <v>2248</v>
      </c>
      <c r="C947" s="2" t="s">
        <v>549</v>
      </c>
      <c r="D947" s="2" t="s">
        <v>52</v>
      </c>
      <c r="E947" s="2" t="s">
        <v>35</v>
      </c>
      <c r="F947" s="2">
        <v>34</v>
      </c>
      <c r="G947" s="7">
        <v>111.61</v>
      </c>
      <c r="H947" s="7">
        <v>3794.74</v>
      </c>
      <c r="I947" s="2">
        <v>0</v>
      </c>
      <c r="J947" s="2" t="s">
        <v>24</v>
      </c>
      <c r="K947" s="2" t="s">
        <v>25</v>
      </c>
      <c r="L947" s="2" t="s">
        <v>49</v>
      </c>
      <c r="M947" s="2" t="str">
        <f t="shared" si="42"/>
        <v>Check</v>
      </c>
      <c r="N947" s="2" t="str">
        <f t="shared" si="43"/>
        <v>Electronics</v>
      </c>
      <c r="O947" s="2" t="str">
        <f t="shared" si="44"/>
        <v>High Stock</v>
      </c>
    </row>
    <row r="948" spans="1:15" x14ac:dyDescent="0.3">
      <c r="A948" s="5">
        <v>46212</v>
      </c>
      <c r="B948" s="2" t="s">
        <v>2249</v>
      </c>
      <c r="C948" s="2" t="s">
        <v>2250</v>
      </c>
      <c r="D948" s="2" t="s">
        <v>103</v>
      </c>
      <c r="E948" s="2" t="s">
        <v>35</v>
      </c>
      <c r="F948" s="2">
        <v>50</v>
      </c>
      <c r="G948" s="7">
        <v>456.14</v>
      </c>
      <c r="H948" s="7">
        <v>22807</v>
      </c>
      <c r="I948" s="2">
        <v>0</v>
      </c>
      <c r="J948" s="2" t="s">
        <v>53</v>
      </c>
      <c r="K948" s="2" t="s">
        <v>170</v>
      </c>
      <c r="L948" s="1" t="s">
        <v>2347</v>
      </c>
      <c r="M948" s="1" t="str">
        <f t="shared" si="42"/>
        <v>Online Payment</v>
      </c>
      <c r="N948" s="2" t="str">
        <f t="shared" si="43"/>
        <v>Electronics</v>
      </c>
      <c r="O948" s="1" t="str">
        <f t="shared" si="44"/>
        <v>High Stock</v>
      </c>
    </row>
    <row r="949" spans="1:15" x14ac:dyDescent="0.3">
      <c r="A949" s="5">
        <v>45580</v>
      </c>
      <c r="B949" s="2" t="s">
        <v>2251</v>
      </c>
      <c r="C949" s="2" t="s">
        <v>2252</v>
      </c>
      <c r="D949" s="2" t="s">
        <v>95</v>
      </c>
      <c r="E949" s="2" t="s">
        <v>35</v>
      </c>
      <c r="F949" s="2">
        <v>30</v>
      </c>
      <c r="G949" s="7">
        <v>866.74</v>
      </c>
      <c r="H949" s="7">
        <v>22101.87</v>
      </c>
      <c r="I949" s="2">
        <v>15</v>
      </c>
      <c r="J949" s="2" t="s">
        <v>53</v>
      </c>
      <c r="K949" s="2" t="s">
        <v>54</v>
      </c>
      <c r="L949" s="1" t="s">
        <v>2347</v>
      </c>
      <c r="M949" s="1" t="str">
        <f t="shared" si="42"/>
        <v>Online Payment</v>
      </c>
      <c r="N949" s="2" t="str">
        <f t="shared" si="43"/>
        <v>Electronics</v>
      </c>
      <c r="O949" s="1" t="str">
        <f t="shared" si="44"/>
        <v>High Stock</v>
      </c>
    </row>
    <row r="950" spans="1:15" x14ac:dyDescent="0.3">
      <c r="A950" s="5">
        <v>45828</v>
      </c>
      <c r="B950" s="2" t="s">
        <v>2254</v>
      </c>
      <c r="C950" s="2" t="s">
        <v>2255</v>
      </c>
      <c r="D950" s="2" t="s">
        <v>63</v>
      </c>
      <c r="E950" s="2" t="s">
        <v>15</v>
      </c>
      <c r="F950" s="2">
        <v>37</v>
      </c>
      <c r="G950" s="7">
        <v>63.98</v>
      </c>
      <c r="H950" s="7">
        <v>2130.5300000000002</v>
      </c>
      <c r="I950" s="2">
        <v>10</v>
      </c>
      <c r="J950" s="2" t="s">
        <v>16</v>
      </c>
      <c r="K950" s="2" t="s">
        <v>160</v>
      </c>
      <c r="L950" s="2" t="s">
        <v>49</v>
      </c>
      <c r="M950" s="2" t="str">
        <f t="shared" si="42"/>
        <v>Check</v>
      </c>
      <c r="N950" s="2" t="str">
        <f t="shared" si="43"/>
        <v>Peripherals</v>
      </c>
      <c r="O950" s="2" t="str">
        <f t="shared" si="44"/>
        <v>High Stock</v>
      </c>
    </row>
    <row r="951" spans="1:15" x14ac:dyDescent="0.3">
      <c r="A951" s="5">
        <v>45667</v>
      </c>
      <c r="B951" s="2" t="s">
        <v>2256</v>
      </c>
      <c r="C951" s="2" t="s">
        <v>1347</v>
      </c>
      <c r="D951" s="2" t="s">
        <v>95</v>
      </c>
      <c r="E951" s="2" t="s">
        <v>35</v>
      </c>
      <c r="F951" s="2">
        <v>15</v>
      </c>
      <c r="G951" s="7">
        <v>857.48</v>
      </c>
      <c r="H951" s="7">
        <v>12219.09</v>
      </c>
      <c r="I951" s="2">
        <v>5</v>
      </c>
      <c r="J951" s="2" t="s">
        <v>46</v>
      </c>
      <c r="K951" s="2" t="s">
        <v>83</v>
      </c>
      <c r="L951" s="2" t="s">
        <v>69</v>
      </c>
      <c r="M951" s="2" t="str">
        <f t="shared" si="42"/>
        <v>Debit Card</v>
      </c>
      <c r="N951" s="2" t="str">
        <f t="shared" si="43"/>
        <v>Electronics</v>
      </c>
      <c r="O951" s="2" t="str">
        <f t="shared" si="44"/>
        <v>Low Stock</v>
      </c>
    </row>
    <row r="952" spans="1:15" x14ac:dyDescent="0.3">
      <c r="A952" s="5">
        <v>45819</v>
      </c>
      <c r="B952" s="2" t="s">
        <v>2258</v>
      </c>
      <c r="C952" s="2" t="s">
        <v>1303</v>
      </c>
      <c r="D952" s="2" t="s">
        <v>34</v>
      </c>
      <c r="E952" s="2" t="s">
        <v>35</v>
      </c>
      <c r="F952" s="2">
        <v>15</v>
      </c>
      <c r="G952" s="7">
        <v>793.92</v>
      </c>
      <c r="H952" s="7">
        <v>10122.48</v>
      </c>
      <c r="I952" s="2">
        <v>15</v>
      </c>
      <c r="J952" s="2" t="s">
        <v>53</v>
      </c>
      <c r="K952" s="2" t="s">
        <v>141</v>
      </c>
      <c r="L952" s="2" t="s">
        <v>31</v>
      </c>
      <c r="M952" s="2" t="str">
        <f t="shared" si="42"/>
        <v>Credit Card</v>
      </c>
      <c r="N952" s="2" t="str">
        <f t="shared" si="43"/>
        <v>Electronics</v>
      </c>
      <c r="O952" s="2" t="str">
        <f t="shared" si="44"/>
        <v>Low Stock</v>
      </c>
    </row>
    <row r="953" spans="1:15" x14ac:dyDescent="0.3">
      <c r="A953" s="5">
        <v>45796</v>
      </c>
      <c r="B953" s="2" t="s">
        <v>2259</v>
      </c>
      <c r="C953" s="2" t="s">
        <v>2260</v>
      </c>
      <c r="D953" s="2" t="s">
        <v>45</v>
      </c>
      <c r="E953" s="2" t="s">
        <v>23</v>
      </c>
      <c r="F953" s="2">
        <v>7</v>
      </c>
      <c r="G953" s="7">
        <v>181.14</v>
      </c>
      <c r="H953" s="7">
        <v>1267.98</v>
      </c>
      <c r="I953" s="2">
        <v>0</v>
      </c>
      <c r="J953" s="2" t="s">
        <v>24</v>
      </c>
      <c r="K953" s="2" t="s">
        <v>36</v>
      </c>
      <c r="L953" s="2" t="s">
        <v>69</v>
      </c>
      <c r="M953" s="2" t="str">
        <f t="shared" si="42"/>
        <v>Debit Card</v>
      </c>
      <c r="N953" s="2" t="str">
        <f t="shared" si="43"/>
        <v>Accessories</v>
      </c>
      <c r="O953" s="2" t="str">
        <f t="shared" si="44"/>
        <v>Low Stock</v>
      </c>
    </row>
    <row r="954" spans="1:15" x14ac:dyDescent="0.3">
      <c r="A954" s="5">
        <v>45651</v>
      </c>
      <c r="B954" s="2" t="s">
        <v>2261</v>
      </c>
      <c r="C954" s="2" t="s">
        <v>2262</v>
      </c>
      <c r="D954" s="2" t="s">
        <v>14</v>
      </c>
      <c r="E954" s="2" t="s">
        <v>15</v>
      </c>
      <c r="F954" s="2">
        <v>35</v>
      </c>
      <c r="G954" s="7">
        <v>96.63</v>
      </c>
      <c r="H954" s="7">
        <v>3382.05</v>
      </c>
      <c r="I954" s="2">
        <v>0</v>
      </c>
      <c r="J954" s="2" t="s">
        <v>24</v>
      </c>
      <c r="K954" s="2" t="s">
        <v>59</v>
      </c>
      <c r="L954" s="1" t="s">
        <v>2347</v>
      </c>
      <c r="M954" s="1" t="str">
        <f t="shared" si="42"/>
        <v>Online Payment</v>
      </c>
      <c r="N954" s="2" t="str">
        <f t="shared" si="43"/>
        <v>Peripherals</v>
      </c>
      <c r="O954" s="1" t="str">
        <f t="shared" si="44"/>
        <v>High Stock</v>
      </c>
    </row>
    <row r="955" spans="1:15" x14ac:dyDescent="0.3">
      <c r="A955" s="5">
        <v>46048</v>
      </c>
      <c r="B955" s="2" t="s">
        <v>2263</v>
      </c>
      <c r="C955" s="2" t="s">
        <v>2264</v>
      </c>
      <c r="D955" s="2" t="s">
        <v>103</v>
      </c>
      <c r="E955" s="2" t="s">
        <v>35</v>
      </c>
      <c r="F955" s="2">
        <v>16</v>
      </c>
      <c r="G955" s="7">
        <v>438.4</v>
      </c>
      <c r="H955" s="7">
        <v>7014.4</v>
      </c>
      <c r="I955" s="2">
        <v>0</v>
      </c>
      <c r="J955" s="2" t="s">
        <v>24</v>
      </c>
      <c r="K955" s="2" t="s">
        <v>104</v>
      </c>
      <c r="L955" s="2" t="s">
        <v>49</v>
      </c>
      <c r="M955" s="2" t="str">
        <f t="shared" si="42"/>
        <v>Check</v>
      </c>
      <c r="N955" s="2" t="str">
        <f t="shared" si="43"/>
        <v>Electronics</v>
      </c>
      <c r="O955" s="2" t="str">
        <f t="shared" si="44"/>
        <v>High Stock</v>
      </c>
    </row>
    <row r="956" spans="1:15" x14ac:dyDescent="0.3">
      <c r="A956" s="5">
        <v>46159</v>
      </c>
      <c r="B956" s="2" t="s">
        <v>2265</v>
      </c>
      <c r="C956" s="2" t="s">
        <v>2266</v>
      </c>
      <c r="D956" s="2" t="s">
        <v>95</v>
      </c>
      <c r="E956" s="2" t="s">
        <v>35</v>
      </c>
      <c r="F956" s="2">
        <v>30</v>
      </c>
      <c r="G956" s="7">
        <v>376.34</v>
      </c>
      <c r="H956" s="7">
        <v>11290.2</v>
      </c>
      <c r="I956" s="2">
        <v>0</v>
      </c>
      <c r="J956" s="2" t="s">
        <v>24</v>
      </c>
      <c r="K956" s="2" t="s">
        <v>36</v>
      </c>
      <c r="L956" s="2" t="s">
        <v>27</v>
      </c>
      <c r="M956" s="2" t="str">
        <f t="shared" si="42"/>
        <v>Cash</v>
      </c>
      <c r="N956" s="2" t="str">
        <f t="shared" si="43"/>
        <v>Electronics</v>
      </c>
      <c r="O956" s="2" t="str">
        <f t="shared" si="44"/>
        <v>High Stock</v>
      </c>
    </row>
    <row r="957" spans="1:15" x14ac:dyDescent="0.3">
      <c r="A957" s="5">
        <v>45818</v>
      </c>
      <c r="B957" s="2" t="s">
        <v>2267</v>
      </c>
      <c r="C957" s="2" t="s">
        <v>1315</v>
      </c>
      <c r="D957" s="2" t="s">
        <v>82</v>
      </c>
      <c r="E957" s="2" t="s">
        <v>73</v>
      </c>
      <c r="F957" s="2">
        <v>28</v>
      </c>
      <c r="G957" s="7">
        <v>593.09</v>
      </c>
      <c r="H957" s="7">
        <v>13285.22</v>
      </c>
      <c r="I957" s="2">
        <v>20</v>
      </c>
      <c r="J957" s="2" t="s">
        <v>24</v>
      </c>
      <c r="K957" s="2" t="s">
        <v>25</v>
      </c>
      <c r="L957" s="2" t="s">
        <v>49</v>
      </c>
      <c r="M957" s="2" t="str">
        <f t="shared" si="42"/>
        <v>Check</v>
      </c>
      <c r="N957" s="2" t="str">
        <f t="shared" si="43"/>
        <v>Furniture</v>
      </c>
      <c r="O957" s="2" t="str">
        <f t="shared" si="44"/>
        <v>High Stock</v>
      </c>
    </row>
    <row r="958" spans="1:15" x14ac:dyDescent="0.3">
      <c r="A958" s="5">
        <v>45795</v>
      </c>
      <c r="B958" s="2" t="s">
        <v>2269</v>
      </c>
      <c r="C958" s="2" t="s">
        <v>2270</v>
      </c>
      <c r="D958" s="2" t="s">
        <v>103</v>
      </c>
      <c r="E958" s="2" t="s">
        <v>35</v>
      </c>
      <c r="F958" s="2">
        <v>38</v>
      </c>
      <c r="G958" s="7">
        <v>388.27</v>
      </c>
      <c r="H958" s="7">
        <v>14754.26</v>
      </c>
      <c r="I958" s="2">
        <v>0</v>
      </c>
      <c r="J958" s="2" t="s">
        <v>53</v>
      </c>
      <c r="K958" s="2" t="s">
        <v>141</v>
      </c>
      <c r="L958" s="2" t="s">
        <v>31</v>
      </c>
      <c r="M958" s="2" t="str">
        <f t="shared" si="42"/>
        <v>Credit Card</v>
      </c>
      <c r="N958" s="2" t="str">
        <f t="shared" si="43"/>
        <v>Electronics</v>
      </c>
      <c r="O958" s="2" t="str">
        <f t="shared" si="44"/>
        <v>High Stock</v>
      </c>
    </row>
    <row r="959" spans="1:15" x14ac:dyDescent="0.3">
      <c r="A959" s="5">
        <v>46244</v>
      </c>
      <c r="B959" s="2" t="s">
        <v>2271</v>
      </c>
      <c r="C959" s="2" t="s">
        <v>2272</v>
      </c>
      <c r="D959" s="2" t="s">
        <v>103</v>
      </c>
      <c r="E959" s="2" t="s">
        <v>35</v>
      </c>
      <c r="F959" s="2">
        <v>19</v>
      </c>
      <c r="G959" s="7">
        <v>307.56</v>
      </c>
      <c r="H959" s="7">
        <v>5843.64</v>
      </c>
      <c r="I959" s="2">
        <v>0</v>
      </c>
      <c r="J959" s="2" t="s">
        <v>46</v>
      </c>
      <c r="K959" s="2" t="s">
        <v>244</v>
      </c>
      <c r="L959" s="2" t="s">
        <v>31</v>
      </c>
      <c r="M959" s="2" t="str">
        <f t="shared" si="42"/>
        <v>Credit Card</v>
      </c>
      <c r="N959" s="2" t="str">
        <f t="shared" si="43"/>
        <v>Electronics</v>
      </c>
      <c r="O959" s="2" t="str">
        <f t="shared" si="44"/>
        <v>High Stock</v>
      </c>
    </row>
    <row r="960" spans="1:15" x14ac:dyDescent="0.3">
      <c r="A960" s="5">
        <v>46120</v>
      </c>
      <c r="B960" s="2" t="s">
        <v>2273</v>
      </c>
      <c r="C960" s="2" t="s">
        <v>368</v>
      </c>
      <c r="D960" s="2" t="s">
        <v>123</v>
      </c>
      <c r="E960" s="2" t="s">
        <v>15</v>
      </c>
      <c r="F960" s="2">
        <v>17</v>
      </c>
      <c r="G960" s="7">
        <v>49.43</v>
      </c>
      <c r="H960" s="7">
        <v>840.31</v>
      </c>
      <c r="I960" s="2">
        <v>0</v>
      </c>
      <c r="J960" s="2" t="s">
        <v>16</v>
      </c>
      <c r="K960" s="2" t="s">
        <v>111</v>
      </c>
      <c r="L960" s="2" t="s">
        <v>27</v>
      </c>
      <c r="M960" s="2" t="str">
        <f t="shared" si="42"/>
        <v>Cash</v>
      </c>
      <c r="N960" s="2" t="str">
        <f t="shared" si="43"/>
        <v>Peripherals</v>
      </c>
      <c r="O960" s="2" t="str">
        <f t="shared" si="44"/>
        <v>High Stock</v>
      </c>
    </row>
    <row r="961" spans="1:15" x14ac:dyDescent="0.3">
      <c r="A961" s="5">
        <v>45808</v>
      </c>
      <c r="B961" s="2" t="s">
        <v>2275</v>
      </c>
      <c r="C961" s="2" t="s">
        <v>1159</v>
      </c>
      <c r="D961" s="2" t="s">
        <v>95</v>
      </c>
      <c r="E961" s="2" t="s">
        <v>35</v>
      </c>
      <c r="F961" s="2">
        <v>22</v>
      </c>
      <c r="G961" s="7">
        <v>336.63</v>
      </c>
      <c r="H961" s="7">
        <v>5924.69</v>
      </c>
      <c r="I961" s="2">
        <v>20</v>
      </c>
      <c r="J961" s="2" t="s">
        <v>46</v>
      </c>
      <c r="K961" s="2" t="s">
        <v>47</v>
      </c>
      <c r="L961" s="2" t="s">
        <v>27</v>
      </c>
      <c r="M961" s="2" t="str">
        <f t="shared" si="42"/>
        <v>Cash</v>
      </c>
      <c r="N961" s="2" t="str">
        <f t="shared" si="43"/>
        <v>Electronics</v>
      </c>
      <c r="O961" s="2" t="str">
        <f t="shared" si="44"/>
        <v>High Stock</v>
      </c>
    </row>
    <row r="962" spans="1:15" x14ac:dyDescent="0.3">
      <c r="A962" s="5">
        <v>46062</v>
      </c>
      <c r="B962" s="2" t="s">
        <v>2276</v>
      </c>
      <c r="C962" s="2" t="s">
        <v>2277</v>
      </c>
      <c r="D962" s="2" t="s">
        <v>40</v>
      </c>
      <c r="E962" s="2" t="s">
        <v>23</v>
      </c>
      <c r="F962" s="2">
        <v>22</v>
      </c>
      <c r="G962" s="7">
        <v>49.42</v>
      </c>
      <c r="H962" s="7">
        <v>1087.24</v>
      </c>
      <c r="I962" s="2">
        <v>0</v>
      </c>
      <c r="J962" s="2" t="s">
        <v>24</v>
      </c>
      <c r="K962" s="2" t="s">
        <v>25</v>
      </c>
      <c r="L962" s="2" t="s">
        <v>49</v>
      </c>
      <c r="M962" s="2" t="str">
        <f t="shared" si="42"/>
        <v>Check</v>
      </c>
      <c r="N962" s="2" t="str">
        <f t="shared" si="43"/>
        <v>Accessories</v>
      </c>
      <c r="O962" s="2" t="str">
        <f t="shared" si="44"/>
        <v>High Stock</v>
      </c>
    </row>
    <row r="963" spans="1:15" x14ac:dyDescent="0.3">
      <c r="A963" s="5">
        <v>46083</v>
      </c>
      <c r="B963" s="2" t="s">
        <v>2278</v>
      </c>
      <c r="C963" s="2" t="s">
        <v>2279</v>
      </c>
      <c r="D963" s="2" t="s">
        <v>45</v>
      </c>
      <c r="E963" s="2" t="s">
        <v>23</v>
      </c>
      <c r="F963" s="2">
        <v>12</v>
      </c>
      <c r="G963" s="7">
        <v>199.96</v>
      </c>
      <c r="H963" s="7">
        <v>2279.54</v>
      </c>
      <c r="I963" s="2">
        <v>5</v>
      </c>
      <c r="J963" s="2" t="s">
        <v>53</v>
      </c>
      <c r="K963" s="2" t="s">
        <v>134</v>
      </c>
      <c r="L963" s="2" t="s">
        <v>49</v>
      </c>
      <c r="M963" s="2" t="str">
        <f t="shared" ref="M963:M1001" si="45">TRIM(L963)</f>
        <v>Check</v>
      </c>
      <c r="N963" s="2" t="str">
        <f t="shared" ref="N963:N1001" si="46">PROPER(E963)</f>
        <v>Accessories</v>
      </c>
      <c r="O963" s="2" t="str">
        <f t="shared" ref="O963:O1001" si="47">IF(F963&gt;15,"High Stock","Low Stock")</f>
        <v>Low Stock</v>
      </c>
    </row>
    <row r="964" spans="1:15" x14ac:dyDescent="0.3">
      <c r="A964" s="5">
        <v>46094</v>
      </c>
      <c r="B964" s="2" t="s">
        <v>2280</v>
      </c>
      <c r="C964" s="2" t="s">
        <v>2281</v>
      </c>
      <c r="D964" s="2" t="s">
        <v>82</v>
      </c>
      <c r="E964" s="2" t="s">
        <v>73</v>
      </c>
      <c r="F964" s="2">
        <v>40</v>
      </c>
      <c r="G964" s="7">
        <v>367.76</v>
      </c>
      <c r="H964" s="7">
        <v>14710.4</v>
      </c>
      <c r="I964" s="2">
        <v>0</v>
      </c>
      <c r="J964" s="2" t="s">
        <v>16</v>
      </c>
      <c r="K964" s="2" t="s">
        <v>17</v>
      </c>
      <c r="L964" s="2" t="s">
        <v>69</v>
      </c>
      <c r="M964" s="2" t="str">
        <f t="shared" si="45"/>
        <v>Debit Card</v>
      </c>
      <c r="N964" s="2" t="str">
        <f t="shared" si="46"/>
        <v>Furniture</v>
      </c>
      <c r="O964" s="2" t="str">
        <f t="shared" si="47"/>
        <v>High Stock</v>
      </c>
    </row>
    <row r="965" spans="1:15" x14ac:dyDescent="0.3">
      <c r="A965" s="5">
        <v>45613</v>
      </c>
      <c r="B965" s="2" t="s">
        <v>2282</v>
      </c>
      <c r="C965" s="2" t="s">
        <v>400</v>
      </c>
      <c r="D965" s="2" t="s">
        <v>22</v>
      </c>
      <c r="E965" s="2" t="s">
        <v>23</v>
      </c>
      <c r="F965" s="2">
        <v>11</v>
      </c>
      <c r="G965" s="7">
        <v>27.31</v>
      </c>
      <c r="H965" s="7">
        <v>300.41000000000003</v>
      </c>
      <c r="I965" s="2">
        <v>0</v>
      </c>
      <c r="J965" s="2" t="s">
        <v>24</v>
      </c>
      <c r="K965" s="2" t="s">
        <v>36</v>
      </c>
      <c r="L965" s="2" t="s">
        <v>27</v>
      </c>
      <c r="M965" s="2" t="str">
        <f t="shared" si="45"/>
        <v>Cash</v>
      </c>
      <c r="N965" s="2" t="str">
        <f t="shared" si="46"/>
        <v>Accessories</v>
      </c>
      <c r="O965" s="2" t="str">
        <f t="shared" si="47"/>
        <v>Low Stock</v>
      </c>
    </row>
    <row r="966" spans="1:15" x14ac:dyDescent="0.3">
      <c r="A966" s="5">
        <v>46282</v>
      </c>
      <c r="B966" s="2" t="s">
        <v>2283</v>
      </c>
      <c r="C966" s="2" t="s">
        <v>1735</v>
      </c>
      <c r="D966" s="2" t="s">
        <v>45</v>
      </c>
      <c r="E966" s="2" t="s">
        <v>23</v>
      </c>
      <c r="F966" s="2">
        <v>33</v>
      </c>
      <c r="G966" s="7">
        <v>191.36</v>
      </c>
      <c r="H966" s="7">
        <v>5999.14</v>
      </c>
      <c r="I966" s="2">
        <v>5</v>
      </c>
      <c r="J966" s="2" t="s">
        <v>53</v>
      </c>
      <c r="K966" s="2" t="s">
        <v>170</v>
      </c>
      <c r="L966" s="2" t="s">
        <v>49</v>
      </c>
      <c r="M966" s="2" t="str">
        <f t="shared" si="45"/>
        <v>Check</v>
      </c>
      <c r="N966" s="2" t="str">
        <f t="shared" si="46"/>
        <v>Accessories</v>
      </c>
      <c r="O966" s="2" t="str">
        <f t="shared" si="47"/>
        <v>High Stock</v>
      </c>
    </row>
    <row r="967" spans="1:15" x14ac:dyDescent="0.3">
      <c r="A967" s="5">
        <v>45995</v>
      </c>
      <c r="B967" s="2" t="s">
        <v>2285</v>
      </c>
      <c r="C967" s="2" t="s">
        <v>2127</v>
      </c>
      <c r="D967" s="2" t="s">
        <v>14</v>
      </c>
      <c r="E967" s="2" t="s">
        <v>15</v>
      </c>
      <c r="F967" s="2">
        <v>3</v>
      </c>
      <c r="G967" s="7">
        <v>54.83</v>
      </c>
      <c r="H967" s="7">
        <v>131.59</v>
      </c>
      <c r="I967" s="2">
        <v>20</v>
      </c>
      <c r="J967" s="2" t="s">
        <v>53</v>
      </c>
      <c r="K967" s="2" t="s">
        <v>170</v>
      </c>
      <c r="L967" s="2" t="s">
        <v>49</v>
      </c>
      <c r="M967" s="2" t="str">
        <f t="shared" si="45"/>
        <v>Check</v>
      </c>
      <c r="N967" s="2" t="str">
        <f t="shared" si="46"/>
        <v>Peripherals</v>
      </c>
      <c r="O967" s="2" t="str">
        <f t="shared" si="47"/>
        <v>Low Stock</v>
      </c>
    </row>
    <row r="968" spans="1:15" x14ac:dyDescent="0.3">
      <c r="A968" s="5">
        <v>45775</v>
      </c>
      <c r="B968" s="2" t="s">
        <v>2286</v>
      </c>
      <c r="C968" s="2" t="s">
        <v>2287</v>
      </c>
      <c r="D968" s="2" t="s">
        <v>34</v>
      </c>
      <c r="E968" s="2" t="s">
        <v>35</v>
      </c>
      <c r="F968" s="2">
        <v>42</v>
      </c>
      <c r="G968" s="7">
        <v>482.61</v>
      </c>
      <c r="H968" s="7">
        <v>18242.66</v>
      </c>
      <c r="I968" s="2">
        <v>10</v>
      </c>
      <c r="J968" s="2" t="s">
        <v>24</v>
      </c>
      <c r="K968" s="2" t="s">
        <v>59</v>
      </c>
      <c r="L968" s="2" t="s">
        <v>49</v>
      </c>
      <c r="M968" s="2" t="str">
        <f t="shared" si="45"/>
        <v>Check</v>
      </c>
      <c r="N968" s="2" t="str">
        <f t="shared" si="46"/>
        <v>Electronics</v>
      </c>
      <c r="O968" s="2" t="str">
        <f t="shared" si="47"/>
        <v>High Stock</v>
      </c>
    </row>
    <row r="969" spans="1:15" x14ac:dyDescent="0.3">
      <c r="A969" s="5">
        <v>45792</v>
      </c>
      <c r="B969" s="2" t="s">
        <v>2289</v>
      </c>
      <c r="C969" s="2" t="s">
        <v>2290</v>
      </c>
      <c r="D969" s="2" t="s">
        <v>63</v>
      </c>
      <c r="E969" s="2" t="s">
        <v>15</v>
      </c>
      <c r="F969" s="2">
        <v>29</v>
      </c>
      <c r="G969" s="7">
        <v>72.930000000000007</v>
      </c>
      <c r="H969" s="7">
        <v>1691.98</v>
      </c>
      <c r="I969" s="2">
        <v>20</v>
      </c>
      <c r="J969" s="2" t="s">
        <v>53</v>
      </c>
      <c r="K969" s="2" t="s">
        <v>67</v>
      </c>
      <c r="L969" s="2" t="s">
        <v>49</v>
      </c>
      <c r="M969" s="2" t="str">
        <f t="shared" si="45"/>
        <v>Check</v>
      </c>
      <c r="N969" s="2" t="str">
        <f t="shared" si="46"/>
        <v>Peripherals</v>
      </c>
      <c r="O969" s="2" t="str">
        <f t="shared" si="47"/>
        <v>High Stock</v>
      </c>
    </row>
    <row r="970" spans="1:15" x14ac:dyDescent="0.3">
      <c r="A970" s="5">
        <v>45737</v>
      </c>
      <c r="B970" s="2" t="s">
        <v>2292</v>
      </c>
      <c r="C970" s="2" t="s">
        <v>1824</v>
      </c>
      <c r="D970" s="2" t="s">
        <v>45</v>
      </c>
      <c r="E970" s="2" t="s">
        <v>23</v>
      </c>
      <c r="F970" s="2">
        <v>33</v>
      </c>
      <c r="G970" s="7">
        <v>171.98</v>
      </c>
      <c r="H970" s="7">
        <v>5107.8100000000004</v>
      </c>
      <c r="I970" s="2">
        <v>10</v>
      </c>
      <c r="J970" s="2" t="s">
        <v>24</v>
      </c>
      <c r="K970" s="2" t="s">
        <v>104</v>
      </c>
      <c r="L970" s="2" t="s">
        <v>49</v>
      </c>
      <c r="M970" s="2" t="str">
        <f t="shared" si="45"/>
        <v>Check</v>
      </c>
      <c r="N970" s="2" t="str">
        <f t="shared" si="46"/>
        <v>Accessories</v>
      </c>
      <c r="O970" s="2" t="str">
        <f t="shared" si="47"/>
        <v>High Stock</v>
      </c>
    </row>
    <row r="971" spans="1:15" x14ac:dyDescent="0.3">
      <c r="A971" s="5">
        <v>46029</v>
      </c>
      <c r="B971" s="2" t="s">
        <v>2293</v>
      </c>
      <c r="C971" s="2" t="s">
        <v>2294</v>
      </c>
      <c r="D971" s="2" t="s">
        <v>82</v>
      </c>
      <c r="E971" s="2" t="s">
        <v>73</v>
      </c>
      <c r="F971" s="2">
        <v>18</v>
      </c>
      <c r="G971" s="7">
        <v>462.39</v>
      </c>
      <c r="H971" s="7">
        <v>8323.02</v>
      </c>
      <c r="I971" s="2">
        <v>0</v>
      </c>
      <c r="J971" s="2" t="s">
        <v>16</v>
      </c>
      <c r="K971" s="2" t="s">
        <v>111</v>
      </c>
      <c r="L971" s="2" t="s">
        <v>31</v>
      </c>
      <c r="M971" s="2" t="str">
        <f t="shared" si="45"/>
        <v>Credit Card</v>
      </c>
      <c r="N971" s="2" t="str">
        <f t="shared" si="46"/>
        <v>Furniture</v>
      </c>
      <c r="O971" s="2" t="str">
        <f t="shared" si="47"/>
        <v>High Stock</v>
      </c>
    </row>
    <row r="972" spans="1:15" x14ac:dyDescent="0.3">
      <c r="A972" s="5">
        <v>45615</v>
      </c>
      <c r="B972" s="2" t="s">
        <v>2295</v>
      </c>
      <c r="C972" s="2" t="s">
        <v>2296</v>
      </c>
      <c r="D972" s="2" t="s">
        <v>34</v>
      </c>
      <c r="E972" s="2" t="s">
        <v>35</v>
      </c>
      <c r="F972" s="2">
        <v>19</v>
      </c>
      <c r="G972" s="7">
        <v>569.79</v>
      </c>
      <c r="H972" s="7">
        <v>9202.11</v>
      </c>
      <c r="I972" s="2">
        <v>15</v>
      </c>
      <c r="J972" s="2" t="s">
        <v>24</v>
      </c>
      <c r="K972" s="2" t="s">
        <v>36</v>
      </c>
      <c r="L972" s="2" t="s">
        <v>27</v>
      </c>
      <c r="M972" s="2" t="str">
        <f t="shared" si="45"/>
        <v>Cash</v>
      </c>
      <c r="N972" s="2" t="str">
        <f t="shared" si="46"/>
        <v>Electronics</v>
      </c>
      <c r="O972" s="2" t="str">
        <f t="shared" si="47"/>
        <v>High Stock</v>
      </c>
    </row>
    <row r="973" spans="1:15" x14ac:dyDescent="0.3">
      <c r="A973" s="5">
        <v>46065</v>
      </c>
      <c r="B973" s="2" t="s">
        <v>2297</v>
      </c>
      <c r="C973" s="2" t="s">
        <v>2298</v>
      </c>
      <c r="D973" s="2" t="s">
        <v>52</v>
      </c>
      <c r="E973" s="2" t="s">
        <v>35</v>
      </c>
      <c r="F973" s="2">
        <v>41</v>
      </c>
      <c r="G973" s="7">
        <v>119.25</v>
      </c>
      <c r="H973" s="7">
        <v>4889.25</v>
      </c>
      <c r="I973" s="2">
        <v>0</v>
      </c>
      <c r="J973" s="2" t="s">
        <v>53</v>
      </c>
      <c r="K973" s="2" t="s">
        <v>134</v>
      </c>
      <c r="L973" s="2" t="s">
        <v>49</v>
      </c>
      <c r="M973" s="2" t="str">
        <f t="shared" si="45"/>
        <v>Check</v>
      </c>
      <c r="N973" s="2" t="str">
        <f t="shared" si="46"/>
        <v>Electronics</v>
      </c>
      <c r="O973" s="2" t="str">
        <f t="shared" si="47"/>
        <v>High Stock</v>
      </c>
    </row>
    <row r="974" spans="1:15" x14ac:dyDescent="0.3">
      <c r="A974" s="5">
        <v>46274</v>
      </c>
      <c r="B974" s="2" t="s">
        <v>2299</v>
      </c>
      <c r="C974" s="2" t="s">
        <v>225</v>
      </c>
      <c r="D974" s="2" t="s">
        <v>52</v>
      </c>
      <c r="E974" s="2" t="s">
        <v>35</v>
      </c>
      <c r="F974" s="2">
        <v>43</v>
      </c>
      <c r="G974" s="7">
        <v>384.24</v>
      </c>
      <c r="H974" s="7">
        <v>15696.2</v>
      </c>
      <c r="I974" s="2">
        <v>5</v>
      </c>
      <c r="J974" s="2" t="s">
        <v>53</v>
      </c>
      <c r="K974" s="2" t="s">
        <v>170</v>
      </c>
      <c r="L974" s="2" t="s">
        <v>31</v>
      </c>
      <c r="M974" s="2" t="str">
        <f t="shared" si="45"/>
        <v>Credit Card</v>
      </c>
      <c r="N974" s="2" t="str">
        <f t="shared" si="46"/>
        <v>Electronics</v>
      </c>
      <c r="O974" s="2" t="str">
        <f t="shared" si="47"/>
        <v>High Stock</v>
      </c>
    </row>
    <row r="975" spans="1:15" x14ac:dyDescent="0.3">
      <c r="A975" s="5">
        <v>45731</v>
      </c>
      <c r="B975" s="2" t="s">
        <v>2300</v>
      </c>
      <c r="C975" s="2" t="s">
        <v>2301</v>
      </c>
      <c r="D975" s="2" t="s">
        <v>40</v>
      </c>
      <c r="E975" s="2" t="s">
        <v>23</v>
      </c>
      <c r="F975" s="2">
        <v>22</v>
      </c>
      <c r="G975" s="7">
        <v>35.44</v>
      </c>
      <c r="H975" s="7">
        <v>779.68</v>
      </c>
      <c r="I975" s="2">
        <v>0</v>
      </c>
      <c r="J975" s="2" t="s">
        <v>53</v>
      </c>
      <c r="K975" s="2" t="s">
        <v>54</v>
      </c>
      <c r="L975" s="2" t="s">
        <v>69</v>
      </c>
      <c r="M975" s="2" t="str">
        <f t="shared" si="45"/>
        <v>Debit Card</v>
      </c>
      <c r="N975" s="2" t="str">
        <f t="shared" si="46"/>
        <v>Accessories</v>
      </c>
      <c r="O975" s="2" t="str">
        <f t="shared" si="47"/>
        <v>High Stock</v>
      </c>
    </row>
    <row r="976" spans="1:15" x14ac:dyDescent="0.3">
      <c r="A976" s="5">
        <v>46300</v>
      </c>
      <c r="B976" s="2" t="s">
        <v>2303</v>
      </c>
      <c r="C976" s="2" t="s">
        <v>789</v>
      </c>
      <c r="D976" s="2" t="s">
        <v>40</v>
      </c>
      <c r="E976" s="2" t="s">
        <v>23</v>
      </c>
      <c r="F976" s="2">
        <v>25</v>
      </c>
      <c r="G976" s="7">
        <v>34.99</v>
      </c>
      <c r="H976" s="7">
        <v>831.01</v>
      </c>
      <c r="I976" s="2">
        <v>5</v>
      </c>
      <c r="J976" s="2" t="s">
        <v>53</v>
      </c>
      <c r="K976" s="2" t="s">
        <v>54</v>
      </c>
      <c r="L976" s="2" t="s">
        <v>69</v>
      </c>
      <c r="M976" s="2" t="str">
        <f t="shared" si="45"/>
        <v>Debit Card</v>
      </c>
      <c r="N976" s="2" t="str">
        <f t="shared" si="46"/>
        <v>Accessories</v>
      </c>
      <c r="O976" s="2" t="str">
        <f t="shared" si="47"/>
        <v>High Stock</v>
      </c>
    </row>
    <row r="977" spans="1:15" x14ac:dyDescent="0.3">
      <c r="A977" s="5">
        <v>46033</v>
      </c>
      <c r="B977" s="2" t="s">
        <v>2304</v>
      </c>
      <c r="C977" s="2" t="s">
        <v>991</v>
      </c>
      <c r="D977" s="2" t="s">
        <v>99</v>
      </c>
      <c r="E977" s="2" t="s">
        <v>23</v>
      </c>
      <c r="F977" s="2">
        <v>14</v>
      </c>
      <c r="G977" s="7">
        <v>18.760000000000002</v>
      </c>
      <c r="H977" s="7">
        <v>223.24</v>
      </c>
      <c r="I977" s="2">
        <v>15</v>
      </c>
      <c r="J977" s="2" t="s">
        <v>16</v>
      </c>
      <c r="K977" s="2" t="s">
        <v>74</v>
      </c>
      <c r="L977" s="2" t="s">
        <v>69</v>
      </c>
      <c r="M977" s="2" t="str">
        <f t="shared" si="45"/>
        <v>Debit Card</v>
      </c>
      <c r="N977" s="2" t="str">
        <f t="shared" si="46"/>
        <v>Accessories</v>
      </c>
      <c r="O977" s="2" t="str">
        <f t="shared" si="47"/>
        <v>Low Stock</v>
      </c>
    </row>
    <row r="978" spans="1:15" x14ac:dyDescent="0.3">
      <c r="A978" s="5">
        <v>46212</v>
      </c>
      <c r="B978" s="2" t="s">
        <v>2306</v>
      </c>
      <c r="C978" s="2" t="s">
        <v>2307</v>
      </c>
      <c r="D978" s="2" t="s">
        <v>123</v>
      </c>
      <c r="E978" s="2" t="s">
        <v>15</v>
      </c>
      <c r="F978" s="2">
        <v>1</v>
      </c>
      <c r="G978" s="7">
        <v>29.21</v>
      </c>
      <c r="H978" s="7">
        <v>24.83</v>
      </c>
      <c r="I978" s="2">
        <v>15</v>
      </c>
      <c r="J978" s="2" t="s">
        <v>46</v>
      </c>
      <c r="K978" s="2" t="s">
        <v>83</v>
      </c>
      <c r="L978" s="2" t="s">
        <v>69</v>
      </c>
      <c r="M978" s="2" t="str">
        <f t="shared" si="45"/>
        <v>Debit Card</v>
      </c>
      <c r="N978" s="2" t="str">
        <f t="shared" si="46"/>
        <v>Peripherals</v>
      </c>
      <c r="O978" s="2" t="str">
        <f t="shared" si="47"/>
        <v>Low Stock</v>
      </c>
    </row>
    <row r="979" spans="1:15" x14ac:dyDescent="0.3">
      <c r="A979" s="5">
        <v>46176</v>
      </c>
      <c r="B979" s="2" t="s">
        <v>2308</v>
      </c>
      <c r="C979" s="2" t="s">
        <v>2309</v>
      </c>
      <c r="D979" s="2" t="s">
        <v>82</v>
      </c>
      <c r="E979" s="2" t="s">
        <v>73</v>
      </c>
      <c r="F979" s="2">
        <v>31</v>
      </c>
      <c r="G979" s="7">
        <v>441.23</v>
      </c>
      <c r="H979" s="7">
        <v>12310.32</v>
      </c>
      <c r="I979" s="2">
        <v>10</v>
      </c>
      <c r="J979" s="2" t="s">
        <v>46</v>
      </c>
      <c r="K979" s="2" t="s">
        <v>244</v>
      </c>
      <c r="L979" s="2" t="s">
        <v>69</v>
      </c>
      <c r="M979" s="2" t="str">
        <f t="shared" si="45"/>
        <v>Debit Card</v>
      </c>
      <c r="N979" s="2" t="str">
        <f t="shared" si="46"/>
        <v>Furniture</v>
      </c>
      <c r="O979" s="2" t="str">
        <f t="shared" si="47"/>
        <v>High Stock</v>
      </c>
    </row>
    <row r="980" spans="1:15" x14ac:dyDescent="0.3">
      <c r="A980" s="5">
        <v>45731</v>
      </c>
      <c r="B980" s="2" t="s">
        <v>2310</v>
      </c>
      <c r="C980" s="2" t="s">
        <v>2311</v>
      </c>
      <c r="D980" s="2" t="s">
        <v>63</v>
      </c>
      <c r="E980" s="2" t="s">
        <v>15</v>
      </c>
      <c r="F980" s="2">
        <v>39</v>
      </c>
      <c r="G980" s="7">
        <v>36.21</v>
      </c>
      <c r="H980" s="7">
        <v>1270.97</v>
      </c>
      <c r="I980" s="2">
        <v>10</v>
      </c>
      <c r="J980" s="2" t="s">
        <v>24</v>
      </c>
      <c r="K980" s="2" t="s">
        <v>41</v>
      </c>
      <c r="L980" s="2" t="s">
        <v>49</v>
      </c>
      <c r="M980" s="2" t="str">
        <f t="shared" si="45"/>
        <v>Check</v>
      </c>
      <c r="N980" s="2" t="str">
        <f t="shared" si="46"/>
        <v>Peripherals</v>
      </c>
      <c r="O980" s="2" t="str">
        <f t="shared" si="47"/>
        <v>High Stock</v>
      </c>
    </row>
    <row r="981" spans="1:15" x14ac:dyDescent="0.3">
      <c r="A981" s="5">
        <v>45670</v>
      </c>
      <c r="B981" s="2" t="s">
        <v>2312</v>
      </c>
      <c r="C981" s="2" t="s">
        <v>1915</v>
      </c>
      <c r="D981" s="2" t="s">
        <v>52</v>
      </c>
      <c r="E981" s="2" t="s">
        <v>35</v>
      </c>
      <c r="F981" s="2">
        <v>28</v>
      </c>
      <c r="G981" s="7">
        <v>135.91</v>
      </c>
      <c r="H981" s="7">
        <v>3615.21</v>
      </c>
      <c r="I981" s="2">
        <v>5</v>
      </c>
      <c r="J981" s="2" t="s">
        <v>46</v>
      </c>
      <c r="K981" s="2" t="s">
        <v>47</v>
      </c>
      <c r="L981" s="2" t="s">
        <v>49</v>
      </c>
      <c r="M981" s="2" t="str">
        <f t="shared" si="45"/>
        <v>Check</v>
      </c>
      <c r="N981" s="2" t="str">
        <f t="shared" si="46"/>
        <v>Electronics</v>
      </c>
      <c r="O981" s="2" t="str">
        <f t="shared" si="47"/>
        <v>High Stock</v>
      </c>
    </row>
    <row r="982" spans="1:15" x14ac:dyDescent="0.3">
      <c r="A982" s="5">
        <v>45896</v>
      </c>
      <c r="B982" s="2" t="s">
        <v>2313</v>
      </c>
      <c r="C982" s="2" t="s">
        <v>191</v>
      </c>
      <c r="D982" s="2" t="s">
        <v>45</v>
      </c>
      <c r="E982" s="2" t="s">
        <v>23</v>
      </c>
      <c r="F982" s="2">
        <v>45</v>
      </c>
      <c r="G982" s="7">
        <v>106.5</v>
      </c>
      <c r="H982" s="7">
        <v>4552.88</v>
      </c>
      <c r="I982" s="2">
        <v>5</v>
      </c>
      <c r="J982" s="2" t="s">
        <v>16</v>
      </c>
      <c r="K982" s="2" t="s">
        <v>160</v>
      </c>
      <c r="L982" s="2" t="s">
        <v>49</v>
      </c>
      <c r="M982" s="2" t="str">
        <f t="shared" si="45"/>
        <v>Check</v>
      </c>
      <c r="N982" s="2" t="str">
        <f t="shared" si="46"/>
        <v>Accessories</v>
      </c>
      <c r="O982" s="2" t="str">
        <f t="shared" si="47"/>
        <v>High Stock</v>
      </c>
    </row>
    <row r="983" spans="1:15" x14ac:dyDescent="0.3">
      <c r="A983" s="5">
        <v>45662</v>
      </c>
      <c r="B983" s="2" t="s">
        <v>2314</v>
      </c>
      <c r="C983" s="2" t="s">
        <v>1936</v>
      </c>
      <c r="D983" s="2" t="s">
        <v>14</v>
      </c>
      <c r="E983" s="2" t="s">
        <v>15</v>
      </c>
      <c r="F983" s="2">
        <v>34</v>
      </c>
      <c r="G983" s="7">
        <v>50.69</v>
      </c>
      <c r="H983" s="7">
        <v>1723.46</v>
      </c>
      <c r="I983" s="2">
        <v>0</v>
      </c>
      <c r="J983" s="2" t="s">
        <v>24</v>
      </c>
      <c r="K983" s="2" t="s">
        <v>104</v>
      </c>
      <c r="L983" s="2" t="s">
        <v>69</v>
      </c>
      <c r="M983" s="2" t="str">
        <f t="shared" si="45"/>
        <v>Debit Card</v>
      </c>
      <c r="N983" s="2" t="str">
        <f t="shared" si="46"/>
        <v>Peripherals</v>
      </c>
      <c r="O983" s="2" t="str">
        <f t="shared" si="47"/>
        <v>High Stock</v>
      </c>
    </row>
    <row r="984" spans="1:15" x14ac:dyDescent="0.3">
      <c r="A984" s="5">
        <v>45910</v>
      </c>
      <c r="B984" s="2" t="s">
        <v>2315</v>
      </c>
      <c r="C984" s="2" t="s">
        <v>2316</v>
      </c>
      <c r="D984" s="2" t="s">
        <v>34</v>
      </c>
      <c r="E984" s="2" t="s">
        <v>35</v>
      </c>
      <c r="F984" s="2">
        <v>5</v>
      </c>
      <c r="G984" s="7">
        <v>508.66</v>
      </c>
      <c r="H984" s="7">
        <v>2161.81</v>
      </c>
      <c r="I984" s="2">
        <v>15</v>
      </c>
      <c r="J984" s="2" t="s">
        <v>46</v>
      </c>
      <c r="K984" s="2" t="s">
        <v>244</v>
      </c>
      <c r="L984" s="2" t="s">
        <v>31</v>
      </c>
      <c r="M984" s="2" t="str">
        <f t="shared" si="45"/>
        <v>Credit Card</v>
      </c>
      <c r="N984" s="2" t="str">
        <f t="shared" si="46"/>
        <v>Electronics</v>
      </c>
      <c r="O984" s="2" t="str">
        <f t="shared" si="47"/>
        <v>Low Stock</v>
      </c>
    </row>
    <row r="985" spans="1:15" x14ac:dyDescent="0.3">
      <c r="A985" s="5">
        <v>45969</v>
      </c>
      <c r="B985" s="2" t="s">
        <v>2317</v>
      </c>
      <c r="C985" s="2" t="s">
        <v>2318</v>
      </c>
      <c r="D985" s="2" t="s">
        <v>22</v>
      </c>
      <c r="E985" s="2" t="s">
        <v>23</v>
      </c>
      <c r="F985" s="2">
        <v>1</v>
      </c>
      <c r="G985" s="7">
        <v>26.83</v>
      </c>
      <c r="H985" s="7">
        <v>26.83</v>
      </c>
      <c r="I985" s="2">
        <v>0</v>
      </c>
      <c r="J985" s="2" t="s">
        <v>53</v>
      </c>
      <c r="K985" s="2" t="s">
        <v>141</v>
      </c>
      <c r="L985" s="2" t="s">
        <v>69</v>
      </c>
      <c r="M985" s="2" t="str">
        <f t="shared" si="45"/>
        <v>Debit Card</v>
      </c>
      <c r="N985" s="2" t="str">
        <f t="shared" si="46"/>
        <v>Accessories</v>
      </c>
      <c r="O985" s="2" t="str">
        <f t="shared" si="47"/>
        <v>Low Stock</v>
      </c>
    </row>
    <row r="986" spans="1:15" x14ac:dyDescent="0.3">
      <c r="A986" s="5">
        <v>46282</v>
      </c>
      <c r="B986" s="2" t="s">
        <v>2320</v>
      </c>
      <c r="C986" s="2" t="s">
        <v>1610</v>
      </c>
      <c r="D986" s="2" t="s">
        <v>40</v>
      </c>
      <c r="E986" s="2" t="s">
        <v>23</v>
      </c>
      <c r="F986" s="2">
        <v>44</v>
      </c>
      <c r="G986" s="7">
        <v>65.02</v>
      </c>
      <c r="H986" s="7">
        <v>2860.88</v>
      </c>
      <c r="I986" s="2">
        <v>0</v>
      </c>
      <c r="J986" s="2" t="s">
        <v>24</v>
      </c>
      <c r="K986" s="2" t="s">
        <v>41</v>
      </c>
      <c r="L986" s="2" t="s">
        <v>31</v>
      </c>
      <c r="M986" s="2" t="str">
        <f t="shared" si="45"/>
        <v>Credit Card</v>
      </c>
      <c r="N986" s="2" t="str">
        <f t="shared" si="46"/>
        <v>Accessories</v>
      </c>
      <c r="O986" s="2" t="str">
        <f t="shared" si="47"/>
        <v>High Stock</v>
      </c>
    </row>
    <row r="987" spans="1:15" x14ac:dyDescent="0.3">
      <c r="A987" s="5">
        <v>45749</v>
      </c>
      <c r="B987" s="2" t="s">
        <v>2321</v>
      </c>
      <c r="C987" s="2" t="s">
        <v>2322</v>
      </c>
      <c r="D987" s="2" t="s">
        <v>95</v>
      </c>
      <c r="E987" s="2" t="s">
        <v>35</v>
      </c>
      <c r="F987" s="2">
        <v>27</v>
      </c>
      <c r="G987" s="7">
        <v>820.61</v>
      </c>
      <c r="H987" s="7">
        <v>22156.47</v>
      </c>
      <c r="I987" s="2">
        <v>0</v>
      </c>
      <c r="J987" s="2" t="s">
        <v>46</v>
      </c>
      <c r="K987" s="2" t="s">
        <v>47</v>
      </c>
      <c r="L987" s="2" t="s">
        <v>69</v>
      </c>
      <c r="M987" s="2" t="str">
        <f t="shared" si="45"/>
        <v>Debit Card</v>
      </c>
      <c r="N987" s="2" t="str">
        <f t="shared" si="46"/>
        <v>Electronics</v>
      </c>
      <c r="O987" s="2" t="str">
        <f t="shared" si="47"/>
        <v>High Stock</v>
      </c>
    </row>
    <row r="988" spans="1:15" x14ac:dyDescent="0.3">
      <c r="A988" s="5">
        <v>45957</v>
      </c>
      <c r="B988" s="2" t="s">
        <v>2324</v>
      </c>
      <c r="C988" s="2" t="s">
        <v>865</v>
      </c>
      <c r="D988" s="2" t="s">
        <v>123</v>
      </c>
      <c r="E988" s="2" t="s">
        <v>15</v>
      </c>
      <c r="F988" s="2">
        <v>29</v>
      </c>
      <c r="G988" s="7">
        <v>27.82</v>
      </c>
      <c r="H988" s="7">
        <v>766.44</v>
      </c>
      <c r="I988" s="2">
        <v>5</v>
      </c>
      <c r="J988" s="2" t="s">
        <v>46</v>
      </c>
      <c r="K988" s="2" t="s">
        <v>124</v>
      </c>
      <c r="L988" s="2" t="s">
        <v>69</v>
      </c>
      <c r="M988" s="2" t="str">
        <f t="shared" si="45"/>
        <v>Debit Card</v>
      </c>
      <c r="N988" s="2" t="str">
        <f t="shared" si="46"/>
        <v>Peripherals</v>
      </c>
      <c r="O988" s="2" t="str">
        <f t="shared" si="47"/>
        <v>High Stock</v>
      </c>
    </row>
    <row r="989" spans="1:15" x14ac:dyDescent="0.3">
      <c r="A989" s="5">
        <v>45998</v>
      </c>
      <c r="B989" s="2" t="s">
        <v>2325</v>
      </c>
      <c r="C989" s="2" t="s">
        <v>29</v>
      </c>
      <c r="D989" s="2" t="s">
        <v>103</v>
      </c>
      <c r="E989" s="2" t="s">
        <v>35</v>
      </c>
      <c r="F989" s="2">
        <v>38</v>
      </c>
      <c r="G989" s="7">
        <v>291.64999999999998</v>
      </c>
      <c r="H989" s="7">
        <v>9974.43</v>
      </c>
      <c r="I989" s="2">
        <v>10</v>
      </c>
      <c r="J989" s="2" t="s">
        <v>53</v>
      </c>
      <c r="K989" s="2" t="s">
        <v>170</v>
      </c>
      <c r="L989" s="2" t="s">
        <v>27</v>
      </c>
      <c r="M989" s="2" t="str">
        <f t="shared" si="45"/>
        <v>Cash</v>
      </c>
      <c r="N989" s="2" t="str">
        <f t="shared" si="46"/>
        <v>Electronics</v>
      </c>
      <c r="O989" s="2" t="str">
        <f t="shared" si="47"/>
        <v>High Stock</v>
      </c>
    </row>
    <row r="990" spans="1:15" x14ac:dyDescent="0.3">
      <c r="A990" s="5">
        <v>45835</v>
      </c>
      <c r="B990" s="2" t="s">
        <v>2326</v>
      </c>
      <c r="C990" s="2" t="s">
        <v>2327</v>
      </c>
      <c r="D990" s="2" t="s">
        <v>72</v>
      </c>
      <c r="E990" s="2" t="s">
        <v>73</v>
      </c>
      <c r="F990" s="2">
        <v>15</v>
      </c>
      <c r="G990" s="7">
        <v>254.15</v>
      </c>
      <c r="H990" s="7">
        <v>3812.25</v>
      </c>
      <c r="I990" s="2">
        <v>0</v>
      </c>
      <c r="J990" s="2" t="s">
        <v>16</v>
      </c>
      <c r="K990" s="2" t="s">
        <v>160</v>
      </c>
      <c r="L990" s="2" t="s">
        <v>27</v>
      </c>
      <c r="M990" s="2" t="str">
        <f t="shared" si="45"/>
        <v>Cash</v>
      </c>
      <c r="N990" s="2" t="str">
        <f t="shared" si="46"/>
        <v>Furniture</v>
      </c>
      <c r="O990" s="2" t="str">
        <f t="shared" si="47"/>
        <v>Low Stock</v>
      </c>
    </row>
    <row r="991" spans="1:15" x14ac:dyDescent="0.3">
      <c r="A991" s="5">
        <v>45762</v>
      </c>
      <c r="B991" s="2" t="s">
        <v>2328</v>
      </c>
      <c r="C991" s="2" t="s">
        <v>2329</v>
      </c>
      <c r="D991" s="2" t="s">
        <v>103</v>
      </c>
      <c r="E991" s="2" t="s">
        <v>35</v>
      </c>
      <c r="F991" s="2">
        <v>25</v>
      </c>
      <c r="G991" s="7">
        <v>504.96</v>
      </c>
      <c r="H991" s="7">
        <v>12624</v>
      </c>
      <c r="I991" s="2">
        <v>0</v>
      </c>
      <c r="J991" s="2" t="s">
        <v>24</v>
      </c>
      <c r="K991" s="2" t="s">
        <v>59</v>
      </c>
      <c r="L991" s="2" t="s">
        <v>31</v>
      </c>
      <c r="M991" s="2" t="str">
        <f t="shared" si="45"/>
        <v>Credit Card</v>
      </c>
      <c r="N991" s="2" t="str">
        <f t="shared" si="46"/>
        <v>Electronics</v>
      </c>
      <c r="O991" s="2" t="str">
        <f t="shared" si="47"/>
        <v>High Stock</v>
      </c>
    </row>
    <row r="992" spans="1:15" x14ac:dyDescent="0.3">
      <c r="A992" s="5">
        <v>46252</v>
      </c>
      <c r="B992" s="2" t="s">
        <v>2330</v>
      </c>
      <c r="C992" s="2" t="s">
        <v>385</v>
      </c>
      <c r="D992" s="2" t="s">
        <v>52</v>
      </c>
      <c r="E992" s="2" t="s">
        <v>35</v>
      </c>
      <c r="F992" s="2">
        <v>29</v>
      </c>
      <c r="G992" s="7">
        <v>166.43</v>
      </c>
      <c r="H992" s="7">
        <v>4585.1499999999996</v>
      </c>
      <c r="I992" s="2">
        <v>5</v>
      </c>
      <c r="J992" s="2" t="s">
        <v>53</v>
      </c>
      <c r="K992" s="2" t="s">
        <v>67</v>
      </c>
      <c r="L992" s="1" t="s">
        <v>2347</v>
      </c>
      <c r="M992" s="1" t="str">
        <f t="shared" si="45"/>
        <v>Online Payment</v>
      </c>
      <c r="N992" s="2" t="str">
        <f t="shared" si="46"/>
        <v>Electronics</v>
      </c>
      <c r="O992" s="1" t="str">
        <f t="shared" si="47"/>
        <v>High Stock</v>
      </c>
    </row>
    <row r="993" spans="1:15" x14ac:dyDescent="0.3">
      <c r="A993" s="5">
        <v>45677</v>
      </c>
      <c r="B993" s="2" t="s">
        <v>2332</v>
      </c>
      <c r="C993" s="2" t="s">
        <v>1759</v>
      </c>
      <c r="D993" s="2" t="s">
        <v>95</v>
      </c>
      <c r="E993" s="2" t="s">
        <v>35</v>
      </c>
      <c r="F993" s="2">
        <v>49</v>
      </c>
      <c r="G993" s="7">
        <v>492.54</v>
      </c>
      <c r="H993" s="7">
        <v>21721.01</v>
      </c>
      <c r="I993" s="2">
        <v>10</v>
      </c>
      <c r="J993" s="2" t="s">
        <v>46</v>
      </c>
      <c r="K993" s="2" t="s">
        <v>47</v>
      </c>
      <c r="L993" s="2" t="s">
        <v>49</v>
      </c>
      <c r="M993" s="2" t="str">
        <f t="shared" si="45"/>
        <v>Check</v>
      </c>
      <c r="N993" s="2" t="str">
        <f t="shared" si="46"/>
        <v>Electronics</v>
      </c>
      <c r="O993" s="2" t="str">
        <f t="shared" si="47"/>
        <v>High Stock</v>
      </c>
    </row>
    <row r="994" spans="1:15" x14ac:dyDescent="0.3">
      <c r="A994" s="5">
        <v>45613</v>
      </c>
      <c r="B994" s="2" t="s">
        <v>2333</v>
      </c>
      <c r="C994" s="2" t="s">
        <v>2334</v>
      </c>
      <c r="D994" s="2" t="s">
        <v>34</v>
      </c>
      <c r="E994" s="2" t="s">
        <v>35</v>
      </c>
      <c r="F994" s="2">
        <v>15</v>
      </c>
      <c r="G994" s="7">
        <v>664.82</v>
      </c>
      <c r="H994" s="7">
        <v>8975.07</v>
      </c>
      <c r="I994" s="2">
        <v>10</v>
      </c>
      <c r="J994" s="2" t="s">
        <v>53</v>
      </c>
      <c r="K994" s="2" t="s">
        <v>170</v>
      </c>
      <c r="L994" s="1" t="s">
        <v>2347</v>
      </c>
      <c r="M994" s="1" t="str">
        <f t="shared" si="45"/>
        <v>Online Payment</v>
      </c>
      <c r="N994" s="2" t="str">
        <f t="shared" si="46"/>
        <v>Electronics</v>
      </c>
      <c r="O994" s="1" t="str">
        <f t="shared" si="47"/>
        <v>Low Stock</v>
      </c>
    </row>
    <row r="995" spans="1:15" x14ac:dyDescent="0.3">
      <c r="A995" s="5">
        <v>46224</v>
      </c>
      <c r="B995" s="2" t="s">
        <v>2335</v>
      </c>
      <c r="C995" s="2" t="s">
        <v>625</v>
      </c>
      <c r="D995" s="2" t="s">
        <v>63</v>
      </c>
      <c r="E995" s="2" t="s">
        <v>15</v>
      </c>
      <c r="F995" s="2">
        <v>13</v>
      </c>
      <c r="G995" s="7">
        <v>53.27</v>
      </c>
      <c r="H995" s="7">
        <v>692.51</v>
      </c>
      <c r="I995" s="2">
        <v>0</v>
      </c>
      <c r="J995" s="2" t="s">
        <v>24</v>
      </c>
      <c r="K995" s="2" t="s">
        <v>104</v>
      </c>
      <c r="L995" s="2" t="s">
        <v>49</v>
      </c>
      <c r="M995" s="2" t="str">
        <f t="shared" si="45"/>
        <v>Check</v>
      </c>
      <c r="N995" s="2" t="str">
        <f t="shared" si="46"/>
        <v>Peripherals</v>
      </c>
      <c r="O995" s="2" t="str">
        <f t="shared" si="47"/>
        <v>Low Stock</v>
      </c>
    </row>
    <row r="996" spans="1:15" x14ac:dyDescent="0.3">
      <c r="A996" s="5">
        <v>46242</v>
      </c>
      <c r="B996" s="2" t="s">
        <v>2336</v>
      </c>
      <c r="C996" s="2" t="s">
        <v>212</v>
      </c>
      <c r="D996" s="2" t="s">
        <v>90</v>
      </c>
      <c r="E996" s="2" t="s">
        <v>23</v>
      </c>
      <c r="F996" s="2">
        <v>8</v>
      </c>
      <c r="G996" s="7">
        <v>35.86</v>
      </c>
      <c r="H996" s="7">
        <v>258.19</v>
      </c>
      <c r="I996" s="2">
        <v>10</v>
      </c>
      <c r="J996" s="2" t="s">
        <v>16</v>
      </c>
      <c r="K996" s="2" t="s">
        <v>111</v>
      </c>
      <c r="L996" s="2" t="s">
        <v>31</v>
      </c>
      <c r="M996" s="2" t="str">
        <f t="shared" si="45"/>
        <v>Credit Card</v>
      </c>
      <c r="N996" s="2" t="str">
        <f t="shared" si="46"/>
        <v>Accessories</v>
      </c>
      <c r="O996" s="2" t="str">
        <f t="shared" si="47"/>
        <v>Low Stock</v>
      </c>
    </row>
    <row r="997" spans="1:15" x14ac:dyDescent="0.3">
      <c r="A997" s="5">
        <v>46155</v>
      </c>
      <c r="B997" s="2" t="s">
        <v>2337</v>
      </c>
      <c r="C997" s="2" t="s">
        <v>1078</v>
      </c>
      <c r="D997" s="2" t="s">
        <v>22</v>
      </c>
      <c r="E997" s="2" t="s">
        <v>23</v>
      </c>
      <c r="F997" s="2">
        <v>10</v>
      </c>
      <c r="G997" s="7">
        <v>16.670000000000002</v>
      </c>
      <c r="H997" s="7">
        <v>166.7</v>
      </c>
      <c r="I997" s="2">
        <v>0</v>
      </c>
      <c r="J997" s="2" t="s">
        <v>53</v>
      </c>
      <c r="K997" s="2" t="s">
        <v>134</v>
      </c>
      <c r="L997" s="2" t="s">
        <v>49</v>
      </c>
      <c r="M997" s="2" t="str">
        <f t="shared" si="45"/>
        <v>Check</v>
      </c>
      <c r="N997" s="2" t="str">
        <f t="shared" si="46"/>
        <v>Accessories</v>
      </c>
      <c r="O997" s="2" t="str">
        <f t="shared" si="47"/>
        <v>Low Stock</v>
      </c>
    </row>
    <row r="998" spans="1:15" x14ac:dyDescent="0.3">
      <c r="A998" s="5">
        <v>46199</v>
      </c>
      <c r="B998" s="2" t="s">
        <v>2339</v>
      </c>
      <c r="C998" s="2" t="s">
        <v>2032</v>
      </c>
      <c r="D998" s="2" t="s">
        <v>14</v>
      </c>
      <c r="E998" s="2" t="s">
        <v>15</v>
      </c>
      <c r="F998" s="2">
        <v>10</v>
      </c>
      <c r="G998" s="7">
        <v>42.74</v>
      </c>
      <c r="H998" s="7">
        <v>341.92</v>
      </c>
      <c r="I998" s="2">
        <v>20</v>
      </c>
      <c r="J998" s="2" t="s">
        <v>24</v>
      </c>
      <c r="K998" s="2" t="s">
        <v>41</v>
      </c>
      <c r="L998" s="1" t="s">
        <v>2347</v>
      </c>
      <c r="M998" s="1" t="str">
        <f t="shared" si="45"/>
        <v>Online Payment</v>
      </c>
      <c r="N998" s="2" t="str">
        <f t="shared" si="46"/>
        <v>Peripherals</v>
      </c>
      <c r="O998" s="1" t="str">
        <f t="shared" si="47"/>
        <v>Low Stock</v>
      </c>
    </row>
    <row r="999" spans="1:15" x14ac:dyDescent="0.3">
      <c r="A999" s="5">
        <v>46105</v>
      </c>
      <c r="B999" s="2" t="s">
        <v>2341</v>
      </c>
      <c r="C999" s="2" t="s">
        <v>1410</v>
      </c>
      <c r="D999" s="2" t="s">
        <v>45</v>
      </c>
      <c r="E999" s="2" t="s">
        <v>23</v>
      </c>
      <c r="F999" s="2">
        <v>31</v>
      </c>
      <c r="G999" s="7">
        <v>84.99</v>
      </c>
      <c r="H999" s="7">
        <v>2502.96</v>
      </c>
      <c r="I999" s="2">
        <v>5</v>
      </c>
      <c r="J999" s="2" t="s">
        <v>16</v>
      </c>
      <c r="K999" s="2" t="s">
        <v>74</v>
      </c>
      <c r="L999" s="2" t="s">
        <v>27</v>
      </c>
      <c r="M999" s="2" t="str">
        <f t="shared" si="45"/>
        <v>Cash</v>
      </c>
      <c r="N999" s="2" t="str">
        <f t="shared" si="46"/>
        <v>Accessories</v>
      </c>
      <c r="O999" s="2" t="str">
        <f t="shared" si="47"/>
        <v>High Stock</v>
      </c>
    </row>
    <row r="1000" spans="1:15" x14ac:dyDescent="0.3">
      <c r="A1000" s="5">
        <v>46109</v>
      </c>
      <c r="B1000" s="2" t="s">
        <v>2342</v>
      </c>
      <c r="C1000" s="2" t="s">
        <v>2343</v>
      </c>
      <c r="D1000" s="2" t="s">
        <v>90</v>
      </c>
      <c r="E1000" s="2" t="s">
        <v>23</v>
      </c>
      <c r="F1000" s="2">
        <v>39</v>
      </c>
      <c r="G1000" s="7">
        <v>17.22</v>
      </c>
      <c r="H1000" s="7">
        <v>638</v>
      </c>
      <c r="I1000" s="2">
        <v>5</v>
      </c>
      <c r="J1000" s="2" t="s">
        <v>16</v>
      </c>
      <c r="K1000" s="2" t="s">
        <v>111</v>
      </c>
      <c r="L1000" s="2" t="s">
        <v>49</v>
      </c>
      <c r="M1000" s="2" t="str">
        <f t="shared" si="45"/>
        <v>Check</v>
      </c>
      <c r="N1000" s="2" t="str">
        <f t="shared" si="46"/>
        <v>Accessories</v>
      </c>
      <c r="O1000" s="2" t="str">
        <f t="shared" si="47"/>
        <v>High Stock</v>
      </c>
    </row>
    <row r="1001" spans="1:15" x14ac:dyDescent="0.3">
      <c r="A1001" s="5">
        <v>45685</v>
      </c>
      <c r="B1001" s="2" t="s">
        <v>2345</v>
      </c>
      <c r="C1001" s="2" t="s">
        <v>2346</v>
      </c>
      <c r="D1001" s="2" t="s">
        <v>63</v>
      </c>
      <c r="E1001" s="2" t="s">
        <v>15</v>
      </c>
      <c r="F1001" s="2">
        <v>10</v>
      </c>
      <c r="G1001" s="7">
        <v>32.840000000000003</v>
      </c>
      <c r="H1001" s="7">
        <v>295.56</v>
      </c>
      <c r="I1001" s="2">
        <v>10</v>
      </c>
      <c r="J1001" s="2" t="s">
        <v>24</v>
      </c>
      <c r="K1001" s="2" t="s">
        <v>36</v>
      </c>
      <c r="L1001" s="2" t="s">
        <v>31</v>
      </c>
      <c r="M1001" s="2" t="str">
        <f t="shared" si="45"/>
        <v>Credit Card</v>
      </c>
      <c r="N1001" s="2" t="str">
        <f t="shared" si="46"/>
        <v>Peripherals</v>
      </c>
      <c r="O1001" s="2" t="str">
        <f t="shared" si="47"/>
        <v>Low Stock</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0BD6A-3ACD-4E2C-BBED-2FBF5CDF7B7D}">
  <dimension ref="A1:M1001"/>
  <sheetViews>
    <sheetView workbookViewId="0">
      <selection activeCell="N12" sqref="N12"/>
    </sheetView>
  </sheetViews>
  <sheetFormatPr defaultRowHeight="15.6" x14ac:dyDescent="0.3"/>
  <cols>
    <col min="1" max="1" width="12.09765625" bestFit="1" customWidth="1"/>
    <col min="2" max="2" width="14.296875" bestFit="1" customWidth="1"/>
    <col min="3" max="3" width="20.5" bestFit="1" customWidth="1"/>
    <col min="4" max="4" width="10.59765625" bestFit="1" customWidth="1"/>
    <col min="5" max="5" width="9.296875" bestFit="1" customWidth="1"/>
    <col min="6" max="6" width="13.8984375" bestFit="1" customWidth="1"/>
    <col min="7" max="8" width="12.296875" bestFit="1" customWidth="1"/>
    <col min="9" max="9" width="13.09765625" bestFit="1" customWidth="1"/>
    <col min="10" max="10" width="15.5" bestFit="1" customWidth="1"/>
    <col min="11" max="11" width="16.5" bestFit="1" customWidth="1"/>
    <col min="12" max="12" width="19.59765625" bestFit="1" customWidth="1"/>
    <col min="13" max="13" width="12.09765625" bestFit="1" customWidth="1"/>
  </cols>
  <sheetData>
    <row r="1" spans="1:13" x14ac:dyDescent="0.3">
      <c r="A1" s="3" t="s">
        <v>0</v>
      </c>
      <c r="B1" s="4" t="s">
        <v>10</v>
      </c>
      <c r="C1" s="3" t="s">
        <v>1</v>
      </c>
      <c r="D1" s="3" t="s">
        <v>8</v>
      </c>
      <c r="E1" s="3" t="s">
        <v>9</v>
      </c>
      <c r="F1" s="3" t="s">
        <v>2</v>
      </c>
      <c r="G1" s="3" t="s">
        <v>3</v>
      </c>
      <c r="H1" s="3" t="s">
        <v>4</v>
      </c>
      <c r="I1" s="3" t="s">
        <v>5</v>
      </c>
      <c r="J1" s="3" t="s">
        <v>7</v>
      </c>
      <c r="K1" s="3" t="s">
        <v>6</v>
      </c>
      <c r="L1" s="3" t="s">
        <v>11</v>
      </c>
      <c r="M1" s="3" t="s">
        <v>2363</v>
      </c>
    </row>
    <row r="2" spans="1:13" x14ac:dyDescent="0.3">
      <c r="A2" s="2" t="s">
        <v>2075</v>
      </c>
      <c r="B2" s="5">
        <v>45579</v>
      </c>
      <c r="C2" s="2" t="s">
        <v>1093</v>
      </c>
      <c r="D2" s="2" t="s">
        <v>46</v>
      </c>
      <c r="E2" s="2" t="s">
        <v>78</v>
      </c>
      <c r="F2" s="2" t="s">
        <v>40</v>
      </c>
      <c r="G2" s="2" t="s">
        <v>23</v>
      </c>
      <c r="H2" s="2">
        <v>2</v>
      </c>
      <c r="I2" s="7">
        <v>54.34</v>
      </c>
      <c r="J2" s="2">
        <v>0</v>
      </c>
      <c r="K2" s="7">
        <v>108.68</v>
      </c>
      <c r="L2" s="1" t="s">
        <v>2347</v>
      </c>
      <c r="M2" s="2" t="s">
        <v>2364</v>
      </c>
    </row>
    <row r="3" spans="1:13" x14ac:dyDescent="0.3">
      <c r="A3" s="2" t="s">
        <v>258</v>
      </c>
      <c r="B3" s="5">
        <v>45768</v>
      </c>
      <c r="C3" s="2" t="s">
        <v>259</v>
      </c>
      <c r="D3" s="2" t="s">
        <v>46</v>
      </c>
      <c r="E3" s="2" t="s">
        <v>244</v>
      </c>
      <c r="F3" s="2" t="s">
        <v>40</v>
      </c>
      <c r="G3" s="2" t="s">
        <v>23</v>
      </c>
      <c r="H3" s="2">
        <v>2</v>
      </c>
      <c r="I3" s="7">
        <v>67.25</v>
      </c>
      <c r="J3" s="2">
        <v>10</v>
      </c>
      <c r="K3" s="7">
        <v>121.05</v>
      </c>
      <c r="L3" s="1" t="s">
        <v>2347</v>
      </c>
      <c r="M3" s="2" t="s">
        <v>2364</v>
      </c>
    </row>
    <row r="4" spans="1:13" x14ac:dyDescent="0.3">
      <c r="A4" s="2" t="s">
        <v>246</v>
      </c>
      <c r="B4" s="5">
        <v>45944</v>
      </c>
      <c r="C4" s="2" t="s">
        <v>247</v>
      </c>
      <c r="D4" s="2" t="s">
        <v>46</v>
      </c>
      <c r="E4" s="2" t="s">
        <v>244</v>
      </c>
      <c r="F4" s="2" t="s">
        <v>40</v>
      </c>
      <c r="G4" s="2" t="s">
        <v>23</v>
      </c>
      <c r="H4" s="2">
        <v>2</v>
      </c>
      <c r="I4" s="7">
        <v>77.5</v>
      </c>
      <c r="J4" s="2">
        <v>5</v>
      </c>
      <c r="K4" s="7">
        <v>147.25</v>
      </c>
      <c r="L4" s="2" t="s">
        <v>31</v>
      </c>
      <c r="M4" s="2" t="s">
        <v>2364</v>
      </c>
    </row>
    <row r="5" spans="1:13" x14ac:dyDescent="0.3">
      <c r="A5" s="2" t="s">
        <v>1984</v>
      </c>
      <c r="B5" s="5">
        <v>45684</v>
      </c>
      <c r="C5" s="2" t="s">
        <v>1985</v>
      </c>
      <c r="D5" s="2" t="s">
        <v>53</v>
      </c>
      <c r="E5" s="2" t="s">
        <v>54</v>
      </c>
      <c r="F5" s="2" t="s">
        <v>40</v>
      </c>
      <c r="G5" s="2" t="s">
        <v>23</v>
      </c>
      <c r="H5" s="2">
        <v>3</v>
      </c>
      <c r="I5" s="7">
        <v>49.12</v>
      </c>
      <c r="J5" s="2">
        <v>0</v>
      </c>
      <c r="K5" s="7">
        <v>147.36000000000001</v>
      </c>
      <c r="L5" s="1" t="s">
        <v>2347</v>
      </c>
      <c r="M5" s="2" t="s">
        <v>2364</v>
      </c>
    </row>
    <row r="6" spans="1:13" x14ac:dyDescent="0.3">
      <c r="A6" s="2" t="s">
        <v>211</v>
      </c>
      <c r="B6" s="5">
        <v>46049</v>
      </c>
      <c r="C6" s="2" t="s">
        <v>212</v>
      </c>
      <c r="D6" s="2" t="s">
        <v>16</v>
      </c>
      <c r="E6" s="2" t="s">
        <v>91</v>
      </c>
      <c r="F6" s="2" t="s">
        <v>40</v>
      </c>
      <c r="G6" s="2" t="s">
        <v>23</v>
      </c>
      <c r="H6" s="2">
        <v>7</v>
      </c>
      <c r="I6" s="7">
        <v>42.79</v>
      </c>
      <c r="J6" s="2">
        <v>0</v>
      </c>
      <c r="K6" s="7">
        <v>299.52999999999997</v>
      </c>
      <c r="L6" s="2" t="s">
        <v>31</v>
      </c>
      <c r="M6" s="2" t="s">
        <v>2365</v>
      </c>
    </row>
    <row r="7" spans="1:13" x14ac:dyDescent="0.3">
      <c r="A7" s="2" t="s">
        <v>1775</v>
      </c>
      <c r="B7" s="5">
        <v>45848</v>
      </c>
      <c r="C7" s="2" t="s">
        <v>1776</v>
      </c>
      <c r="D7" s="2" t="s">
        <v>24</v>
      </c>
      <c r="E7" s="2" t="s">
        <v>104</v>
      </c>
      <c r="F7" s="2" t="s">
        <v>40</v>
      </c>
      <c r="G7" s="2" t="s">
        <v>23</v>
      </c>
      <c r="H7" s="2">
        <v>11</v>
      </c>
      <c r="I7" s="7">
        <v>31.37</v>
      </c>
      <c r="J7" s="2">
        <v>0</v>
      </c>
      <c r="K7" s="7">
        <v>345.07</v>
      </c>
      <c r="L7" s="2" t="s">
        <v>27</v>
      </c>
      <c r="M7" s="2" t="s">
        <v>2364</v>
      </c>
    </row>
    <row r="8" spans="1:13" x14ac:dyDescent="0.3">
      <c r="A8" s="2" t="s">
        <v>335</v>
      </c>
      <c r="B8" s="5">
        <v>45679</v>
      </c>
      <c r="C8" s="2" t="s">
        <v>336</v>
      </c>
      <c r="D8" s="2" t="s">
        <v>53</v>
      </c>
      <c r="E8" s="2" t="s">
        <v>141</v>
      </c>
      <c r="F8" s="2" t="s">
        <v>40</v>
      </c>
      <c r="G8" s="2" t="s">
        <v>23</v>
      </c>
      <c r="H8" s="2">
        <v>10</v>
      </c>
      <c r="I8" s="7">
        <v>41.79</v>
      </c>
      <c r="J8" s="2">
        <v>15</v>
      </c>
      <c r="K8" s="7">
        <v>355.22</v>
      </c>
      <c r="L8" s="2" t="s">
        <v>27</v>
      </c>
      <c r="M8" s="2" t="s">
        <v>2365</v>
      </c>
    </row>
    <row r="9" spans="1:13" x14ac:dyDescent="0.3">
      <c r="A9" s="2" t="s">
        <v>1825</v>
      </c>
      <c r="B9" s="5">
        <v>46171</v>
      </c>
      <c r="C9" s="2" t="s">
        <v>1807</v>
      </c>
      <c r="D9" s="2" t="s">
        <v>24</v>
      </c>
      <c r="E9" s="2" t="s">
        <v>25</v>
      </c>
      <c r="F9" s="2" t="s">
        <v>40</v>
      </c>
      <c r="G9" s="2" t="s">
        <v>23</v>
      </c>
      <c r="H9" s="2">
        <v>8</v>
      </c>
      <c r="I9" s="7">
        <v>44.81</v>
      </c>
      <c r="J9" s="2">
        <v>0</v>
      </c>
      <c r="K9" s="7">
        <v>358.48</v>
      </c>
      <c r="L9" s="2" t="s">
        <v>69</v>
      </c>
      <c r="M9" s="2" t="s">
        <v>2364</v>
      </c>
    </row>
    <row r="10" spans="1:13" x14ac:dyDescent="0.3">
      <c r="A10" s="2" t="s">
        <v>902</v>
      </c>
      <c r="B10" s="5">
        <v>46219</v>
      </c>
      <c r="C10" s="2" t="s">
        <v>903</v>
      </c>
      <c r="D10" s="2" t="s">
        <v>24</v>
      </c>
      <c r="E10" s="2" t="s">
        <v>41</v>
      </c>
      <c r="F10" s="2" t="s">
        <v>40</v>
      </c>
      <c r="G10" s="2" t="s">
        <v>23</v>
      </c>
      <c r="H10" s="2">
        <v>12</v>
      </c>
      <c r="I10" s="7">
        <v>31.61</v>
      </c>
      <c r="J10" s="2">
        <v>5</v>
      </c>
      <c r="K10" s="7">
        <v>360.35</v>
      </c>
      <c r="L10" s="2" t="s">
        <v>27</v>
      </c>
      <c r="M10" s="2" t="s">
        <v>2365</v>
      </c>
    </row>
    <row r="11" spans="1:13" x14ac:dyDescent="0.3">
      <c r="A11" s="2" t="s">
        <v>1661</v>
      </c>
      <c r="B11" s="5">
        <v>46243</v>
      </c>
      <c r="C11" s="2" t="s">
        <v>1662</v>
      </c>
      <c r="D11" s="2" t="s">
        <v>16</v>
      </c>
      <c r="E11" s="2" t="s">
        <v>74</v>
      </c>
      <c r="F11" s="2" t="s">
        <v>40</v>
      </c>
      <c r="G11" s="2" t="s">
        <v>23</v>
      </c>
      <c r="H11" s="2">
        <v>9</v>
      </c>
      <c r="I11" s="7">
        <v>41.75</v>
      </c>
      <c r="J11" s="2">
        <v>0</v>
      </c>
      <c r="K11" s="7">
        <v>375.75</v>
      </c>
      <c r="L11" s="2" t="s">
        <v>69</v>
      </c>
      <c r="M11" s="2" t="s">
        <v>2364</v>
      </c>
    </row>
    <row r="12" spans="1:13" x14ac:dyDescent="0.3">
      <c r="A12" s="2" t="s">
        <v>422</v>
      </c>
      <c r="B12" s="5">
        <v>45582</v>
      </c>
      <c r="C12" s="2" t="s">
        <v>423</v>
      </c>
      <c r="D12" s="2" t="s">
        <v>53</v>
      </c>
      <c r="E12" s="2" t="s">
        <v>170</v>
      </c>
      <c r="F12" s="2" t="s">
        <v>40</v>
      </c>
      <c r="G12" s="2" t="s">
        <v>23</v>
      </c>
      <c r="H12" s="2">
        <v>6</v>
      </c>
      <c r="I12" s="7">
        <v>76</v>
      </c>
      <c r="J12" s="2">
        <v>0</v>
      </c>
      <c r="K12" s="7">
        <v>456</v>
      </c>
      <c r="L12" s="2" t="s">
        <v>27</v>
      </c>
      <c r="M12" s="2" t="s">
        <v>2365</v>
      </c>
    </row>
    <row r="13" spans="1:13" x14ac:dyDescent="0.3">
      <c r="A13" s="2" t="s">
        <v>2028</v>
      </c>
      <c r="B13" s="5">
        <v>45864</v>
      </c>
      <c r="C13" s="2" t="s">
        <v>1213</v>
      </c>
      <c r="D13" s="2" t="s">
        <v>46</v>
      </c>
      <c r="E13" s="2" t="s">
        <v>244</v>
      </c>
      <c r="F13" s="2" t="s">
        <v>40</v>
      </c>
      <c r="G13" s="2" t="s">
        <v>23</v>
      </c>
      <c r="H13" s="2">
        <v>11</v>
      </c>
      <c r="I13" s="7">
        <v>48.9</v>
      </c>
      <c r="J13" s="2">
        <v>5</v>
      </c>
      <c r="K13" s="7">
        <v>511</v>
      </c>
      <c r="L13" s="2" t="s">
        <v>31</v>
      </c>
      <c r="M13" s="2" t="s">
        <v>2364</v>
      </c>
    </row>
    <row r="14" spans="1:13" x14ac:dyDescent="0.3">
      <c r="A14" s="2" t="s">
        <v>924</v>
      </c>
      <c r="B14" s="5">
        <v>46212</v>
      </c>
      <c r="C14" s="2" t="s">
        <v>925</v>
      </c>
      <c r="D14" s="2" t="s">
        <v>46</v>
      </c>
      <c r="E14" s="2" t="s">
        <v>244</v>
      </c>
      <c r="F14" s="2" t="s">
        <v>40</v>
      </c>
      <c r="G14" s="2" t="s">
        <v>23</v>
      </c>
      <c r="H14" s="2">
        <v>22</v>
      </c>
      <c r="I14" s="7">
        <v>31.31</v>
      </c>
      <c r="J14" s="2">
        <v>10</v>
      </c>
      <c r="K14" s="7">
        <v>619.94000000000005</v>
      </c>
      <c r="L14" s="1" t="s">
        <v>2347</v>
      </c>
      <c r="M14" s="2" t="s">
        <v>2365</v>
      </c>
    </row>
    <row r="15" spans="1:13" x14ac:dyDescent="0.3">
      <c r="A15" s="2" t="s">
        <v>38</v>
      </c>
      <c r="B15" s="5">
        <v>46082</v>
      </c>
      <c r="C15" s="2" t="s">
        <v>39</v>
      </c>
      <c r="D15" s="2" t="s">
        <v>24</v>
      </c>
      <c r="E15" s="2" t="s">
        <v>41</v>
      </c>
      <c r="F15" s="2" t="s">
        <v>40</v>
      </c>
      <c r="G15" s="2" t="s">
        <v>23</v>
      </c>
      <c r="H15" s="2">
        <v>10</v>
      </c>
      <c r="I15" s="7">
        <v>66</v>
      </c>
      <c r="J15" s="2">
        <v>5</v>
      </c>
      <c r="K15" s="7">
        <v>627</v>
      </c>
      <c r="L15" s="2" t="s">
        <v>31</v>
      </c>
      <c r="M15" s="2" t="s">
        <v>2364</v>
      </c>
    </row>
    <row r="16" spans="1:13" x14ac:dyDescent="0.3">
      <c r="A16" s="2" t="s">
        <v>869</v>
      </c>
      <c r="B16" s="5">
        <v>46045</v>
      </c>
      <c r="C16" s="2" t="s">
        <v>870</v>
      </c>
      <c r="D16" s="2" t="s">
        <v>24</v>
      </c>
      <c r="E16" s="2" t="s">
        <v>36</v>
      </c>
      <c r="F16" s="2" t="s">
        <v>40</v>
      </c>
      <c r="G16" s="2" t="s">
        <v>23</v>
      </c>
      <c r="H16" s="2">
        <v>11</v>
      </c>
      <c r="I16" s="7">
        <v>68.28</v>
      </c>
      <c r="J16" s="2">
        <v>15</v>
      </c>
      <c r="K16" s="7">
        <v>638.41999999999996</v>
      </c>
      <c r="L16" s="2" t="s">
        <v>49</v>
      </c>
      <c r="M16" s="2" t="s">
        <v>2365</v>
      </c>
    </row>
    <row r="17" spans="1:13" x14ac:dyDescent="0.3">
      <c r="A17" s="2" t="s">
        <v>1359</v>
      </c>
      <c r="B17" s="5">
        <v>45843</v>
      </c>
      <c r="C17" s="2" t="s">
        <v>1136</v>
      </c>
      <c r="D17" s="2" t="s">
        <v>53</v>
      </c>
      <c r="E17" s="2" t="s">
        <v>141</v>
      </c>
      <c r="F17" s="2" t="s">
        <v>40</v>
      </c>
      <c r="G17" s="2" t="s">
        <v>23</v>
      </c>
      <c r="H17" s="2">
        <v>24</v>
      </c>
      <c r="I17" s="7">
        <v>31.81</v>
      </c>
      <c r="J17" s="2">
        <v>15</v>
      </c>
      <c r="K17" s="7">
        <v>648.91999999999996</v>
      </c>
      <c r="L17" s="2" t="s">
        <v>27</v>
      </c>
      <c r="M17" s="2" t="s">
        <v>2364</v>
      </c>
    </row>
    <row r="18" spans="1:13" x14ac:dyDescent="0.3">
      <c r="A18" s="2" t="s">
        <v>2300</v>
      </c>
      <c r="B18" s="5">
        <v>45731</v>
      </c>
      <c r="C18" s="2" t="s">
        <v>2301</v>
      </c>
      <c r="D18" s="2" t="s">
        <v>53</v>
      </c>
      <c r="E18" s="2" t="s">
        <v>54</v>
      </c>
      <c r="F18" s="2" t="s">
        <v>40</v>
      </c>
      <c r="G18" s="2" t="s">
        <v>23</v>
      </c>
      <c r="H18" s="2">
        <v>22</v>
      </c>
      <c r="I18" s="7">
        <v>35.44</v>
      </c>
      <c r="J18" s="2">
        <v>0</v>
      </c>
      <c r="K18" s="7">
        <v>779.68</v>
      </c>
      <c r="L18" s="2" t="s">
        <v>69</v>
      </c>
      <c r="M18" s="2" t="s">
        <v>2364</v>
      </c>
    </row>
    <row r="19" spans="1:13" x14ac:dyDescent="0.3">
      <c r="A19" s="2" t="s">
        <v>113</v>
      </c>
      <c r="B19" s="5">
        <v>46012</v>
      </c>
      <c r="C19" s="2" t="s">
        <v>114</v>
      </c>
      <c r="D19" s="2" t="s">
        <v>24</v>
      </c>
      <c r="E19" s="2" t="s">
        <v>36</v>
      </c>
      <c r="F19" s="2" t="s">
        <v>40</v>
      </c>
      <c r="G19" s="2" t="s">
        <v>23</v>
      </c>
      <c r="H19" s="2">
        <v>19</v>
      </c>
      <c r="I19" s="7">
        <v>41.57</v>
      </c>
      <c r="J19" s="2">
        <v>0</v>
      </c>
      <c r="K19" s="7">
        <v>789.83</v>
      </c>
      <c r="L19" s="1" t="s">
        <v>2347</v>
      </c>
      <c r="M19" s="2" t="s">
        <v>2364</v>
      </c>
    </row>
    <row r="20" spans="1:13" x14ac:dyDescent="0.3">
      <c r="A20" s="2" t="s">
        <v>2233</v>
      </c>
      <c r="B20" s="5">
        <v>45897</v>
      </c>
      <c r="C20" s="2" t="s">
        <v>1852</v>
      </c>
      <c r="D20" s="2" t="s">
        <v>24</v>
      </c>
      <c r="E20" s="2" t="s">
        <v>25</v>
      </c>
      <c r="F20" s="2" t="s">
        <v>40</v>
      </c>
      <c r="G20" s="2" t="s">
        <v>23</v>
      </c>
      <c r="H20" s="2">
        <v>22</v>
      </c>
      <c r="I20" s="7">
        <v>40.700000000000003</v>
      </c>
      <c r="J20" s="2">
        <v>10</v>
      </c>
      <c r="K20" s="7">
        <v>805.86</v>
      </c>
      <c r="L20" s="2" t="s">
        <v>31</v>
      </c>
      <c r="M20" s="2" t="s">
        <v>2364</v>
      </c>
    </row>
    <row r="21" spans="1:13" x14ac:dyDescent="0.3">
      <c r="A21" s="2" t="s">
        <v>2303</v>
      </c>
      <c r="B21" s="5">
        <v>46300</v>
      </c>
      <c r="C21" s="2" t="s">
        <v>789</v>
      </c>
      <c r="D21" s="2" t="s">
        <v>53</v>
      </c>
      <c r="E21" s="2" t="s">
        <v>54</v>
      </c>
      <c r="F21" s="2" t="s">
        <v>40</v>
      </c>
      <c r="G21" s="2" t="s">
        <v>23</v>
      </c>
      <c r="H21" s="2">
        <v>25</v>
      </c>
      <c r="I21" s="7">
        <v>34.99</v>
      </c>
      <c r="J21" s="2">
        <v>5</v>
      </c>
      <c r="K21" s="7">
        <v>831.01</v>
      </c>
      <c r="L21" s="2" t="s">
        <v>69</v>
      </c>
      <c r="M21" s="2" t="s">
        <v>2364</v>
      </c>
    </row>
    <row r="22" spans="1:13" x14ac:dyDescent="0.3">
      <c r="A22" s="2" t="s">
        <v>730</v>
      </c>
      <c r="B22" s="5">
        <v>45798</v>
      </c>
      <c r="C22" s="2" t="s">
        <v>731</v>
      </c>
      <c r="D22" s="2" t="s">
        <v>46</v>
      </c>
      <c r="E22" s="2" t="s">
        <v>124</v>
      </c>
      <c r="F22" s="2" t="s">
        <v>40</v>
      </c>
      <c r="G22" s="2" t="s">
        <v>23</v>
      </c>
      <c r="H22" s="2">
        <v>18</v>
      </c>
      <c r="I22" s="7">
        <v>55.18</v>
      </c>
      <c r="J22" s="2">
        <v>15</v>
      </c>
      <c r="K22" s="7">
        <v>844.25</v>
      </c>
      <c r="L22" s="2" t="s">
        <v>31</v>
      </c>
      <c r="M22" s="2" t="s">
        <v>2364</v>
      </c>
    </row>
    <row r="23" spans="1:13" x14ac:dyDescent="0.3">
      <c r="A23" s="2" t="s">
        <v>2236</v>
      </c>
      <c r="B23" s="5">
        <v>46262</v>
      </c>
      <c r="C23" s="2" t="s">
        <v>2237</v>
      </c>
      <c r="D23" s="2" t="s">
        <v>16</v>
      </c>
      <c r="E23" s="2" t="s">
        <v>111</v>
      </c>
      <c r="F23" s="2" t="s">
        <v>40</v>
      </c>
      <c r="G23" s="2" t="s">
        <v>23</v>
      </c>
      <c r="H23" s="2">
        <v>17</v>
      </c>
      <c r="I23" s="7">
        <v>50.45</v>
      </c>
      <c r="J23" s="2">
        <v>0</v>
      </c>
      <c r="K23" s="7">
        <v>857.65</v>
      </c>
      <c r="L23" s="2" t="s">
        <v>69</v>
      </c>
      <c r="M23" s="2" t="s">
        <v>2364</v>
      </c>
    </row>
    <row r="24" spans="1:13" x14ac:dyDescent="0.3">
      <c r="A24" s="2" t="s">
        <v>1669</v>
      </c>
      <c r="B24" s="5">
        <v>45900</v>
      </c>
      <c r="C24" s="2" t="s">
        <v>1403</v>
      </c>
      <c r="D24" s="2" t="s">
        <v>24</v>
      </c>
      <c r="E24" s="2" t="s">
        <v>41</v>
      </c>
      <c r="F24" s="2" t="s">
        <v>40</v>
      </c>
      <c r="G24" s="2" t="s">
        <v>23</v>
      </c>
      <c r="H24" s="2">
        <v>16</v>
      </c>
      <c r="I24" s="7">
        <v>57.93</v>
      </c>
      <c r="J24" s="2">
        <v>0</v>
      </c>
      <c r="K24" s="7">
        <v>926.88</v>
      </c>
      <c r="L24" s="1" t="s">
        <v>2347</v>
      </c>
      <c r="M24" s="2" t="s">
        <v>2364</v>
      </c>
    </row>
    <row r="25" spans="1:13" x14ac:dyDescent="0.3">
      <c r="A25" s="2" t="s">
        <v>970</v>
      </c>
      <c r="B25" s="5">
        <v>46008</v>
      </c>
      <c r="C25" s="2" t="s">
        <v>971</v>
      </c>
      <c r="D25" s="2" t="s">
        <v>24</v>
      </c>
      <c r="E25" s="2" t="s">
        <v>104</v>
      </c>
      <c r="F25" s="2" t="s">
        <v>40</v>
      </c>
      <c r="G25" s="2" t="s">
        <v>23</v>
      </c>
      <c r="H25" s="2">
        <v>25</v>
      </c>
      <c r="I25" s="7">
        <v>41.44</v>
      </c>
      <c r="J25" s="2">
        <v>5</v>
      </c>
      <c r="K25" s="7">
        <v>984.2</v>
      </c>
      <c r="L25" s="2" t="s">
        <v>49</v>
      </c>
      <c r="M25" s="2" t="s">
        <v>2365</v>
      </c>
    </row>
    <row r="26" spans="1:13" x14ac:dyDescent="0.3">
      <c r="A26" s="2" t="s">
        <v>646</v>
      </c>
      <c r="B26" s="5">
        <v>45729</v>
      </c>
      <c r="C26" s="2" t="s">
        <v>647</v>
      </c>
      <c r="D26" s="2" t="s">
        <v>24</v>
      </c>
      <c r="E26" s="2" t="s">
        <v>104</v>
      </c>
      <c r="F26" s="2" t="s">
        <v>40</v>
      </c>
      <c r="G26" s="2" t="s">
        <v>23</v>
      </c>
      <c r="H26" s="2">
        <v>36</v>
      </c>
      <c r="I26" s="7">
        <v>36.5</v>
      </c>
      <c r="J26" s="2">
        <v>20</v>
      </c>
      <c r="K26" s="7">
        <v>1051.2</v>
      </c>
      <c r="L26" s="2" t="s">
        <v>27</v>
      </c>
      <c r="M26" s="2" t="s">
        <v>2364</v>
      </c>
    </row>
    <row r="27" spans="1:13" x14ac:dyDescent="0.3">
      <c r="A27" s="2" t="s">
        <v>2276</v>
      </c>
      <c r="B27" s="5">
        <v>46062</v>
      </c>
      <c r="C27" s="2" t="s">
        <v>2277</v>
      </c>
      <c r="D27" s="2" t="s">
        <v>24</v>
      </c>
      <c r="E27" s="2" t="s">
        <v>25</v>
      </c>
      <c r="F27" s="2" t="s">
        <v>40</v>
      </c>
      <c r="G27" s="2" t="s">
        <v>23</v>
      </c>
      <c r="H27" s="2">
        <v>22</v>
      </c>
      <c r="I27" s="7">
        <v>49.42</v>
      </c>
      <c r="J27" s="2">
        <v>0</v>
      </c>
      <c r="K27" s="7">
        <v>1087.24</v>
      </c>
      <c r="L27" s="2" t="s">
        <v>49</v>
      </c>
      <c r="M27" s="2" t="s">
        <v>2365</v>
      </c>
    </row>
    <row r="28" spans="1:13" x14ac:dyDescent="0.3">
      <c r="A28" s="2" t="s">
        <v>1077</v>
      </c>
      <c r="B28" s="5">
        <v>46216</v>
      </c>
      <c r="C28" s="2" t="s">
        <v>1078</v>
      </c>
      <c r="D28" s="2" t="s">
        <v>16</v>
      </c>
      <c r="E28" s="2" t="s">
        <v>17</v>
      </c>
      <c r="F28" s="2" t="s">
        <v>40</v>
      </c>
      <c r="G28" s="2" t="s">
        <v>23</v>
      </c>
      <c r="H28" s="2">
        <v>24</v>
      </c>
      <c r="I28" s="7">
        <v>53.5</v>
      </c>
      <c r="J28" s="2">
        <v>15</v>
      </c>
      <c r="K28" s="7">
        <v>1091.4000000000001</v>
      </c>
      <c r="L28" s="2" t="s">
        <v>49</v>
      </c>
      <c r="M28" s="2" t="s">
        <v>2364</v>
      </c>
    </row>
    <row r="29" spans="1:13" x14ac:dyDescent="0.3">
      <c r="A29" s="2" t="s">
        <v>559</v>
      </c>
      <c r="B29" s="5">
        <v>45587</v>
      </c>
      <c r="C29" s="2" t="s">
        <v>560</v>
      </c>
      <c r="D29" s="2" t="s">
        <v>46</v>
      </c>
      <c r="E29" s="2" t="s">
        <v>124</v>
      </c>
      <c r="F29" s="2" t="s">
        <v>40</v>
      </c>
      <c r="G29" s="2" t="s">
        <v>23</v>
      </c>
      <c r="H29" s="2">
        <v>21</v>
      </c>
      <c r="I29" s="7">
        <v>58.83</v>
      </c>
      <c r="J29" s="2">
        <v>10</v>
      </c>
      <c r="K29" s="7">
        <v>1111.8900000000001</v>
      </c>
      <c r="L29" s="2" t="s">
        <v>69</v>
      </c>
      <c r="M29" s="2" t="s">
        <v>2364</v>
      </c>
    </row>
    <row r="30" spans="1:13" x14ac:dyDescent="0.3">
      <c r="A30" s="2" t="s">
        <v>1616</v>
      </c>
      <c r="B30" s="5">
        <v>45970</v>
      </c>
      <c r="C30" s="2" t="s">
        <v>179</v>
      </c>
      <c r="D30" s="2" t="s">
        <v>46</v>
      </c>
      <c r="E30" s="2" t="s">
        <v>124</v>
      </c>
      <c r="F30" s="2" t="s">
        <v>40</v>
      </c>
      <c r="G30" s="2" t="s">
        <v>23</v>
      </c>
      <c r="H30" s="2">
        <v>26</v>
      </c>
      <c r="I30" s="7">
        <v>43.84</v>
      </c>
      <c r="J30" s="2">
        <v>0</v>
      </c>
      <c r="K30" s="7">
        <v>1139.8399999999999</v>
      </c>
      <c r="L30" s="2" t="s">
        <v>27</v>
      </c>
      <c r="M30" s="2" t="s">
        <v>2364</v>
      </c>
    </row>
    <row r="31" spans="1:13" x14ac:dyDescent="0.3">
      <c r="A31" s="2" t="s">
        <v>685</v>
      </c>
      <c r="B31" s="5">
        <v>45924</v>
      </c>
      <c r="C31" s="2" t="s">
        <v>686</v>
      </c>
      <c r="D31" s="2" t="s">
        <v>16</v>
      </c>
      <c r="E31" s="2" t="s">
        <v>91</v>
      </c>
      <c r="F31" s="2" t="s">
        <v>40</v>
      </c>
      <c r="G31" s="2" t="s">
        <v>23</v>
      </c>
      <c r="H31" s="2">
        <v>23</v>
      </c>
      <c r="I31" s="7">
        <v>52.28</v>
      </c>
      <c r="J31" s="2">
        <v>5</v>
      </c>
      <c r="K31" s="7">
        <v>1142.32</v>
      </c>
      <c r="L31" s="1" t="s">
        <v>2347</v>
      </c>
      <c r="M31" s="2" t="s">
        <v>2364</v>
      </c>
    </row>
    <row r="32" spans="1:13" x14ac:dyDescent="0.3">
      <c r="A32" s="2" t="s">
        <v>954</v>
      </c>
      <c r="B32" s="5">
        <v>45723</v>
      </c>
      <c r="C32" s="2" t="s">
        <v>763</v>
      </c>
      <c r="D32" s="2" t="s">
        <v>46</v>
      </c>
      <c r="E32" s="2" t="s">
        <v>244</v>
      </c>
      <c r="F32" s="2" t="s">
        <v>40</v>
      </c>
      <c r="G32" s="2" t="s">
        <v>23</v>
      </c>
      <c r="H32" s="2">
        <v>24</v>
      </c>
      <c r="I32" s="7">
        <v>51.39</v>
      </c>
      <c r="J32" s="2">
        <v>0</v>
      </c>
      <c r="K32" s="7">
        <v>1233.3599999999999</v>
      </c>
      <c r="L32" s="2" t="s">
        <v>31</v>
      </c>
      <c r="M32" s="2" t="s">
        <v>2364</v>
      </c>
    </row>
    <row r="33" spans="1:13" x14ac:dyDescent="0.3">
      <c r="A33" s="2" t="s">
        <v>1780</v>
      </c>
      <c r="B33" s="5">
        <v>45576</v>
      </c>
      <c r="C33" s="2" t="s">
        <v>1642</v>
      </c>
      <c r="D33" s="2" t="s">
        <v>16</v>
      </c>
      <c r="E33" s="2" t="s">
        <v>74</v>
      </c>
      <c r="F33" s="2" t="s">
        <v>40</v>
      </c>
      <c r="G33" s="2" t="s">
        <v>23</v>
      </c>
      <c r="H33" s="2">
        <v>17</v>
      </c>
      <c r="I33" s="7">
        <v>75.599999999999994</v>
      </c>
      <c r="J33" s="2">
        <v>0</v>
      </c>
      <c r="K33" s="7">
        <v>1285.2</v>
      </c>
      <c r="L33" s="2" t="s">
        <v>31</v>
      </c>
      <c r="M33" s="2" t="s">
        <v>2364</v>
      </c>
    </row>
    <row r="34" spans="1:13" x14ac:dyDescent="0.3">
      <c r="A34" s="2" t="s">
        <v>1166</v>
      </c>
      <c r="B34" s="5">
        <v>45946</v>
      </c>
      <c r="C34" s="2" t="s">
        <v>659</v>
      </c>
      <c r="D34" s="2" t="s">
        <v>16</v>
      </c>
      <c r="E34" s="2" t="s">
        <v>91</v>
      </c>
      <c r="F34" s="2" t="s">
        <v>40</v>
      </c>
      <c r="G34" s="2" t="s">
        <v>23</v>
      </c>
      <c r="H34" s="2">
        <v>29</v>
      </c>
      <c r="I34" s="7">
        <v>45.1</v>
      </c>
      <c r="J34" s="2">
        <v>0</v>
      </c>
      <c r="K34" s="7">
        <v>1307.9000000000001</v>
      </c>
      <c r="L34" s="2" t="s">
        <v>27</v>
      </c>
      <c r="M34" s="2" t="s">
        <v>2364</v>
      </c>
    </row>
    <row r="35" spans="1:13" x14ac:dyDescent="0.3">
      <c r="A35" s="2" t="s">
        <v>1547</v>
      </c>
      <c r="B35" s="5">
        <v>45636</v>
      </c>
      <c r="C35" s="2" t="s">
        <v>1206</v>
      </c>
      <c r="D35" s="2" t="s">
        <v>46</v>
      </c>
      <c r="E35" s="2" t="s">
        <v>83</v>
      </c>
      <c r="F35" s="2" t="s">
        <v>40</v>
      </c>
      <c r="G35" s="2" t="s">
        <v>23</v>
      </c>
      <c r="H35" s="2">
        <v>48</v>
      </c>
      <c r="I35" s="7">
        <v>34.119999999999997</v>
      </c>
      <c r="J35" s="2">
        <v>20</v>
      </c>
      <c r="K35" s="7">
        <v>1310.21</v>
      </c>
      <c r="L35" s="2" t="s">
        <v>69</v>
      </c>
      <c r="M35" s="2" t="s">
        <v>2365</v>
      </c>
    </row>
    <row r="36" spans="1:13" x14ac:dyDescent="0.3">
      <c r="A36" s="2" t="s">
        <v>849</v>
      </c>
      <c r="B36" s="5">
        <v>45892</v>
      </c>
      <c r="C36" s="2" t="s">
        <v>850</v>
      </c>
      <c r="D36" s="2" t="s">
        <v>16</v>
      </c>
      <c r="E36" s="2" t="s">
        <v>160</v>
      </c>
      <c r="F36" s="2" t="s">
        <v>40</v>
      </c>
      <c r="G36" s="2" t="s">
        <v>23</v>
      </c>
      <c r="H36" s="2">
        <v>21</v>
      </c>
      <c r="I36" s="7">
        <v>62.6</v>
      </c>
      <c r="J36" s="2">
        <v>0</v>
      </c>
      <c r="K36" s="7">
        <v>1314.6</v>
      </c>
      <c r="L36" s="1" t="s">
        <v>2347</v>
      </c>
      <c r="M36" s="2" t="s">
        <v>2364</v>
      </c>
    </row>
    <row r="37" spans="1:13" x14ac:dyDescent="0.3">
      <c r="A37" s="2" t="s">
        <v>735</v>
      </c>
      <c r="B37" s="5">
        <v>46073</v>
      </c>
      <c r="C37" s="2" t="s">
        <v>330</v>
      </c>
      <c r="D37" s="2" t="s">
        <v>16</v>
      </c>
      <c r="E37" s="2" t="s">
        <v>74</v>
      </c>
      <c r="F37" s="2" t="s">
        <v>40</v>
      </c>
      <c r="G37" s="2" t="s">
        <v>23</v>
      </c>
      <c r="H37" s="2">
        <v>28</v>
      </c>
      <c r="I37" s="7">
        <v>49.1</v>
      </c>
      <c r="J37" s="2">
        <v>0</v>
      </c>
      <c r="K37" s="7">
        <v>1374.8</v>
      </c>
      <c r="L37" s="2" t="s">
        <v>27</v>
      </c>
      <c r="M37" s="2" t="s">
        <v>2364</v>
      </c>
    </row>
    <row r="38" spans="1:13" x14ac:dyDescent="0.3">
      <c r="A38" s="2" t="s">
        <v>1680</v>
      </c>
      <c r="B38" s="5">
        <v>46121</v>
      </c>
      <c r="C38" s="2" t="s">
        <v>1681</v>
      </c>
      <c r="D38" s="2" t="s">
        <v>24</v>
      </c>
      <c r="E38" s="2" t="s">
        <v>25</v>
      </c>
      <c r="F38" s="2" t="s">
        <v>40</v>
      </c>
      <c r="G38" s="2" t="s">
        <v>23</v>
      </c>
      <c r="H38" s="2">
        <v>46</v>
      </c>
      <c r="I38" s="7">
        <v>31.49</v>
      </c>
      <c r="J38" s="2">
        <v>5</v>
      </c>
      <c r="K38" s="7">
        <v>1376.11</v>
      </c>
      <c r="L38" s="1" t="s">
        <v>2347</v>
      </c>
      <c r="M38" s="2" t="s">
        <v>2364</v>
      </c>
    </row>
    <row r="39" spans="1:13" x14ac:dyDescent="0.3">
      <c r="A39" s="2" t="s">
        <v>1789</v>
      </c>
      <c r="B39" s="5">
        <v>45893</v>
      </c>
      <c r="C39" s="2" t="s">
        <v>1790</v>
      </c>
      <c r="D39" s="2" t="s">
        <v>24</v>
      </c>
      <c r="E39" s="2" t="s">
        <v>59</v>
      </c>
      <c r="F39" s="2" t="s">
        <v>40</v>
      </c>
      <c r="G39" s="2" t="s">
        <v>23</v>
      </c>
      <c r="H39" s="2">
        <v>39</v>
      </c>
      <c r="I39" s="7">
        <v>36.270000000000003</v>
      </c>
      <c r="J39" s="2">
        <v>0</v>
      </c>
      <c r="K39" s="7">
        <v>1414.53</v>
      </c>
      <c r="L39" s="2" t="s">
        <v>69</v>
      </c>
      <c r="M39" s="2" t="s">
        <v>2365</v>
      </c>
    </row>
    <row r="40" spans="1:13" x14ac:dyDescent="0.3">
      <c r="A40" s="2" t="s">
        <v>2047</v>
      </c>
      <c r="B40" s="5">
        <v>45689</v>
      </c>
      <c r="C40" s="2" t="s">
        <v>2048</v>
      </c>
      <c r="D40" s="2" t="s">
        <v>24</v>
      </c>
      <c r="E40" s="2" t="s">
        <v>25</v>
      </c>
      <c r="F40" s="2" t="s">
        <v>40</v>
      </c>
      <c r="G40" s="2" t="s">
        <v>23</v>
      </c>
      <c r="H40" s="2">
        <v>43</v>
      </c>
      <c r="I40" s="7">
        <v>39.049999999999997</v>
      </c>
      <c r="J40" s="2">
        <v>15</v>
      </c>
      <c r="K40" s="7">
        <v>1427.28</v>
      </c>
      <c r="L40" s="1" t="s">
        <v>2347</v>
      </c>
      <c r="M40" s="2" t="s">
        <v>2364</v>
      </c>
    </row>
    <row r="41" spans="1:13" x14ac:dyDescent="0.3">
      <c r="A41" s="2" t="s">
        <v>261</v>
      </c>
      <c r="B41" s="5">
        <v>45879</v>
      </c>
      <c r="C41" s="2" t="s">
        <v>262</v>
      </c>
      <c r="D41" s="2" t="s">
        <v>16</v>
      </c>
      <c r="E41" s="2" t="s">
        <v>91</v>
      </c>
      <c r="F41" s="2" t="s">
        <v>40</v>
      </c>
      <c r="G41" s="2" t="s">
        <v>23</v>
      </c>
      <c r="H41" s="2">
        <v>23</v>
      </c>
      <c r="I41" s="7">
        <v>64.349999999999994</v>
      </c>
      <c r="J41" s="2">
        <v>0</v>
      </c>
      <c r="K41" s="7">
        <v>1480.05</v>
      </c>
      <c r="L41" s="2" t="s">
        <v>49</v>
      </c>
      <c r="M41" s="2" t="s">
        <v>2364</v>
      </c>
    </row>
    <row r="42" spans="1:13" x14ac:dyDescent="0.3">
      <c r="A42" s="2" t="s">
        <v>1728</v>
      </c>
      <c r="B42" s="5">
        <v>46193</v>
      </c>
      <c r="C42" s="2" t="s">
        <v>267</v>
      </c>
      <c r="D42" s="2" t="s">
        <v>24</v>
      </c>
      <c r="E42" s="2" t="s">
        <v>36</v>
      </c>
      <c r="F42" s="2" t="s">
        <v>40</v>
      </c>
      <c r="G42" s="2" t="s">
        <v>23</v>
      </c>
      <c r="H42" s="2">
        <v>43</v>
      </c>
      <c r="I42" s="7">
        <v>34.44</v>
      </c>
      <c r="J42" s="2">
        <v>0</v>
      </c>
      <c r="K42" s="7">
        <v>1480.92</v>
      </c>
      <c r="L42" s="2" t="s">
        <v>31</v>
      </c>
      <c r="M42" s="2" t="s">
        <v>2364</v>
      </c>
    </row>
    <row r="43" spans="1:13" x14ac:dyDescent="0.3">
      <c r="A43" s="2" t="s">
        <v>794</v>
      </c>
      <c r="B43" s="5">
        <v>45768</v>
      </c>
      <c r="C43" s="2" t="s">
        <v>795</v>
      </c>
      <c r="D43" s="2" t="s">
        <v>24</v>
      </c>
      <c r="E43" s="2" t="s">
        <v>25</v>
      </c>
      <c r="F43" s="2" t="s">
        <v>40</v>
      </c>
      <c r="G43" s="2" t="s">
        <v>23</v>
      </c>
      <c r="H43" s="2">
        <v>40</v>
      </c>
      <c r="I43" s="7">
        <v>37.270000000000003</v>
      </c>
      <c r="J43" s="2">
        <v>0</v>
      </c>
      <c r="K43" s="7">
        <v>1490.8</v>
      </c>
      <c r="L43" s="1" t="s">
        <v>2347</v>
      </c>
      <c r="M43" s="2" t="s">
        <v>2364</v>
      </c>
    </row>
    <row r="44" spans="1:13" x14ac:dyDescent="0.3">
      <c r="A44" s="2" t="s">
        <v>1472</v>
      </c>
      <c r="B44" s="5">
        <v>45825</v>
      </c>
      <c r="C44" s="2" t="s">
        <v>1473</v>
      </c>
      <c r="D44" s="2" t="s">
        <v>46</v>
      </c>
      <c r="E44" s="2" t="s">
        <v>78</v>
      </c>
      <c r="F44" s="2" t="s">
        <v>40</v>
      </c>
      <c r="G44" s="2" t="s">
        <v>23</v>
      </c>
      <c r="H44" s="2">
        <v>23</v>
      </c>
      <c r="I44" s="7">
        <v>78.849999999999994</v>
      </c>
      <c r="J44" s="2">
        <v>15</v>
      </c>
      <c r="K44" s="7">
        <v>1541.52</v>
      </c>
      <c r="L44" s="2" t="s">
        <v>49</v>
      </c>
      <c r="M44" s="2" t="s">
        <v>2364</v>
      </c>
    </row>
    <row r="45" spans="1:13" x14ac:dyDescent="0.3">
      <c r="A45" s="2" t="s">
        <v>1351</v>
      </c>
      <c r="B45" s="5">
        <v>45650</v>
      </c>
      <c r="C45" s="2" t="s">
        <v>1352</v>
      </c>
      <c r="D45" s="2" t="s">
        <v>46</v>
      </c>
      <c r="E45" s="2" t="s">
        <v>47</v>
      </c>
      <c r="F45" s="2" t="s">
        <v>40</v>
      </c>
      <c r="G45" s="2" t="s">
        <v>23</v>
      </c>
      <c r="H45" s="2">
        <v>20</v>
      </c>
      <c r="I45" s="7">
        <v>77.650000000000006</v>
      </c>
      <c r="J45" s="2">
        <v>0</v>
      </c>
      <c r="K45" s="7">
        <v>1553</v>
      </c>
      <c r="L45" s="1" t="s">
        <v>2347</v>
      </c>
      <c r="M45" s="2" t="s">
        <v>2364</v>
      </c>
    </row>
    <row r="46" spans="1:13" x14ac:dyDescent="0.3">
      <c r="A46" s="2" t="s">
        <v>1694</v>
      </c>
      <c r="B46" s="5">
        <v>46280</v>
      </c>
      <c r="C46" s="2" t="s">
        <v>1695</v>
      </c>
      <c r="D46" s="2" t="s">
        <v>46</v>
      </c>
      <c r="E46" s="2" t="s">
        <v>78</v>
      </c>
      <c r="F46" s="2" t="s">
        <v>40</v>
      </c>
      <c r="G46" s="2" t="s">
        <v>23</v>
      </c>
      <c r="H46" s="2">
        <v>37</v>
      </c>
      <c r="I46" s="7">
        <v>50.9</v>
      </c>
      <c r="J46" s="2">
        <v>15</v>
      </c>
      <c r="K46" s="7">
        <v>1600.8</v>
      </c>
      <c r="L46" s="2" t="s">
        <v>49</v>
      </c>
      <c r="M46" s="2" t="s">
        <v>2364</v>
      </c>
    </row>
    <row r="47" spans="1:13" x14ac:dyDescent="0.3">
      <c r="A47" s="2" t="s">
        <v>1763</v>
      </c>
      <c r="B47" s="5">
        <v>46040</v>
      </c>
      <c r="C47" s="2" t="s">
        <v>1764</v>
      </c>
      <c r="D47" s="2" t="s">
        <v>46</v>
      </c>
      <c r="E47" s="2" t="s">
        <v>244</v>
      </c>
      <c r="F47" s="2" t="s">
        <v>40</v>
      </c>
      <c r="G47" s="2" t="s">
        <v>23</v>
      </c>
      <c r="H47" s="2">
        <v>30</v>
      </c>
      <c r="I47" s="7">
        <v>53.53</v>
      </c>
      <c r="J47" s="2">
        <v>0</v>
      </c>
      <c r="K47" s="7">
        <v>1605.9</v>
      </c>
      <c r="L47" s="2" t="s">
        <v>27</v>
      </c>
      <c r="M47" s="2" t="s">
        <v>2364</v>
      </c>
    </row>
    <row r="48" spans="1:13" x14ac:dyDescent="0.3">
      <c r="A48" s="2" t="s">
        <v>1862</v>
      </c>
      <c r="B48" s="5">
        <v>46196</v>
      </c>
      <c r="C48" s="2" t="s">
        <v>1863</v>
      </c>
      <c r="D48" s="2" t="s">
        <v>46</v>
      </c>
      <c r="E48" s="2" t="s">
        <v>47</v>
      </c>
      <c r="F48" s="2" t="s">
        <v>40</v>
      </c>
      <c r="G48" s="2" t="s">
        <v>23</v>
      </c>
      <c r="H48" s="2">
        <v>30</v>
      </c>
      <c r="I48" s="7">
        <v>66.099999999999994</v>
      </c>
      <c r="J48" s="2">
        <v>15</v>
      </c>
      <c r="K48" s="7">
        <v>1685.55</v>
      </c>
      <c r="L48" s="1" t="s">
        <v>2347</v>
      </c>
      <c r="M48" s="2" t="s">
        <v>2364</v>
      </c>
    </row>
    <row r="49" spans="1:13" x14ac:dyDescent="0.3">
      <c r="A49" s="2" t="s">
        <v>2182</v>
      </c>
      <c r="B49" s="5">
        <v>45799</v>
      </c>
      <c r="C49" s="2" t="s">
        <v>1452</v>
      </c>
      <c r="D49" s="2" t="s">
        <v>24</v>
      </c>
      <c r="E49" s="2" t="s">
        <v>36</v>
      </c>
      <c r="F49" s="2" t="s">
        <v>40</v>
      </c>
      <c r="G49" s="2" t="s">
        <v>23</v>
      </c>
      <c r="H49" s="2">
        <v>48</v>
      </c>
      <c r="I49" s="7">
        <v>36.590000000000003</v>
      </c>
      <c r="J49" s="2">
        <v>0</v>
      </c>
      <c r="K49" s="7">
        <v>1756.32</v>
      </c>
      <c r="L49" s="2" t="s">
        <v>27</v>
      </c>
      <c r="M49" s="2" t="s">
        <v>2364</v>
      </c>
    </row>
    <row r="50" spans="1:13" x14ac:dyDescent="0.3">
      <c r="A50" s="2" t="s">
        <v>1787</v>
      </c>
      <c r="B50" s="5">
        <v>46016</v>
      </c>
      <c r="C50" s="2" t="s">
        <v>1788</v>
      </c>
      <c r="D50" s="2" t="s">
        <v>16</v>
      </c>
      <c r="E50" s="2" t="s">
        <v>74</v>
      </c>
      <c r="F50" s="2" t="s">
        <v>40</v>
      </c>
      <c r="G50" s="2" t="s">
        <v>23</v>
      </c>
      <c r="H50" s="2">
        <v>41</v>
      </c>
      <c r="I50" s="7">
        <v>50.85</v>
      </c>
      <c r="J50" s="2">
        <v>10</v>
      </c>
      <c r="K50" s="7">
        <v>1876.37</v>
      </c>
      <c r="L50" s="2" t="s">
        <v>69</v>
      </c>
      <c r="M50" s="2" t="s">
        <v>2364</v>
      </c>
    </row>
    <row r="51" spans="1:13" x14ac:dyDescent="0.3">
      <c r="A51" s="2" t="s">
        <v>1965</v>
      </c>
      <c r="B51" s="5">
        <v>46117</v>
      </c>
      <c r="C51" s="2" t="s">
        <v>1966</v>
      </c>
      <c r="D51" s="2" t="s">
        <v>16</v>
      </c>
      <c r="E51" s="2" t="s">
        <v>17</v>
      </c>
      <c r="F51" s="2" t="s">
        <v>40</v>
      </c>
      <c r="G51" s="2" t="s">
        <v>23</v>
      </c>
      <c r="H51" s="2">
        <v>43</v>
      </c>
      <c r="I51" s="7">
        <v>49.27</v>
      </c>
      <c r="J51" s="2">
        <v>10</v>
      </c>
      <c r="K51" s="7">
        <v>1906.75</v>
      </c>
      <c r="L51" s="2" t="s">
        <v>27</v>
      </c>
      <c r="M51" s="2" t="s">
        <v>2364</v>
      </c>
    </row>
    <row r="52" spans="1:13" x14ac:dyDescent="0.3">
      <c r="A52" s="2" t="s">
        <v>2196</v>
      </c>
      <c r="B52" s="5">
        <v>46176</v>
      </c>
      <c r="C52" s="2" t="s">
        <v>2197</v>
      </c>
      <c r="D52" s="2" t="s">
        <v>24</v>
      </c>
      <c r="E52" s="2" t="s">
        <v>25</v>
      </c>
      <c r="F52" s="2" t="s">
        <v>40</v>
      </c>
      <c r="G52" s="2" t="s">
        <v>23</v>
      </c>
      <c r="H52" s="2">
        <v>32</v>
      </c>
      <c r="I52" s="7">
        <v>65.02</v>
      </c>
      <c r="J52" s="2">
        <v>5</v>
      </c>
      <c r="K52" s="7">
        <v>1976.61</v>
      </c>
      <c r="L52" s="2" t="s">
        <v>69</v>
      </c>
      <c r="M52" s="2" t="s">
        <v>2364</v>
      </c>
    </row>
    <row r="53" spans="1:13" x14ac:dyDescent="0.3">
      <c r="A53" s="2" t="s">
        <v>199</v>
      </c>
      <c r="B53" s="5">
        <v>45897</v>
      </c>
      <c r="C53" s="2" t="s">
        <v>200</v>
      </c>
      <c r="D53" s="2" t="s">
        <v>24</v>
      </c>
      <c r="E53" s="2" t="s">
        <v>59</v>
      </c>
      <c r="F53" s="2" t="s">
        <v>40</v>
      </c>
      <c r="G53" s="2" t="s">
        <v>23</v>
      </c>
      <c r="H53" s="2">
        <v>44</v>
      </c>
      <c r="I53" s="7">
        <v>47.86</v>
      </c>
      <c r="J53" s="2">
        <v>0</v>
      </c>
      <c r="K53" s="7">
        <v>2105.84</v>
      </c>
      <c r="L53" s="2" t="s">
        <v>31</v>
      </c>
      <c r="M53" s="2" t="s">
        <v>2365</v>
      </c>
    </row>
    <row r="54" spans="1:13" x14ac:dyDescent="0.3">
      <c r="A54" s="2" t="s">
        <v>582</v>
      </c>
      <c r="B54" s="5">
        <v>45811</v>
      </c>
      <c r="C54" s="2" t="s">
        <v>583</v>
      </c>
      <c r="D54" s="2" t="s">
        <v>53</v>
      </c>
      <c r="E54" s="2" t="s">
        <v>141</v>
      </c>
      <c r="F54" s="2" t="s">
        <v>40</v>
      </c>
      <c r="G54" s="2" t="s">
        <v>23</v>
      </c>
      <c r="H54" s="2">
        <v>28</v>
      </c>
      <c r="I54" s="7">
        <v>79.739999999999995</v>
      </c>
      <c r="J54" s="2">
        <v>5</v>
      </c>
      <c r="K54" s="7">
        <v>2121.08</v>
      </c>
      <c r="L54" s="2" t="s">
        <v>31</v>
      </c>
      <c r="M54" s="2" t="s">
        <v>2364</v>
      </c>
    </row>
    <row r="55" spans="1:13" x14ac:dyDescent="0.3">
      <c r="A55" s="2" t="s">
        <v>727</v>
      </c>
      <c r="B55" s="5">
        <v>45752</v>
      </c>
      <c r="C55" s="2" t="s">
        <v>728</v>
      </c>
      <c r="D55" s="2" t="s">
        <v>46</v>
      </c>
      <c r="E55" s="2" t="s">
        <v>83</v>
      </c>
      <c r="F55" s="2" t="s">
        <v>40</v>
      </c>
      <c r="G55" s="2" t="s">
        <v>23</v>
      </c>
      <c r="H55" s="2">
        <v>33</v>
      </c>
      <c r="I55" s="7">
        <v>73.66</v>
      </c>
      <c r="J55" s="2">
        <v>10</v>
      </c>
      <c r="K55" s="7">
        <v>2187.6999999999998</v>
      </c>
      <c r="L55" s="2" t="s">
        <v>69</v>
      </c>
      <c r="M55" s="2" t="s">
        <v>2364</v>
      </c>
    </row>
    <row r="56" spans="1:13" x14ac:dyDescent="0.3">
      <c r="A56" s="2" t="s">
        <v>2078</v>
      </c>
      <c r="B56" s="5">
        <v>46151</v>
      </c>
      <c r="C56" s="2" t="s">
        <v>665</v>
      </c>
      <c r="D56" s="2" t="s">
        <v>53</v>
      </c>
      <c r="E56" s="2" t="s">
        <v>54</v>
      </c>
      <c r="F56" s="2" t="s">
        <v>40</v>
      </c>
      <c r="G56" s="2" t="s">
        <v>23</v>
      </c>
      <c r="H56" s="2">
        <v>46</v>
      </c>
      <c r="I56" s="7">
        <v>47.95</v>
      </c>
      <c r="J56" s="2">
        <v>0</v>
      </c>
      <c r="K56" s="7">
        <v>2205.6999999999998</v>
      </c>
      <c r="L56" s="2" t="s">
        <v>49</v>
      </c>
      <c r="M56" s="2" t="s">
        <v>2364</v>
      </c>
    </row>
    <row r="57" spans="1:13" x14ac:dyDescent="0.3">
      <c r="A57" s="2" t="s">
        <v>350</v>
      </c>
      <c r="B57" s="5">
        <v>46096</v>
      </c>
      <c r="C57" s="2" t="s">
        <v>351</v>
      </c>
      <c r="D57" s="2" t="s">
        <v>53</v>
      </c>
      <c r="E57" s="2" t="s">
        <v>170</v>
      </c>
      <c r="F57" s="2" t="s">
        <v>40</v>
      </c>
      <c r="G57" s="2" t="s">
        <v>23</v>
      </c>
      <c r="H57" s="2">
        <v>34</v>
      </c>
      <c r="I57" s="7">
        <v>69.430000000000007</v>
      </c>
      <c r="J57" s="2">
        <v>0</v>
      </c>
      <c r="K57" s="7">
        <v>2360.62</v>
      </c>
      <c r="L57" s="2" t="s">
        <v>49</v>
      </c>
      <c r="M57" s="2" t="s">
        <v>2365</v>
      </c>
    </row>
    <row r="58" spans="1:13" x14ac:dyDescent="0.3">
      <c r="A58" s="2" t="s">
        <v>1881</v>
      </c>
      <c r="B58" s="5">
        <v>46061</v>
      </c>
      <c r="C58" s="2" t="s">
        <v>719</v>
      </c>
      <c r="D58" s="2" t="s">
        <v>16</v>
      </c>
      <c r="E58" s="2" t="s">
        <v>111</v>
      </c>
      <c r="F58" s="2" t="s">
        <v>40</v>
      </c>
      <c r="G58" s="2" t="s">
        <v>23</v>
      </c>
      <c r="H58" s="2">
        <v>50</v>
      </c>
      <c r="I58" s="7">
        <v>48.25</v>
      </c>
      <c r="J58" s="2">
        <v>0</v>
      </c>
      <c r="K58" s="7">
        <v>2412.5</v>
      </c>
      <c r="L58" s="1" t="s">
        <v>2347</v>
      </c>
      <c r="M58" s="2" t="s">
        <v>2365</v>
      </c>
    </row>
    <row r="59" spans="1:13" x14ac:dyDescent="0.3">
      <c r="A59" s="2" t="s">
        <v>668</v>
      </c>
      <c r="B59" s="5">
        <v>46055</v>
      </c>
      <c r="C59" s="2" t="s">
        <v>669</v>
      </c>
      <c r="D59" s="2" t="s">
        <v>53</v>
      </c>
      <c r="E59" s="2" t="s">
        <v>67</v>
      </c>
      <c r="F59" s="2" t="s">
        <v>40</v>
      </c>
      <c r="G59" s="2" t="s">
        <v>23</v>
      </c>
      <c r="H59" s="2">
        <v>42</v>
      </c>
      <c r="I59" s="7">
        <v>65.62</v>
      </c>
      <c r="J59" s="2">
        <v>10</v>
      </c>
      <c r="K59" s="7">
        <v>2480.44</v>
      </c>
      <c r="L59" s="2" t="s">
        <v>27</v>
      </c>
      <c r="M59" s="2" t="s">
        <v>2365</v>
      </c>
    </row>
    <row r="60" spans="1:13" x14ac:dyDescent="0.3">
      <c r="A60" s="2" t="s">
        <v>2044</v>
      </c>
      <c r="B60" s="5">
        <v>46103</v>
      </c>
      <c r="C60" s="2" t="s">
        <v>1877</v>
      </c>
      <c r="D60" s="2" t="s">
        <v>24</v>
      </c>
      <c r="E60" s="2" t="s">
        <v>36</v>
      </c>
      <c r="F60" s="2" t="s">
        <v>40</v>
      </c>
      <c r="G60" s="2" t="s">
        <v>23</v>
      </c>
      <c r="H60" s="2">
        <v>47</v>
      </c>
      <c r="I60" s="7">
        <v>66.36</v>
      </c>
      <c r="J60" s="2">
        <v>20</v>
      </c>
      <c r="K60" s="7">
        <v>2495.14</v>
      </c>
      <c r="L60" s="2" t="s">
        <v>49</v>
      </c>
      <c r="M60" s="2" t="s">
        <v>2364</v>
      </c>
    </row>
    <row r="61" spans="1:13" x14ac:dyDescent="0.3">
      <c r="A61" s="2" t="s">
        <v>1074</v>
      </c>
      <c r="B61" s="5">
        <v>45650</v>
      </c>
      <c r="C61" s="2" t="s">
        <v>1075</v>
      </c>
      <c r="D61" s="2" t="s">
        <v>53</v>
      </c>
      <c r="E61" s="2" t="s">
        <v>134</v>
      </c>
      <c r="F61" s="2" t="s">
        <v>40</v>
      </c>
      <c r="G61" s="2" t="s">
        <v>23</v>
      </c>
      <c r="H61" s="2">
        <v>40</v>
      </c>
      <c r="I61" s="7">
        <v>63.91</v>
      </c>
      <c r="J61" s="2">
        <v>0</v>
      </c>
      <c r="K61" s="7">
        <v>2556.4</v>
      </c>
      <c r="L61" s="2" t="s">
        <v>27</v>
      </c>
      <c r="M61" s="2" t="s">
        <v>2364</v>
      </c>
    </row>
    <row r="62" spans="1:13" x14ac:dyDescent="0.3">
      <c r="A62" s="2" t="s">
        <v>1491</v>
      </c>
      <c r="B62" s="5">
        <v>45626</v>
      </c>
      <c r="C62" s="2" t="s">
        <v>1492</v>
      </c>
      <c r="D62" s="2" t="s">
        <v>53</v>
      </c>
      <c r="E62" s="2" t="s">
        <v>170</v>
      </c>
      <c r="F62" s="2" t="s">
        <v>40</v>
      </c>
      <c r="G62" s="2" t="s">
        <v>23</v>
      </c>
      <c r="H62" s="2">
        <v>42</v>
      </c>
      <c r="I62" s="7">
        <v>74.81</v>
      </c>
      <c r="J62" s="2">
        <v>10</v>
      </c>
      <c r="K62" s="7">
        <v>2827.82</v>
      </c>
      <c r="L62" s="2" t="s">
        <v>27</v>
      </c>
      <c r="M62" s="2" t="s">
        <v>2365</v>
      </c>
    </row>
    <row r="63" spans="1:13" x14ac:dyDescent="0.3">
      <c r="A63" s="2" t="s">
        <v>2320</v>
      </c>
      <c r="B63" s="5">
        <v>46282</v>
      </c>
      <c r="C63" s="2" t="s">
        <v>1610</v>
      </c>
      <c r="D63" s="2" t="s">
        <v>24</v>
      </c>
      <c r="E63" s="2" t="s">
        <v>41</v>
      </c>
      <c r="F63" s="2" t="s">
        <v>40</v>
      </c>
      <c r="G63" s="2" t="s">
        <v>23</v>
      </c>
      <c r="H63" s="2">
        <v>44</v>
      </c>
      <c r="I63" s="7">
        <v>65.02</v>
      </c>
      <c r="J63" s="2">
        <v>0</v>
      </c>
      <c r="K63" s="7">
        <v>2860.88</v>
      </c>
      <c r="L63" s="2" t="s">
        <v>31</v>
      </c>
      <c r="M63" s="2" t="s">
        <v>2365</v>
      </c>
    </row>
    <row r="64" spans="1:13" x14ac:dyDescent="0.3">
      <c r="A64" s="2" t="s">
        <v>2129</v>
      </c>
      <c r="B64" s="5">
        <v>45945</v>
      </c>
      <c r="C64" s="2" t="s">
        <v>2130</v>
      </c>
      <c r="D64" s="2" t="s">
        <v>24</v>
      </c>
      <c r="E64" s="2" t="s">
        <v>104</v>
      </c>
      <c r="F64" s="2" t="s">
        <v>40</v>
      </c>
      <c r="G64" s="2" t="s">
        <v>23</v>
      </c>
      <c r="H64" s="2">
        <v>44</v>
      </c>
      <c r="I64" s="7">
        <v>78.42</v>
      </c>
      <c r="J64" s="2">
        <v>5</v>
      </c>
      <c r="K64" s="7">
        <v>3277.96</v>
      </c>
      <c r="L64" s="2" t="s">
        <v>49</v>
      </c>
      <c r="M64" s="2" t="s">
        <v>2364</v>
      </c>
    </row>
    <row r="65" spans="1:13" x14ac:dyDescent="0.3">
      <c r="A65" s="2" t="s">
        <v>918</v>
      </c>
      <c r="B65" s="5">
        <v>45936</v>
      </c>
      <c r="C65" s="2" t="s">
        <v>919</v>
      </c>
      <c r="D65" s="2" t="s">
        <v>46</v>
      </c>
      <c r="E65" s="2" t="s">
        <v>244</v>
      </c>
      <c r="F65" s="2" t="s">
        <v>40</v>
      </c>
      <c r="G65" s="2" t="s">
        <v>23</v>
      </c>
      <c r="H65" s="2">
        <v>46</v>
      </c>
      <c r="I65" s="7">
        <v>79.64</v>
      </c>
      <c r="J65" s="2">
        <v>10</v>
      </c>
      <c r="K65" s="7">
        <v>3297.1</v>
      </c>
      <c r="L65" s="2" t="s">
        <v>27</v>
      </c>
      <c r="M65" s="2" t="s">
        <v>2365</v>
      </c>
    </row>
    <row r="66" spans="1:13" x14ac:dyDescent="0.3">
      <c r="A66" s="2" t="s">
        <v>1329</v>
      </c>
      <c r="B66" s="5">
        <v>46151</v>
      </c>
      <c r="C66" s="2" t="s">
        <v>1330</v>
      </c>
      <c r="D66" s="2" t="s">
        <v>53</v>
      </c>
      <c r="E66" s="2" t="s">
        <v>134</v>
      </c>
      <c r="F66" s="2" t="s">
        <v>99</v>
      </c>
      <c r="G66" s="2" t="s">
        <v>23</v>
      </c>
      <c r="H66" s="2">
        <v>1</v>
      </c>
      <c r="I66" s="7">
        <v>19.72</v>
      </c>
      <c r="J66" s="2">
        <v>0</v>
      </c>
      <c r="K66" s="7">
        <v>19.72</v>
      </c>
      <c r="L66" s="2" t="s">
        <v>31</v>
      </c>
      <c r="M66" s="2" t="s">
        <v>2365</v>
      </c>
    </row>
    <row r="67" spans="1:13" x14ac:dyDescent="0.3">
      <c r="A67" s="2" t="s">
        <v>355</v>
      </c>
      <c r="B67" s="5">
        <v>46114</v>
      </c>
      <c r="C67" s="2" t="s">
        <v>356</v>
      </c>
      <c r="D67" s="2" t="s">
        <v>53</v>
      </c>
      <c r="E67" s="2" t="s">
        <v>67</v>
      </c>
      <c r="F67" s="2" t="s">
        <v>99</v>
      </c>
      <c r="G67" s="2" t="s">
        <v>23</v>
      </c>
      <c r="H67" s="2">
        <v>2</v>
      </c>
      <c r="I67" s="7">
        <v>13.86</v>
      </c>
      <c r="J67" s="2">
        <v>5</v>
      </c>
      <c r="K67" s="7">
        <v>26.33</v>
      </c>
      <c r="L67" s="2" t="s">
        <v>49</v>
      </c>
      <c r="M67" s="2" t="s">
        <v>2364</v>
      </c>
    </row>
    <row r="68" spans="1:13" x14ac:dyDescent="0.3">
      <c r="A68" s="2" t="s">
        <v>1563</v>
      </c>
      <c r="B68" s="5">
        <v>45986</v>
      </c>
      <c r="C68" s="2" t="s">
        <v>1564</v>
      </c>
      <c r="D68" s="2" t="s">
        <v>16</v>
      </c>
      <c r="E68" s="2" t="s">
        <v>160</v>
      </c>
      <c r="F68" s="2" t="s">
        <v>99</v>
      </c>
      <c r="G68" s="2" t="s">
        <v>23</v>
      </c>
      <c r="H68" s="2">
        <v>2</v>
      </c>
      <c r="I68" s="7">
        <v>13.26</v>
      </c>
      <c r="J68" s="2">
        <v>0</v>
      </c>
      <c r="K68" s="7">
        <v>26.52</v>
      </c>
      <c r="L68" s="2" t="s">
        <v>49</v>
      </c>
      <c r="M68" s="2" t="s">
        <v>2365</v>
      </c>
    </row>
    <row r="69" spans="1:13" x14ac:dyDescent="0.3">
      <c r="A69" s="2" t="s">
        <v>843</v>
      </c>
      <c r="B69" s="5">
        <v>45930</v>
      </c>
      <c r="C69" s="2" t="s">
        <v>844</v>
      </c>
      <c r="D69" s="2" t="s">
        <v>46</v>
      </c>
      <c r="E69" s="2" t="s">
        <v>244</v>
      </c>
      <c r="F69" s="2" t="s">
        <v>99</v>
      </c>
      <c r="G69" s="2" t="s">
        <v>23</v>
      </c>
      <c r="H69" s="2">
        <v>1</v>
      </c>
      <c r="I69" s="7">
        <v>27.9</v>
      </c>
      <c r="J69" s="2">
        <v>0</v>
      </c>
      <c r="K69" s="7">
        <v>27.9</v>
      </c>
      <c r="L69" s="2" t="s">
        <v>31</v>
      </c>
      <c r="M69" s="2" t="s">
        <v>2364</v>
      </c>
    </row>
    <row r="70" spans="1:13" x14ac:dyDescent="0.3">
      <c r="A70" s="2" t="s">
        <v>878</v>
      </c>
      <c r="B70" s="5">
        <v>45754</v>
      </c>
      <c r="C70" s="2" t="s">
        <v>879</v>
      </c>
      <c r="D70" s="2" t="s">
        <v>24</v>
      </c>
      <c r="E70" s="2" t="s">
        <v>41</v>
      </c>
      <c r="F70" s="2" t="s">
        <v>99</v>
      </c>
      <c r="G70" s="2" t="s">
        <v>23</v>
      </c>
      <c r="H70" s="2">
        <v>6</v>
      </c>
      <c r="I70" s="7">
        <v>12.3</v>
      </c>
      <c r="J70" s="2">
        <v>15</v>
      </c>
      <c r="K70" s="7">
        <v>62.73</v>
      </c>
      <c r="L70" s="2" t="s">
        <v>69</v>
      </c>
      <c r="M70" s="2" t="s">
        <v>2365</v>
      </c>
    </row>
    <row r="71" spans="1:13" x14ac:dyDescent="0.3">
      <c r="A71" s="2" t="s">
        <v>1145</v>
      </c>
      <c r="B71" s="5">
        <v>45949</v>
      </c>
      <c r="C71" s="2" t="s">
        <v>1146</v>
      </c>
      <c r="D71" s="2" t="s">
        <v>53</v>
      </c>
      <c r="E71" s="2" t="s">
        <v>170</v>
      </c>
      <c r="F71" s="2" t="s">
        <v>99</v>
      </c>
      <c r="G71" s="2" t="s">
        <v>23</v>
      </c>
      <c r="H71" s="2">
        <v>6</v>
      </c>
      <c r="I71" s="7">
        <v>11.87</v>
      </c>
      <c r="J71" s="2">
        <v>10</v>
      </c>
      <c r="K71" s="7">
        <v>64.099999999999994</v>
      </c>
      <c r="L71" s="2" t="s">
        <v>31</v>
      </c>
      <c r="M71" s="2" t="s">
        <v>2364</v>
      </c>
    </row>
    <row r="72" spans="1:13" x14ac:dyDescent="0.3">
      <c r="A72" s="2" t="s">
        <v>2024</v>
      </c>
      <c r="B72" s="5">
        <v>45957</v>
      </c>
      <c r="C72" s="2" t="s">
        <v>2025</v>
      </c>
      <c r="D72" s="2" t="s">
        <v>16</v>
      </c>
      <c r="E72" s="2" t="s">
        <v>111</v>
      </c>
      <c r="F72" s="2" t="s">
        <v>99</v>
      </c>
      <c r="G72" s="2" t="s">
        <v>23</v>
      </c>
      <c r="H72" s="2">
        <v>7</v>
      </c>
      <c r="I72" s="7">
        <v>10.52</v>
      </c>
      <c r="J72" s="2">
        <v>0</v>
      </c>
      <c r="K72" s="7">
        <v>73.64</v>
      </c>
      <c r="L72" s="2" t="s">
        <v>31</v>
      </c>
      <c r="M72" s="2" t="s">
        <v>2365</v>
      </c>
    </row>
    <row r="73" spans="1:13" x14ac:dyDescent="0.3">
      <c r="A73" s="2" t="s">
        <v>1060</v>
      </c>
      <c r="B73" s="5">
        <v>45938</v>
      </c>
      <c r="C73" s="2" t="s">
        <v>1061</v>
      </c>
      <c r="D73" s="2" t="s">
        <v>46</v>
      </c>
      <c r="E73" s="2" t="s">
        <v>124</v>
      </c>
      <c r="F73" s="2" t="s">
        <v>99</v>
      </c>
      <c r="G73" s="2" t="s">
        <v>23</v>
      </c>
      <c r="H73" s="2">
        <v>10</v>
      </c>
      <c r="I73" s="7">
        <v>10.220000000000001</v>
      </c>
      <c r="J73" s="2">
        <v>20</v>
      </c>
      <c r="K73" s="7">
        <v>81.760000000000005</v>
      </c>
      <c r="L73" s="2" t="s">
        <v>49</v>
      </c>
      <c r="M73" s="2" t="s">
        <v>2364</v>
      </c>
    </row>
    <row r="74" spans="1:13" x14ac:dyDescent="0.3">
      <c r="A74" s="2" t="s">
        <v>1223</v>
      </c>
      <c r="B74" s="5">
        <v>46293</v>
      </c>
      <c r="C74" s="2" t="s">
        <v>713</v>
      </c>
      <c r="D74" s="2" t="s">
        <v>24</v>
      </c>
      <c r="E74" s="2" t="s">
        <v>36</v>
      </c>
      <c r="F74" s="2" t="s">
        <v>99</v>
      </c>
      <c r="G74" s="2" t="s">
        <v>23</v>
      </c>
      <c r="H74" s="2">
        <v>7</v>
      </c>
      <c r="I74" s="7">
        <v>13.46</v>
      </c>
      <c r="J74" s="2">
        <v>10</v>
      </c>
      <c r="K74" s="7">
        <v>84.8</v>
      </c>
      <c r="L74" s="2" t="s">
        <v>31</v>
      </c>
      <c r="M74" s="2" t="s">
        <v>2364</v>
      </c>
    </row>
    <row r="75" spans="1:13" x14ac:dyDescent="0.3">
      <c r="A75" s="2" t="s">
        <v>1225</v>
      </c>
      <c r="B75" s="5">
        <v>45737</v>
      </c>
      <c r="C75" s="2" t="s">
        <v>865</v>
      </c>
      <c r="D75" s="2" t="s">
        <v>16</v>
      </c>
      <c r="E75" s="2" t="s">
        <v>160</v>
      </c>
      <c r="F75" s="2" t="s">
        <v>99</v>
      </c>
      <c r="G75" s="2" t="s">
        <v>23</v>
      </c>
      <c r="H75" s="2">
        <v>6</v>
      </c>
      <c r="I75" s="7">
        <v>16.670000000000002</v>
      </c>
      <c r="J75" s="2">
        <v>5</v>
      </c>
      <c r="K75" s="7">
        <v>95.02</v>
      </c>
      <c r="L75" s="2" t="s">
        <v>69</v>
      </c>
      <c r="M75" s="2" t="s">
        <v>2364</v>
      </c>
    </row>
    <row r="76" spans="1:13" x14ac:dyDescent="0.3">
      <c r="A76" s="2" t="s">
        <v>381</v>
      </c>
      <c r="B76" s="5">
        <v>45886</v>
      </c>
      <c r="C76" s="2" t="s">
        <v>382</v>
      </c>
      <c r="D76" s="2" t="s">
        <v>53</v>
      </c>
      <c r="E76" s="2" t="s">
        <v>170</v>
      </c>
      <c r="F76" s="2" t="s">
        <v>99</v>
      </c>
      <c r="G76" s="2" t="s">
        <v>23</v>
      </c>
      <c r="H76" s="2">
        <v>7</v>
      </c>
      <c r="I76" s="7">
        <v>14.78</v>
      </c>
      <c r="J76" s="2">
        <v>5</v>
      </c>
      <c r="K76" s="7">
        <v>98.29</v>
      </c>
      <c r="L76" s="2" t="s">
        <v>27</v>
      </c>
      <c r="M76" s="2" t="s">
        <v>2364</v>
      </c>
    </row>
    <row r="77" spans="1:13" x14ac:dyDescent="0.3">
      <c r="A77" s="2" t="s">
        <v>489</v>
      </c>
      <c r="B77" s="5">
        <v>45705</v>
      </c>
      <c r="C77" s="2" t="s">
        <v>490</v>
      </c>
      <c r="D77" s="2" t="s">
        <v>24</v>
      </c>
      <c r="E77" s="2" t="s">
        <v>104</v>
      </c>
      <c r="F77" s="2" t="s">
        <v>99</v>
      </c>
      <c r="G77" s="2" t="s">
        <v>23</v>
      </c>
      <c r="H77" s="2">
        <v>4</v>
      </c>
      <c r="I77" s="7">
        <v>29.84</v>
      </c>
      <c r="J77" s="2">
        <v>5</v>
      </c>
      <c r="K77" s="7">
        <v>113.39</v>
      </c>
      <c r="L77" s="2" t="s">
        <v>31</v>
      </c>
      <c r="M77" s="2" t="s">
        <v>2364</v>
      </c>
    </row>
    <row r="78" spans="1:13" x14ac:dyDescent="0.3">
      <c r="A78" s="2" t="s">
        <v>557</v>
      </c>
      <c r="B78" s="5">
        <v>46229</v>
      </c>
      <c r="C78" s="2" t="s">
        <v>558</v>
      </c>
      <c r="D78" s="2" t="s">
        <v>16</v>
      </c>
      <c r="E78" s="2" t="s">
        <v>111</v>
      </c>
      <c r="F78" s="2" t="s">
        <v>99</v>
      </c>
      <c r="G78" s="2" t="s">
        <v>23</v>
      </c>
      <c r="H78" s="2">
        <v>5</v>
      </c>
      <c r="I78" s="7">
        <v>27.27</v>
      </c>
      <c r="J78" s="2">
        <v>15</v>
      </c>
      <c r="K78" s="7">
        <v>115.9</v>
      </c>
      <c r="L78" s="2" t="s">
        <v>49</v>
      </c>
      <c r="M78" s="2" t="s">
        <v>2365</v>
      </c>
    </row>
    <row r="79" spans="1:13" x14ac:dyDescent="0.3">
      <c r="A79" s="2" t="s">
        <v>1203</v>
      </c>
      <c r="B79" s="5">
        <v>45788</v>
      </c>
      <c r="C79" s="2" t="s">
        <v>336</v>
      </c>
      <c r="D79" s="2" t="s">
        <v>16</v>
      </c>
      <c r="E79" s="2" t="s">
        <v>17</v>
      </c>
      <c r="F79" s="2" t="s">
        <v>99</v>
      </c>
      <c r="G79" s="2" t="s">
        <v>23</v>
      </c>
      <c r="H79" s="2">
        <v>15</v>
      </c>
      <c r="I79" s="7">
        <v>11.21</v>
      </c>
      <c r="J79" s="2">
        <v>15</v>
      </c>
      <c r="K79" s="7">
        <v>142.93</v>
      </c>
      <c r="L79" s="2" t="s">
        <v>31</v>
      </c>
      <c r="M79" s="2" t="s">
        <v>2364</v>
      </c>
    </row>
    <row r="80" spans="1:13" x14ac:dyDescent="0.3">
      <c r="A80" s="2" t="s">
        <v>393</v>
      </c>
      <c r="B80" s="5">
        <v>46008</v>
      </c>
      <c r="C80" s="2" t="s">
        <v>394</v>
      </c>
      <c r="D80" s="2" t="s">
        <v>46</v>
      </c>
      <c r="E80" s="2" t="s">
        <v>124</v>
      </c>
      <c r="F80" s="2" t="s">
        <v>99</v>
      </c>
      <c r="G80" s="2" t="s">
        <v>23</v>
      </c>
      <c r="H80" s="2">
        <v>15</v>
      </c>
      <c r="I80" s="7">
        <v>14.91</v>
      </c>
      <c r="J80" s="2">
        <v>5</v>
      </c>
      <c r="K80" s="7">
        <v>212.47</v>
      </c>
      <c r="L80" s="2" t="s">
        <v>31</v>
      </c>
      <c r="M80" s="2" t="s">
        <v>2364</v>
      </c>
    </row>
    <row r="81" spans="1:13" x14ac:dyDescent="0.3">
      <c r="A81" s="2" t="s">
        <v>1028</v>
      </c>
      <c r="B81" s="5">
        <v>46262</v>
      </c>
      <c r="C81" s="2" t="s">
        <v>773</v>
      </c>
      <c r="D81" s="2" t="s">
        <v>46</v>
      </c>
      <c r="E81" s="2" t="s">
        <v>78</v>
      </c>
      <c r="F81" s="2" t="s">
        <v>99</v>
      </c>
      <c r="G81" s="2" t="s">
        <v>23</v>
      </c>
      <c r="H81" s="2">
        <v>9</v>
      </c>
      <c r="I81" s="7">
        <v>23.71</v>
      </c>
      <c r="J81" s="2">
        <v>0</v>
      </c>
      <c r="K81" s="7">
        <v>213.39</v>
      </c>
      <c r="L81" s="2" t="s">
        <v>31</v>
      </c>
      <c r="M81" s="2" t="s">
        <v>2364</v>
      </c>
    </row>
    <row r="82" spans="1:13" x14ac:dyDescent="0.3">
      <c r="A82" s="2" t="s">
        <v>620</v>
      </c>
      <c r="B82" s="5">
        <v>46273</v>
      </c>
      <c r="C82" s="2" t="s">
        <v>621</v>
      </c>
      <c r="D82" s="2" t="s">
        <v>24</v>
      </c>
      <c r="E82" s="2" t="s">
        <v>25</v>
      </c>
      <c r="F82" s="2" t="s">
        <v>99</v>
      </c>
      <c r="G82" s="2" t="s">
        <v>23</v>
      </c>
      <c r="H82" s="2">
        <v>12</v>
      </c>
      <c r="I82" s="7">
        <v>19.43</v>
      </c>
      <c r="J82" s="2">
        <v>5</v>
      </c>
      <c r="K82" s="7">
        <v>221.5</v>
      </c>
      <c r="L82" s="2" t="s">
        <v>31</v>
      </c>
      <c r="M82" s="2" t="s">
        <v>2365</v>
      </c>
    </row>
    <row r="83" spans="1:13" x14ac:dyDescent="0.3">
      <c r="A83" s="2" t="s">
        <v>2304</v>
      </c>
      <c r="B83" s="5">
        <v>46033</v>
      </c>
      <c r="C83" s="2" t="s">
        <v>991</v>
      </c>
      <c r="D83" s="2" t="s">
        <v>16</v>
      </c>
      <c r="E83" s="2" t="s">
        <v>74</v>
      </c>
      <c r="F83" s="2" t="s">
        <v>99</v>
      </c>
      <c r="G83" s="2" t="s">
        <v>23</v>
      </c>
      <c r="H83" s="2">
        <v>14</v>
      </c>
      <c r="I83" s="7">
        <v>18.760000000000002</v>
      </c>
      <c r="J83" s="2">
        <v>15</v>
      </c>
      <c r="K83" s="7">
        <v>223.24</v>
      </c>
      <c r="L83" s="2" t="s">
        <v>69</v>
      </c>
      <c r="M83" s="2" t="s">
        <v>2364</v>
      </c>
    </row>
    <row r="84" spans="1:13" x14ac:dyDescent="0.3">
      <c r="A84" s="2" t="s">
        <v>894</v>
      </c>
      <c r="B84" s="5">
        <v>45879</v>
      </c>
      <c r="C84" s="2" t="s">
        <v>895</v>
      </c>
      <c r="D84" s="2" t="s">
        <v>46</v>
      </c>
      <c r="E84" s="2" t="s">
        <v>124</v>
      </c>
      <c r="F84" s="2" t="s">
        <v>99</v>
      </c>
      <c r="G84" s="2" t="s">
        <v>23</v>
      </c>
      <c r="H84" s="2">
        <v>25</v>
      </c>
      <c r="I84" s="7">
        <v>11.94</v>
      </c>
      <c r="J84" s="2">
        <v>0</v>
      </c>
      <c r="K84" s="7">
        <v>298.5</v>
      </c>
      <c r="L84" s="2" t="s">
        <v>31</v>
      </c>
      <c r="M84" s="2" t="s">
        <v>2364</v>
      </c>
    </row>
    <row r="85" spans="1:13" x14ac:dyDescent="0.3">
      <c r="A85" s="2" t="s">
        <v>696</v>
      </c>
      <c r="B85" s="5">
        <v>45939</v>
      </c>
      <c r="C85" s="2" t="s">
        <v>697</v>
      </c>
      <c r="D85" s="2" t="s">
        <v>53</v>
      </c>
      <c r="E85" s="2" t="s">
        <v>54</v>
      </c>
      <c r="F85" s="2" t="s">
        <v>99</v>
      </c>
      <c r="G85" s="2" t="s">
        <v>23</v>
      </c>
      <c r="H85" s="2">
        <v>15</v>
      </c>
      <c r="I85" s="7">
        <v>21.06</v>
      </c>
      <c r="J85" s="2">
        <v>5</v>
      </c>
      <c r="K85" s="7">
        <v>300.10000000000002</v>
      </c>
      <c r="L85" s="2" t="s">
        <v>27</v>
      </c>
      <c r="M85" s="2" t="s">
        <v>2364</v>
      </c>
    </row>
    <row r="86" spans="1:13" x14ac:dyDescent="0.3">
      <c r="A86" s="2" t="s">
        <v>612</v>
      </c>
      <c r="B86" s="5">
        <v>46075</v>
      </c>
      <c r="C86" s="2" t="s">
        <v>273</v>
      </c>
      <c r="D86" s="2" t="s">
        <v>46</v>
      </c>
      <c r="E86" s="2" t="s">
        <v>244</v>
      </c>
      <c r="F86" s="2" t="s">
        <v>99</v>
      </c>
      <c r="G86" s="2" t="s">
        <v>23</v>
      </c>
      <c r="H86" s="2">
        <v>14</v>
      </c>
      <c r="I86" s="7">
        <v>24.9</v>
      </c>
      <c r="J86" s="2">
        <v>5</v>
      </c>
      <c r="K86" s="7">
        <v>331.17</v>
      </c>
      <c r="L86" s="2" t="s">
        <v>49</v>
      </c>
      <c r="M86" s="2" t="s">
        <v>2364</v>
      </c>
    </row>
    <row r="87" spans="1:13" x14ac:dyDescent="0.3">
      <c r="A87" s="2" t="s">
        <v>1480</v>
      </c>
      <c r="B87" s="5">
        <v>45710</v>
      </c>
      <c r="C87" s="2" t="s">
        <v>1481</v>
      </c>
      <c r="D87" s="2" t="s">
        <v>53</v>
      </c>
      <c r="E87" s="2" t="s">
        <v>67</v>
      </c>
      <c r="F87" s="2" t="s">
        <v>99</v>
      </c>
      <c r="G87" s="2" t="s">
        <v>23</v>
      </c>
      <c r="H87" s="2">
        <v>38</v>
      </c>
      <c r="I87" s="7">
        <v>10.97</v>
      </c>
      <c r="J87" s="2">
        <v>20</v>
      </c>
      <c r="K87" s="7">
        <v>333.49</v>
      </c>
      <c r="L87" s="2" t="s">
        <v>31</v>
      </c>
      <c r="M87" s="2" t="s">
        <v>2364</v>
      </c>
    </row>
    <row r="88" spans="1:13" x14ac:dyDescent="0.3">
      <c r="A88" s="2" t="s">
        <v>1827</v>
      </c>
      <c r="B88" s="5">
        <v>45732</v>
      </c>
      <c r="C88" s="2" t="s">
        <v>362</v>
      </c>
      <c r="D88" s="2" t="s">
        <v>46</v>
      </c>
      <c r="E88" s="2" t="s">
        <v>78</v>
      </c>
      <c r="F88" s="2" t="s">
        <v>99</v>
      </c>
      <c r="G88" s="2" t="s">
        <v>23</v>
      </c>
      <c r="H88" s="2">
        <v>23</v>
      </c>
      <c r="I88" s="7">
        <v>19.600000000000001</v>
      </c>
      <c r="J88" s="2">
        <v>5</v>
      </c>
      <c r="K88" s="7">
        <v>428.26</v>
      </c>
      <c r="L88" s="1" t="s">
        <v>2347</v>
      </c>
      <c r="M88" s="2" t="s">
        <v>2364</v>
      </c>
    </row>
    <row r="89" spans="1:13" x14ac:dyDescent="0.3">
      <c r="A89" s="2" t="s">
        <v>1614</v>
      </c>
      <c r="B89" s="5">
        <v>46087</v>
      </c>
      <c r="C89" s="2" t="s">
        <v>1615</v>
      </c>
      <c r="D89" s="2" t="s">
        <v>24</v>
      </c>
      <c r="E89" s="2" t="s">
        <v>36</v>
      </c>
      <c r="F89" s="2" t="s">
        <v>99</v>
      </c>
      <c r="G89" s="2" t="s">
        <v>23</v>
      </c>
      <c r="H89" s="2">
        <v>43</v>
      </c>
      <c r="I89" s="7">
        <v>12.53</v>
      </c>
      <c r="J89" s="2">
        <v>20</v>
      </c>
      <c r="K89" s="7">
        <v>431.03</v>
      </c>
      <c r="L89" s="2" t="s">
        <v>69</v>
      </c>
      <c r="M89" s="2" t="s">
        <v>2364</v>
      </c>
    </row>
    <row r="90" spans="1:13" x14ac:dyDescent="0.3">
      <c r="A90" s="2" t="s">
        <v>304</v>
      </c>
      <c r="B90" s="5">
        <v>45759</v>
      </c>
      <c r="C90" s="2" t="s">
        <v>305</v>
      </c>
      <c r="D90" s="2" t="s">
        <v>53</v>
      </c>
      <c r="E90" s="2" t="s">
        <v>134</v>
      </c>
      <c r="F90" s="2" t="s">
        <v>99</v>
      </c>
      <c r="G90" s="2" t="s">
        <v>23</v>
      </c>
      <c r="H90" s="2">
        <v>17</v>
      </c>
      <c r="I90" s="7">
        <v>25.57</v>
      </c>
      <c r="J90" s="2">
        <v>0</v>
      </c>
      <c r="K90" s="7">
        <v>434.69</v>
      </c>
      <c r="L90" s="2" t="s">
        <v>49</v>
      </c>
      <c r="M90" s="2" t="s">
        <v>2364</v>
      </c>
    </row>
    <row r="91" spans="1:13" x14ac:dyDescent="0.3">
      <c r="A91" s="2" t="s">
        <v>2123</v>
      </c>
      <c r="B91" s="5">
        <v>45910</v>
      </c>
      <c r="C91" s="2" t="s">
        <v>1058</v>
      </c>
      <c r="D91" s="2" t="s">
        <v>53</v>
      </c>
      <c r="E91" s="2" t="s">
        <v>54</v>
      </c>
      <c r="F91" s="2" t="s">
        <v>99</v>
      </c>
      <c r="G91" s="2" t="s">
        <v>23</v>
      </c>
      <c r="H91" s="2">
        <v>19</v>
      </c>
      <c r="I91" s="7">
        <v>25.74</v>
      </c>
      <c r="J91" s="2">
        <v>10</v>
      </c>
      <c r="K91" s="7">
        <v>440.15</v>
      </c>
      <c r="L91" s="2" t="s">
        <v>31</v>
      </c>
      <c r="M91" s="2" t="s">
        <v>2364</v>
      </c>
    </row>
    <row r="92" spans="1:13" x14ac:dyDescent="0.3">
      <c r="A92" s="2" t="s">
        <v>1904</v>
      </c>
      <c r="B92" s="5">
        <v>45771</v>
      </c>
      <c r="C92" s="2" t="s">
        <v>1905</v>
      </c>
      <c r="D92" s="2" t="s">
        <v>16</v>
      </c>
      <c r="E92" s="2" t="s">
        <v>160</v>
      </c>
      <c r="F92" s="2" t="s">
        <v>99</v>
      </c>
      <c r="G92" s="2" t="s">
        <v>23</v>
      </c>
      <c r="H92" s="2">
        <v>25</v>
      </c>
      <c r="I92" s="7">
        <v>19.73</v>
      </c>
      <c r="J92" s="2">
        <v>10</v>
      </c>
      <c r="K92" s="7">
        <v>443.93</v>
      </c>
      <c r="L92" s="2" t="s">
        <v>69</v>
      </c>
      <c r="M92" s="2" t="s">
        <v>2365</v>
      </c>
    </row>
    <row r="93" spans="1:13" x14ac:dyDescent="0.3">
      <c r="A93" s="2" t="s">
        <v>456</v>
      </c>
      <c r="B93" s="5">
        <v>45743</v>
      </c>
      <c r="C93" s="2" t="s">
        <v>457</v>
      </c>
      <c r="D93" s="2" t="s">
        <v>46</v>
      </c>
      <c r="E93" s="2" t="s">
        <v>124</v>
      </c>
      <c r="F93" s="2" t="s">
        <v>99</v>
      </c>
      <c r="G93" s="2" t="s">
        <v>23</v>
      </c>
      <c r="H93" s="2">
        <v>40</v>
      </c>
      <c r="I93" s="7">
        <v>13.06</v>
      </c>
      <c r="J93" s="2">
        <v>10</v>
      </c>
      <c r="K93" s="7">
        <v>470.16</v>
      </c>
      <c r="L93" s="2" t="s">
        <v>69</v>
      </c>
      <c r="M93" s="2" t="s">
        <v>2365</v>
      </c>
    </row>
    <row r="94" spans="1:13" x14ac:dyDescent="0.3">
      <c r="A94" s="2" t="s">
        <v>1506</v>
      </c>
      <c r="B94" s="5">
        <v>45656</v>
      </c>
      <c r="C94" s="2" t="s">
        <v>1507</v>
      </c>
      <c r="D94" s="2" t="s">
        <v>46</v>
      </c>
      <c r="E94" s="2" t="s">
        <v>78</v>
      </c>
      <c r="F94" s="2" t="s">
        <v>99</v>
      </c>
      <c r="G94" s="2" t="s">
        <v>23</v>
      </c>
      <c r="H94" s="2">
        <v>33</v>
      </c>
      <c r="I94" s="7">
        <v>15.85</v>
      </c>
      <c r="J94" s="2">
        <v>10</v>
      </c>
      <c r="K94" s="7">
        <v>470.74</v>
      </c>
      <c r="L94" s="2" t="s">
        <v>69</v>
      </c>
      <c r="M94" s="2" t="s">
        <v>2365</v>
      </c>
    </row>
    <row r="95" spans="1:13" x14ac:dyDescent="0.3">
      <c r="A95" s="2" t="s">
        <v>1332</v>
      </c>
      <c r="B95" s="5">
        <v>45744</v>
      </c>
      <c r="C95" s="2" t="s">
        <v>1333</v>
      </c>
      <c r="D95" s="2" t="s">
        <v>53</v>
      </c>
      <c r="E95" s="2" t="s">
        <v>54</v>
      </c>
      <c r="F95" s="2" t="s">
        <v>99</v>
      </c>
      <c r="G95" s="2" t="s">
        <v>23</v>
      </c>
      <c r="H95" s="2">
        <v>18</v>
      </c>
      <c r="I95" s="7">
        <v>28.03</v>
      </c>
      <c r="J95" s="2">
        <v>5</v>
      </c>
      <c r="K95" s="7">
        <v>479.31</v>
      </c>
      <c r="L95" s="2" t="s">
        <v>31</v>
      </c>
      <c r="M95" s="2" t="s">
        <v>2364</v>
      </c>
    </row>
    <row r="96" spans="1:13" x14ac:dyDescent="0.3">
      <c r="A96" s="2" t="s">
        <v>2068</v>
      </c>
      <c r="B96" s="5">
        <v>45842</v>
      </c>
      <c r="C96" s="2" t="s">
        <v>2069</v>
      </c>
      <c r="D96" s="2" t="s">
        <v>16</v>
      </c>
      <c r="E96" s="2" t="s">
        <v>74</v>
      </c>
      <c r="F96" s="2" t="s">
        <v>99</v>
      </c>
      <c r="G96" s="2" t="s">
        <v>23</v>
      </c>
      <c r="H96" s="2">
        <v>45</v>
      </c>
      <c r="I96" s="7">
        <v>12.62</v>
      </c>
      <c r="J96" s="2">
        <v>10</v>
      </c>
      <c r="K96" s="7">
        <v>511.11</v>
      </c>
      <c r="L96" s="2" t="s">
        <v>31</v>
      </c>
      <c r="M96" s="2" t="s">
        <v>2364</v>
      </c>
    </row>
    <row r="97" spans="1:13" x14ac:dyDescent="0.3">
      <c r="A97" s="2" t="s">
        <v>278</v>
      </c>
      <c r="B97" s="5">
        <v>45669</v>
      </c>
      <c r="C97" s="2" t="s">
        <v>279</v>
      </c>
      <c r="D97" s="2" t="s">
        <v>53</v>
      </c>
      <c r="E97" s="2" t="s">
        <v>54</v>
      </c>
      <c r="F97" s="2" t="s">
        <v>99</v>
      </c>
      <c r="G97" s="2" t="s">
        <v>23</v>
      </c>
      <c r="H97" s="2">
        <v>29</v>
      </c>
      <c r="I97" s="7">
        <v>17.760000000000002</v>
      </c>
      <c r="J97" s="2">
        <v>0</v>
      </c>
      <c r="K97" s="7">
        <v>515.04</v>
      </c>
      <c r="L97" s="2" t="s">
        <v>27</v>
      </c>
      <c r="M97" s="2" t="s">
        <v>2365</v>
      </c>
    </row>
    <row r="98" spans="1:13" x14ac:dyDescent="0.3">
      <c r="A98" s="2" t="s">
        <v>1686</v>
      </c>
      <c r="B98" s="5">
        <v>46114</v>
      </c>
      <c r="C98" s="2" t="s">
        <v>185</v>
      </c>
      <c r="D98" s="2" t="s">
        <v>16</v>
      </c>
      <c r="E98" s="2" t="s">
        <v>74</v>
      </c>
      <c r="F98" s="2" t="s">
        <v>99</v>
      </c>
      <c r="G98" s="2" t="s">
        <v>23</v>
      </c>
      <c r="H98" s="2">
        <v>29</v>
      </c>
      <c r="I98" s="7">
        <v>18.559999999999999</v>
      </c>
      <c r="J98" s="2">
        <v>0</v>
      </c>
      <c r="K98" s="7">
        <v>538.24</v>
      </c>
      <c r="L98" s="1" t="s">
        <v>2347</v>
      </c>
      <c r="M98" s="2" t="s">
        <v>2364</v>
      </c>
    </row>
    <row r="99" spans="1:13" x14ac:dyDescent="0.3">
      <c r="A99" s="2" t="s">
        <v>2207</v>
      </c>
      <c r="B99" s="5">
        <v>45655</v>
      </c>
      <c r="C99" s="2" t="s">
        <v>2208</v>
      </c>
      <c r="D99" s="2" t="s">
        <v>16</v>
      </c>
      <c r="E99" s="2" t="s">
        <v>160</v>
      </c>
      <c r="F99" s="2" t="s">
        <v>99</v>
      </c>
      <c r="G99" s="2" t="s">
        <v>23</v>
      </c>
      <c r="H99" s="2">
        <v>30</v>
      </c>
      <c r="I99" s="7">
        <v>18.13</v>
      </c>
      <c r="J99" s="2">
        <v>0</v>
      </c>
      <c r="K99" s="7">
        <v>543.9</v>
      </c>
      <c r="L99" s="2" t="s">
        <v>69</v>
      </c>
      <c r="M99" s="2" t="s">
        <v>2364</v>
      </c>
    </row>
    <row r="100" spans="1:13" x14ac:dyDescent="0.3">
      <c r="A100" s="2" t="s">
        <v>1946</v>
      </c>
      <c r="B100" s="5">
        <v>46245</v>
      </c>
      <c r="C100" s="2" t="s">
        <v>1947</v>
      </c>
      <c r="D100" s="2" t="s">
        <v>24</v>
      </c>
      <c r="E100" s="2" t="s">
        <v>36</v>
      </c>
      <c r="F100" s="2" t="s">
        <v>99</v>
      </c>
      <c r="G100" s="2" t="s">
        <v>23</v>
      </c>
      <c r="H100" s="2">
        <v>32</v>
      </c>
      <c r="I100" s="7">
        <v>17.739999999999998</v>
      </c>
      <c r="J100" s="2">
        <v>0</v>
      </c>
      <c r="K100" s="7">
        <v>567.67999999999995</v>
      </c>
      <c r="L100" s="2" t="s">
        <v>27</v>
      </c>
      <c r="M100" s="2" t="s">
        <v>2364</v>
      </c>
    </row>
    <row r="101" spans="1:13" x14ac:dyDescent="0.3">
      <c r="A101" s="2" t="s">
        <v>2077</v>
      </c>
      <c r="B101" s="5">
        <v>46166</v>
      </c>
      <c r="C101" s="2" t="s">
        <v>1865</v>
      </c>
      <c r="D101" s="2" t="s">
        <v>16</v>
      </c>
      <c r="E101" s="2" t="s">
        <v>17</v>
      </c>
      <c r="F101" s="2" t="s">
        <v>99</v>
      </c>
      <c r="G101" s="2" t="s">
        <v>23</v>
      </c>
      <c r="H101" s="2">
        <v>24</v>
      </c>
      <c r="I101" s="7">
        <v>26.86</v>
      </c>
      <c r="J101" s="2">
        <v>10</v>
      </c>
      <c r="K101" s="7">
        <v>580.17999999999995</v>
      </c>
      <c r="L101" s="2" t="s">
        <v>49</v>
      </c>
      <c r="M101" s="2" t="s">
        <v>2365</v>
      </c>
    </row>
    <row r="102" spans="1:13" x14ac:dyDescent="0.3">
      <c r="A102" s="2" t="s">
        <v>676</v>
      </c>
      <c r="B102" s="5">
        <v>45958</v>
      </c>
      <c r="C102" s="2" t="s">
        <v>541</v>
      </c>
      <c r="D102" s="2" t="s">
        <v>16</v>
      </c>
      <c r="E102" s="2" t="s">
        <v>160</v>
      </c>
      <c r="F102" s="2" t="s">
        <v>99</v>
      </c>
      <c r="G102" s="2" t="s">
        <v>23</v>
      </c>
      <c r="H102" s="2">
        <v>23</v>
      </c>
      <c r="I102" s="7">
        <v>27.52</v>
      </c>
      <c r="J102" s="2">
        <v>5</v>
      </c>
      <c r="K102" s="7">
        <v>601.30999999999995</v>
      </c>
      <c r="L102" s="2" t="s">
        <v>69</v>
      </c>
      <c r="M102" s="2" t="s">
        <v>2364</v>
      </c>
    </row>
    <row r="103" spans="1:13" x14ac:dyDescent="0.3">
      <c r="A103" s="2" t="s">
        <v>2203</v>
      </c>
      <c r="B103" s="5">
        <v>45902</v>
      </c>
      <c r="C103" s="2" t="s">
        <v>2204</v>
      </c>
      <c r="D103" s="2" t="s">
        <v>24</v>
      </c>
      <c r="E103" s="2" t="s">
        <v>25</v>
      </c>
      <c r="F103" s="2" t="s">
        <v>99</v>
      </c>
      <c r="G103" s="2" t="s">
        <v>23</v>
      </c>
      <c r="H103" s="2">
        <v>38</v>
      </c>
      <c r="I103" s="7">
        <v>18.98</v>
      </c>
      <c r="J103" s="2">
        <v>15</v>
      </c>
      <c r="K103" s="7">
        <v>613.04999999999995</v>
      </c>
      <c r="L103" s="2" t="s">
        <v>31</v>
      </c>
      <c r="M103" s="2" t="s">
        <v>2364</v>
      </c>
    </row>
    <row r="104" spans="1:13" x14ac:dyDescent="0.3">
      <c r="A104" s="2" t="s">
        <v>1803</v>
      </c>
      <c r="B104" s="5">
        <v>46162</v>
      </c>
      <c r="C104" s="2" t="s">
        <v>966</v>
      </c>
      <c r="D104" s="2" t="s">
        <v>16</v>
      </c>
      <c r="E104" s="2" t="s">
        <v>111</v>
      </c>
      <c r="F104" s="2" t="s">
        <v>99</v>
      </c>
      <c r="G104" s="2" t="s">
        <v>23</v>
      </c>
      <c r="H104" s="2">
        <v>33</v>
      </c>
      <c r="I104" s="7">
        <v>18.670000000000002</v>
      </c>
      <c r="J104" s="2">
        <v>0</v>
      </c>
      <c r="K104" s="7">
        <v>616.11</v>
      </c>
      <c r="L104" s="2" t="s">
        <v>49</v>
      </c>
      <c r="M104" s="2" t="s">
        <v>2365</v>
      </c>
    </row>
    <row r="105" spans="1:13" x14ac:dyDescent="0.3">
      <c r="A105" s="2" t="s">
        <v>1995</v>
      </c>
      <c r="B105" s="5">
        <v>45793</v>
      </c>
      <c r="C105" s="2" t="s">
        <v>57</v>
      </c>
      <c r="D105" s="2" t="s">
        <v>16</v>
      </c>
      <c r="E105" s="2" t="s">
        <v>17</v>
      </c>
      <c r="F105" s="2" t="s">
        <v>99</v>
      </c>
      <c r="G105" s="2" t="s">
        <v>23</v>
      </c>
      <c r="H105" s="2">
        <v>45</v>
      </c>
      <c r="I105" s="7">
        <v>17.13</v>
      </c>
      <c r="J105" s="2">
        <v>20</v>
      </c>
      <c r="K105" s="7">
        <v>616.67999999999995</v>
      </c>
      <c r="L105" s="2" t="s">
        <v>69</v>
      </c>
      <c r="M105" s="2" t="s">
        <v>2364</v>
      </c>
    </row>
    <row r="106" spans="1:13" x14ac:dyDescent="0.3">
      <c r="A106" s="2" t="s">
        <v>1397</v>
      </c>
      <c r="B106" s="5">
        <v>45660</v>
      </c>
      <c r="C106" s="2" t="s">
        <v>587</v>
      </c>
      <c r="D106" s="2" t="s">
        <v>53</v>
      </c>
      <c r="E106" s="2" t="s">
        <v>134</v>
      </c>
      <c r="F106" s="2" t="s">
        <v>99</v>
      </c>
      <c r="G106" s="2" t="s">
        <v>23</v>
      </c>
      <c r="H106" s="2">
        <v>36</v>
      </c>
      <c r="I106" s="7">
        <v>19.18</v>
      </c>
      <c r="J106" s="2">
        <v>10</v>
      </c>
      <c r="K106" s="7">
        <v>621.42999999999995</v>
      </c>
      <c r="L106" s="2" t="s">
        <v>69</v>
      </c>
      <c r="M106" s="2" t="s">
        <v>2364</v>
      </c>
    </row>
    <row r="107" spans="1:13" x14ac:dyDescent="0.3">
      <c r="A107" s="2" t="s">
        <v>715</v>
      </c>
      <c r="B107" s="5">
        <v>45978</v>
      </c>
      <c r="C107" s="2" t="s">
        <v>716</v>
      </c>
      <c r="D107" s="2" t="s">
        <v>24</v>
      </c>
      <c r="E107" s="2" t="s">
        <v>41</v>
      </c>
      <c r="F107" s="2" t="s">
        <v>99</v>
      </c>
      <c r="G107" s="2" t="s">
        <v>23</v>
      </c>
      <c r="H107" s="2">
        <v>38</v>
      </c>
      <c r="I107" s="7">
        <v>16.5</v>
      </c>
      <c r="J107" s="2">
        <v>0</v>
      </c>
      <c r="K107" s="7">
        <v>627</v>
      </c>
      <c r="L107" s="1" t="s">
        <v>2347</v>
      </c>
      <c r="M107" s="2" t="s">
        <v>2364</v>
      </c>
    </row>
    <row r="108" spans="1:13" x14ac:dyDescent="0.3">
      <c r="A108" s="2" t="s">
        <v>1960</v>
      </c>
      <c r="B108" s="5">
        <v>46101</v>
      </c>
      <c r="C108" s="2" t="s">
        <v>1961</v>
      </c>
      <c r="D108" s="2" t="s">
        <v>53</v>
      </c>
      <c r="E108" s="2" t="s">
        <v>67</v>
      </c>
      <c r="F108" s="2" t="s">
        <v>99</v>
      </c>
      <c r="G108" s="2" t="s">
        <v>23</v>
      </c>
      <c r="H108" s="2">
        <v>23</v>
      </c>
      <c r="I108" s="7">
        <v>28.48</v>
      </c>
      <c r="J108" s="2">
        <v>0</v>
      </c>
      <c r="K108" s="7">
        <v>655.04</v>
      </c>
      <c r="L108" s="2" t="s">
        <v>69</v>
      </c>
      <c r="M108" s="2" t="s">
        <v>2365</v>
      </c>
    </row>
    <row r="109" spans="1:13" x14ac:dyDescent="0.3">
      <c r="A109" s="2" t="s">
        <v>995</v>
      </c>
      <c r="B109" s="5">
        <v>45939</v>
      </c>
      <c r="C109" s="2" t="s">
        <v>996</v>
      </c>
      <c r="D109" s="2" t="s">
        <v>24</v>
      </c>
      <c r="E109" s="2" t="s">
        <v>25</v>
      </c>
      <c r="F109" s="2" t="s">
        <v>99</v>
      </c>
      <c r="G109" s="2" t="s">
        <v>23</v>
      </c>
      <c r="H109" s="2">
        <v>29</v>
      </c>
      <c r="I109" s="7">
        <v>26.95</v>
      </c>
      <c r="J109" s="2">
        <v>15</v>
      </c>
      <c r="K109" s="7">
        <v>664.32</v>
      </c>
      <c r="L109" s="2" t="s">
        <v>49</v>
      </c>
      <c r="M109" s="2" t="s">
        <v>2364</v>
      </c>
    </row>
    <row r="110" spans="1:13" x14ac:dyDescent="0.3">
      <c r="A110" s="2" t="s">
        <v>521</v>
      </c>
      <c r="B110" s="5">
        <v>46231</v>
      </c>
      <c r="C110" s="2" t="s">
        <v>522</v>
      </c>
      <c r="D110" s="2" t="s">
        <v>16</v>
      </c>
      <c r="E110" s="2" t="s">
        <v>111</v>
      </c>
      <c r="F110" s="2" t="s">
        <v>99</v>
      </c>
      <c r="G110" s="2" t="s">
        <v>23</v>
      </c>
      <c r="H110" s="2">
        <v>40</v>
      </c>
      <c r="I110" s="7">
        <v>17.87</v>
      </c>
      <c r="J110" s="2">
        <v>5</v>
      </c>
      <c r="K110" s="7">
        <v>679.06</v>
      </c>
      <c r="L110" s="2" t="s">
        <v>69</v>
      </c>
      <c r="M110" s="2" t="s">
        <v>2364</v>
      </c>
    </row>
    <row r="111" spans="1:13" x14ac:dyDescent="0.3">
      <c r="A111" s="2" t="s">
        <v>364</v>
      </c>
      <c r="B111" s="5">
        <v>46137</v>
      </c>
      <c r="C111" s="2" t="s">
        <v>365</v>
      </c>
      <c r="D111" s="2" t="s">
        <v>53</v>
      </c>
      <c r="E111" s="2" t="s">
        <v>134</v>
      </c>
      <c r="F111" s="2" t="s">
        <v>99</v>
      </c>
      <c r="G111" s="2" t="s">
        <v>23</v>
      </c>
      <c r="H111" s="2">
        <v>27</v>
      </c>
      <c r="I111" s="7">
        <v>25.5</v>
      </c>
      <c r="J111" s="2">
        <v>0</v>
      </c>
      <c r="K111" s="7">
        <v>688.5</v>
      </c>
      <c r="L111" s="2" t="s">
        <v>69</v>
      </c>
      <c r="M111" s="2" t="s">
        <v>2364</v>
      </c>
    </row>
    <row r="112" spans="1:13" x14ac:dyDescent="0.3">
      <c r="A112" s="2" t="s">
        <v>674</v>
      </c>
      <c r="B112" s="5">
        <v>46008</v>
      </c>
      <c r="C112" s="2" t="s">
        <v>675</v>
      </c>
      <c r="D112" s="2" t="s">
        <v>53</v>
      </c>
      <c r="E112" s="2" t="s">
        <v>54</v>
      </c>
      <c r="F112" s="2" t="s">
        <v>99</v>
      </c>
      <c r="G112" s="2" t="s">
        <v>23</v>
      </c>
      <c r="H112" s="2">
        <v>30</v>
      </c>
      <c r="I112" s="7">
        <v>25.51</v>
      </c>
      <c r="J112" s="2">
        <v>10</v>
      </c>
      <c r="K112" s="7">
        <v>688.77</v>
      </c>
      <c r="L112" s="1" t="s">
        <v>2347</v>
      </c>
      <c r="M112" s="2" t="s">
        <v>2365</v>
      </c>
    </row>
    <row r="113" spans="1:13" x14ac:dyDescent="0.3">
      <c r="A113" s="2" t="s">
        <v>721</v>
      </c>
      <c r="B113" s="5">
        <v>45902</v>
      </c>
      <c r="C113" s="2" t="s">
        <v>722</v>
      </c>
      <c r="D113" s="2" t="s">
        <v>16</v>
      </c>
      <c r="E113" s="2" t="s">
        <v>160</v>
      </c>
      <c r="F113" s="2" t="s">
        <v>99</v>
      </c>
      <c r="G113" s="2" t="s">
        <v>23</v>
      </c>
      <c r="H113" s="2">
        <v>26</v>
      </c>
      <c r="I113" s="7">
        <v>29.56</v>
      </c>
      <c r="J113" s="2">
        <v>10</v>
      </c>
      <c r="K113" s="7">
        <v>691.7</v>
      </c>
      <c r="L113" s="2" t="s">
        <v>27</v>
      </c>
      <c r="M113" s="2" t="s">
        <v>2365</v>
      </c>
    </row>
    <row r="114" spans="1:13" x14ac:dyDescent="0.3">
      <c r="A114" s="2" t="s">
        <v>1991</v>
      </c>
      <c r="B114" s="5">
        <v>46013</v>
      </c>
      <c r="C114" s="2" t="s">
        <v>1420</v>
      </c>
      <c r="D114" s="2" t="s">
        <v>16</v>
      </c>
      <c r="E114" s="2" t="s">
        <v>160</v>
      </c>
      <c r="F114" s="2" t="s">
        <v>99</v>
      </c>
      <c r="G114" s="2" t="s">
        <v>23</v>
      </c>
      <c r="H114" s="2">
        <v>43</v>
      </c>
      <c r="I114" s="7">
        <v>17.52</v>
      </c>
      <c r="J114" s="2">
        <v>0</v>
      </c>
      <c r="K114" s="7">
        <v>753.36</v>
      </c>
      <c r="L114" s="2" t="s">
        <v>49</v>
      </c>
      <c r="M114" s="2" t="s">
        <v>2364</v>
      </c>
    </row>
    <row r="115" spans="1:13" x14ac:dyDescent="0.3">
      <c r="A115" s="2" t="s">
        <v>1670</v>
      </c>
      <c r="B115" s="5">
        <v>46195</v>
      </c>
      <c r="C115" s="2" t="s">
        <v>1671</v>
      </c>
      <c r="D115" s="2" t="s">
        <v>16</v>
      </c>
      <c r="E115" s="2" t="s">
        <v>17</v>
      </c>
      <c r="F115" s="2" t="s">
        <v>99</v>
      </c>
      <c r="G115" s="2" t="s">
        <v>23</v>
      </c>
      <c r="H115" s="2">
        <v>29</v>
      </c>
      <c r="I115" s="7">
        <v>26.09</v>
      </c>
      <c r="J115" s="2">
        <v>0</v>
      </c>
      <c r="K115" s="7">
        <v>756.61</v>
      </c>
      <c r="L115" s="2" t="s">
        <v>69</v>
      </c>
      <c r="M115" s="2" t="s">
        <v>2364</v>
      </c>
    </row>
    <row r="116" spans="1:13" x14ac:dyDescent="0.3">
      <c r="A116" s="2" t="s">
        <v>699</v>
      </c>
      <c r="B116" s="5">
        <v>45590</v>
      </c>
      <c r="C116" s="2" t="s">
        <v>700</v>
      </c>
      <c r="D116" s="2" t="s">
        <v>53</v>
      </c>
      <c r="E116" s="2" t="s">
        <v>134</v>
      </c>
      <c r="F116" s="2" t="s">
        <v>99</v>
      </c>
      <c r="G116" s="2" t="s">
        <v>23</v>
      </c>
      <c r="H116" s="2">
        <v>42</v>
      </c>
      <c r="I116" s="7">
        <v>20.85</v>
      </c>
      <c r="J116" s="2">
        <v>10</v>
      </c>
      <c r="K116" s="7">
        <v>788.13</v>
      </c>
      <c r="L116" s="2" t="s">
        <v>69</v>
      </c>
      <c r="M116" s="2" t="s">
        <v>2364</v>
      </c>
    </row>
    <row r="117" spans="1:13" x14ac:dyDescent="0.3">
      <c r="A117" s="2" t="s">
        <v>97</v>
      </c>
      <c r="B117" s="5">
        <v>45607</v>
      </c>
      <c r="C117" s="2" t="s">
        <v>98</v>
      </c>
      <c r="D117" s="2" t="s">
        <v>46</v>
      </c>
      <c r="E117" s="2" t="s">
        <v>78</v>
      </c>
      <c r="F117" s="2" t="s">
        <v>99</v>
      </c>
      <c r="G117" s="2" t="s">
        <v>23</v>
      </c>
      <c r="H117" s="2">
        <v>30</v>
      </c>
      <c r="I117" s="7">
        <v>29.95</v>
      </c>
      <c r="J117" s="2">
        <v>5</v>
      </c>
      <c r="K117" s="7">
        <v>853.58</v>
      </c>
      <c r="L117" s="2" t="s">
        <v>27</v>
      </c>
      <c r="M117" s="2" t="s">
        <v>2365</v>
      </c>
    </row>
    <row r="118" spans="1:13" x14ac:dyDescent="0.3">
      <c r="A118" s="2" t="s">
        <v>1214</v>
      </c>
      <c r="B118" s="5">
        <v>46270</v>
      </c>
      <c r="C118" s="2" t="s">
        <v>1215</v>
      </c>
      <c r="D118" s="2" t="s">
        <v>53</v>
      </c>
      <c r="E118" s="2" t="s">
        <v>134</v>
      </c>
      <c r="F118" s="2" t="s">
        <v>99</v>
      </c>
      <c r="G118" s="2" t="s">
        <v>23</v>
      </c>
      <c r="H118" s="2">
        <v>48</v>
      </c>
      <c r="I118" s="7">
        <v>22.46</v>
      </c>
      <c r="J118" s="2">
        <v>15</v>
      </c>
      <c r="K118" s="7">
        <v>916.37</v>
      </c>
      <c r="L118" s="2" t="s">
        <v>31</v>
      </c>
      <c r="M118" s="2" t="s">
        <v>2365</v>
      </c>
    </row>
    <row r="119" spans="1:13" x14ac:dyDescent="0.3">
      <c r="A119" s="2" t="s">
        <v>1382</v>
      </c>
      <c r="B119" s="5">
        <v>45977</v>
      </c>
      <c r="C119" s="2" t="s">
        <v>1383</v>
      </c>
      <c r="D119" s="2" t="s">
        <v>46</v>
      </c>
      <c r="E119" s="2" t="s">
        <v>244</v>
      </c>
      <c r="F119" s="2" t="s">
        <v>99</v>
      </c>
      <c r="G119" s="2" t="s">
        <v>23</v>
      </c>
      <c r="H119" s="2">
        <v>50</v>
      </c>
      <c r="I119" s="7">
        <v>22.67</v>
      </c>
      <c r="J119" s="2">
        <v>15</v>
      </c>
      <c r="K119" s="7">
        <v>963.48</v>
      </c>
      <c r="L119" s="2" t="s">
        <v>49</v>
      </c>
      <c r="M119" s="2" t="s">
        <v>2365</v>
      </c>
    </row>
    <row r="120" spans="1:13" x14ac:dyDescent="0.3">
      <c r="A120" s="2" t="s">
        <v>2157</v>
      </c>
      <c r="B120" s="5">
        <v>46202</v>
      </c>
      <c r="C120" s="2" t="s">
        <v>2158</v>
      </c>
      <c r="D120" s="2" t="s">
        <v>53</v>
      </c>
      <c r="E120" s="2" t="s">
        <v>141</v>
      </c>
      <c r="F120" s="2" t="s">
        <v>99</v>
      </c>
      <c r="G120" s="2" t="s">
        <v>23</v>
      </c>
      <c r="H120" s="2">
        <v>48</v>
      </c>
      <c r="I120" s="7">
        <v>20.63</v>
      </c>
      <c r="J120" s="2">
        <v>0</v>
      </c>
      <c r="K120" s="7">
        <v>990.24</v>
      </c>
      <c r="L120" s="1" t="s">
        <v>2347</v>
      </c>
      <c r="M120" s="2" t="s">
        <v>2365</v>
      </c>
    </row>
    <row r="121" spans="1:13" x14ac:dyDescent="0.3">
      <c r="A121" s="2" t="s">
        <v>1918</v>
      </c>
      <c r="B121" s="5">
        <v>45833</v>
      </c>
      <c r="C121" s="2" t="s">
        <v>939</v>
      </c>
      <c r="D121" s="2" t="s">
        <v>46</v>
      </c>
      <c r="E121" s="2" t="s">
        <v>124</v>
      </c>
      <c r="F121" s="2" t="s">
        <v>99</v>
      </c>
      <c r="G121" s="2" t="s">
        <v>23</v>
      </c>
      <c r="H121" s="2">
        <v>44</v>
      </c>
      <c r="I121" s="7">
        <v>22.82</v>
      </c>
      <c r="J121" s="2">
        <v>0</v>
      </c>
      <c r="K121" s="7">
        <v>1004.08</v>
      </c>
      <c r="L121" s="2" t="s">
        <v>27</v>
      </c>
      <c r="M121" s="2" t="s">
        <v>2365</v>
      </c>
    </row>
    <row r="122" spans="1:13" x14ac:dyDescent="0.3">
      <c r="A122" s="2" t="s">
        <v>419</v>
      </c>
      <c r="B122" s="5">
        <v>45844</v>
      </c>
      <c r="C122" s="2" t="s">
        <v>420</v>
      </c>
      <c r="D122" s="2" t="s">
        <v>53</v>
      </c>
      <c r="E122" s="2" t="s">
        <v>170</v>
      </c>
      <c r="F122" s="2" t="s">
        <v>99</v>
      </c>
      <c r="G122" s="2" t="s">
        <v>23</v>
      </c>
      <c r="H122" s="2">
        <v>49</v>
      </c>
      <c r="I122" s="7">
        <v>24.42</v>
      </c>
      <c r="J122" s="2">
        <v>15</v>
      </c>
      <c r="K122" s="7">
        <v>1017.09</v>
      </c>
      <c r="L122" s="2" t="s">
        <v>69</v>
      </c>
      <c r="M122" s="2" t="s">
        <v>2365</v>
      </c>
    </row>
    <row r="123" spans="1:13" x14ac:dyDescent="0.3">
      <c r="A123" s="2" t="s">
        <v>2041</v>
      </c>
      <c r="B123" s="5">
        <v>46260</v>
      </c>
      <c r="C123" s="2" t="s">
        <v>2042</v>
      </c>
      <c r="D123" s="2" t="s">
        <v>53</v>
      </c>
      <c r="E123" s="2" t="s">
        <v>170</v>
      </c>
      <c r="F123" s="2" t="s">
        <v>99</v>
      </c>
      <c r="G123" s="2" t="s">
        <v>23</v>
      </c>
      <c r="H123" s="2">
        <v>35</v>
      </c>
      <c r="I123" s="7">
        <v>29.83</v>
      </c>
      <c r="J123" s="2">
        <v>0</v>
      </c>
      <c r="K123" s="7">
        <v>1044.05</v>
      </c>
      <c r="L123" s="2" t="s">
        <v>69</v>
      </c>
      <c r="M123" s="2" t="s">
        <v>2365</v>
      </c>
    </row>
    <row r="124" spans="1:13" x14ac:dyDescent="0.3">
      <c r="A124" s="2" t="s">
        <v>1874</v>
      </c>
      <c r="B124" s="5">
        <v>45614</v>
      </c>
      <c r="C124" s="2" t="s">
        <v>1838</v>
      </c>
      <c r="D124" s="2" t="s">
        <v>46</v>
      </c>
      <c r="E124" s="2" t="s">
        <v>47</v>
      </c>
      <c r="F124" s="2" t="s">
        <v>99</v>
      </c>
      <c r="G124" s="2" t="s">
        <v>23</v>
      </c>
      <c r="H124" s="2">
        <v>44</v>
      </c>
      <c r="I124" s="7">
        <v>24.36</v>
      </c>
      <c r="J124" s="2">
        <v>0</v>
      </c>
      <c r="K124" s="7">
        <v>1071.8399999999999</v>
      </c>
      <c r="L124" s="2" t="s">
        <v>69</v>
      </c>
      <c r="M124" s="2" t="s">
        <v>2364</v>
      </c>
    </row>
    <row r="125" spans="1:13" x14ac:dyDescent="0.3">
      <c r="A125" s="2" t="s">
        <v>1948</v>
      </c>
      <c r="B125" s="5">
        <v>46093</v>
      </c>
      <c r="C125" s="2" t="s">
        <v>1949</v>
      </c>
      <c r="D125" s="2" t="s">
        <v>16</v>
      </c>
      <c r="E125" s="2" t="s">
        <v>74</v>
      </c>
      <c r="F125" s="2" t="s">
        <v>99</v>
      </c>
      <c r="G125" s="2" t="s">
        <v>23</v>
      </c>
      <c r="H125" s="2">
        <v>49</v>
      </c>
      <c r="I125" s="7">
        <v>25.19</v>
      </c>
      <c r="J125" s="2">
        <v>10</v>
      </c>
      <c r="K125" s="7">
        <v>1110.8800000000001</v>
      </c>
      <c r="L125" s="2" t="s">
        <v>31</v>
      </c>
      <c r="M125" s="2" t="s">
        <v>2364</v>
      </c>
    </row>
    <row r="126" spans="1:13" x14ac:dyDescent="0.3">
      <c r="A126" s="2" t="s">
        <v>1289</v>
      </c>
      <c r="B126" s="5">
        <v>45961</v>
      </c>
      <c r="C126" s="2" t="s">
        <v>1290</v>
      </c>
      <c r="D126" s="2" t="s">
        <v>16</v>
      </c>
      <c r="E126" s="2" t="s">
        <v>17</v>
      </c>
      <c r="F126" s="2" t="s">
        <v>99</v>
      </c>
      <c r="G126" s="2" t="s">
        <v>23</v>
      </c>
      <c r="H126" s="2">
        <v>50</v>
      </c>
      <c r="I126" s="7">
        <v>25.63</v>
      </c>
      <c r="J126" s="2">
        <v>10</v>
      </c>
      <c r="K126" s="7">
        <v>1153.3499999999999</v>
      </c>
      <c r="L126" s="2" t="s">
        <v>31</v>
      </c>
      <c r="M126" s="2" t="s">
        <v>2364</v>
      </c>
    </row>
    <row r="127" spans="1:13" x14ac:dyDescent="0.3">
      <c r="A127" s="2" t="s">
        <v>2062</v>
      </c>
      <c r="B127" s="5">
        <v>46174</v>
      </c>
      <c r="C127" s="2" t="s">
        <v>738</v>
      </c>
      <c r="D127" s="2" t="s">
        <v>16</v>
      </c>
      <c r="E127" s="2" t="s">
        <v>74</v>
      </c>
      <c r="F127" s="2" t="s">
        <v>99</v>
      </c>
      <c r="G127" s="2" t="s">
        <v>23</v>
      </c>
      <c r="H127" s="2">
        <v>47</v>
      </c>
      <c r="I127" s="7">
        <v>26.02</v>
      </c>
      <c r="J127" s="2">
        <v>0</v>
      </c>
      <c r="K127" s="7">
        <v>1222.94</v>
      </c>
      <c r="L127" s="2" t="s">
        <v>31</v>
      </c>
      <c r="M127" s="2" t="s">
        <v>2365</v>
      </c>
    </row>
    <row r="128" spans="1:13" x14ac:dyDescent="0.3">
      <c r="A128" s="2" t="s">
        <v>959</v>
      </c>
      <c r="B128" s="5">
        <v>45595</v>
      </c>
      <c r="C128" s="2" t="s">
        <v>960</v>
      </c>
      <c r="D128" s="2" t="s">
        <v>53</v>
      </c>
      <c r="E128" s="2" t="s">
        <v>141</v>
      </c>
      <c r="F128" s="2" t="s">
        <v>45</v>
      </c>
      <c r="G128" s="2" t="s">
        <v>23</v>
      </c>
      <c r="H128" s="2">
        <v>1</v>
      </c>
      <c r="I128" s="7">
        <v>89.37</v>
      </c>
      <c r="J128" s="2">
        <v>20</v>
      </c>
      <c r="K128" s="7">
        <v>71.5</v>
      </c>
      <c r="L128" s="2" t="s">
        <v>31</v>
      </c>
      <c r="M128" s="2" t="s">
        <v>2364</v>
      </c>
    </row>
    <row r="129" spans="1:13" x14ac:dyDescent="0.3">
      <c r="A129" s="2" t="s">
        <v>2125</v>
      </c>
      <c r="B129" s="5">
        <v>45784</v>
      </c>
      <c r="C129" s="2" t="s">
        <v>499</v>
      </c>
      <c r="D129" s="2" t="s">
        <v>46</v>
      </c>
      <c r="E129" s="2" t="s">
        <v>124</v>
      </c>
      <c r="F129" s="2" t="s">
        <v>45</v>
      </c>
      <c r="G129" s="2" t="s">
        <v>23</v>
      </c>
      <c r="H129" s="2">
        <v>1</v>
      </c>
      <c r="I129" s="7">
        <v>104.55</v>
      </c>
      <c r="J129" s="2">
        <v>15</v>
      </c>
      <c r="K129" s="7">
        <v>88.87</v>
      </c>
      <c r="L129" s="2" t="s">
        <v>31</v>
      </c>
      <c r="M129" s="2" t="s">
        <v>2364</v>
      </c>
    </row>
    <row r="130" spans="1:13" x14ac:dyDescent="0.3">
      <c r="A130" s="2" t="s">
        <v>540</v>
      </c>
      <c r="B130" s="5">
        <v>46254</v>
      </c>
      <c r="C130" s="2" t="s">
        <v>541</v>
      </c>
      <c r="D130" s="2" t="s">
        <v>16</v>
      </c>
      <c r="E130" s="2" t="s">
        <v>74</v>
      </c>
      <c r="F130" s="2" t="s">
        <v>45</v>
      </c>
      <c r="G130" s="2" t="s">
        <v>23</v>
      </c>
      <c r="H130" s="2">
        <v>4</v>
      </c>
      <c r="I130" s="7">
        <v>34.86</v>
      </c>
      <c r="J130" s="2">
        <v>20</v>
      </c>
      <c r="K130" s="7">
        <v>111.55</v>
      </c>
      <c r="L130" s="2" t="s">
        <v>69</v>
      </c>
      <c r="M130" s="2" t="s">
        <v>2364</v>
      </c>
    </row>
    <row r="131" spans="1:13" x14ac:dyDescent="0.3">
      <c r="A131" s="2" t="s">
        <v>1706</v>
      </c>
      <c r="B131" s="5">
        <v>46048</v>
      </c>
      <c r="C131" s="2" t="s">
        <v>1707</v>
      </c>
      <c r="D131" s="2" t="s">
        <v>53</v>
      </c>
      <c r="E131" s="2" t="s">
        <v>170</v>
      </c>
      <c r="F131" s="2" t="s">
        <v>45</v>
      </c>
      <c r="G131" s="2" t="s">
        <v>23</v>
      </c>
      <c r="H131" s="2">
        <v>1</v>
      </c>
      <c r="I131" s="7">
        <v>137.63999999999999</v>
      </c>
      <c r="J131" s="2">
        <v>15</v>
      </c>
      <c r="K131" s="7">
        <v>116.99</v>
      </c>
      <c r="L131" s="2" t="s">
        <v>31</v>
      </c>
      <c r="M131" s="2" t="s">
        <v>2364</v>
      </c>
    </row>
    <row r="132" spans="1:13" x14ac:dyDescent="0.3">
      <c r="A132" s="2" t="s">
        <v>614</v>
      </c>
      <c r="B132" s="5">
        <v>45852</v>
      </c>
      <c r="C132" s="2" t="s">
        <v>615</v>
      </c>
      <c r="D132" s="2" t="s">
        <v>24</v>
      </c>
      <c r="E132" s="2" t="s">
        <v>104</v>
      </c>
      <c r="F132" s="2" t="s">
        <v>45</v>
      </c>
      <c r="G132" s="2" t="s">
        <v>23</v>
      </c>
      <c r="H132" s="2">
        <v>4</v>
      </c>
      <c r="I132" s="7">
        <v>32.840000000000003</v>
      </c>
      <c r="J132" s="2">
        <v>5</v>
      </c>
      <c r="K132" s="7">
        <v>124.79</v>
      </c>
      <c r="L132" s="1" t="s">
        <v>2347</v>
      </c>
      <c r="M132" s="2" t="s">
        <v>2364</v>
      </c>
    </row>
    <row r="133" spans="1:13" x14ac:dyDescent="0.3">
      <c r="A133" s="2" t="s">
        <v>2030</v>
      </c>
      <c r="B133" s="5">
        <v>46045</v>
      </c>
      <c r="C133" s="2" t="s">
        <v>703</v>
      </c>
      <c r="D133" s="2" t="s">
        <v>24</v>
      </c>
      <c r="E133" s="2" t="s">
        <v>36</v>
      </c>
      <c r="F133" s="2" t="s">
        <v>45</v>
      </c>
      <c r="G133" s="2" t="s">
        <v>23</v>
      </c>
      <c r="H133" s="2">
        <v>3</v>
      </c>
      <c r="I133" s="7">
        <v>59.44</v>
      </c>
      <c r="J133" s="2">
        <v>20</v>
      </c>
      <c r="K133" s="7">
        <v>142.66</v>
      </c>
      <c r="L133" s="2" t="s">
        <v>31</v>
      </c>
      <c r="M133" s="2" t="s">
        <v>2364</v>
      </c>
    </row>
    <row r="134" spans="1:13" x14ac:dyDescent="0.3">
      <c r="A134" s="2" t="s">
        <v>1747</v>
      </c>
      <c r="B134" s="5">
        <v>45578</v>
      </c>
      <c r="C134" s="2" t="s">
        <v>1748</v>
      </c>
      <c r="D134" s="2" t="s">
        <v>24</v>
      </c>
      <c r="E134" s="2" t="s">
        <v>36</v>
      </c>
      <c r="F134" s="2" t="s">
        <v>45</v>
      </c>
      <c r="G134" s="2" t="s">
        <v>23</v>
      </c>
      <c r="H134" s="2">
        <v>5</v>
      </c>
      <c r="I134" s="7">
        <v>34.17</v>
      </c>
      <c r="J134" s="2">
        <v>10</v>
      </c>
      <c r="K134" s="7">
        <v>153.77000000000001</v>
      </c>
      <c r="L134" s="2" t="s">
        <v>27</v>
      </c>
      <c r="M134" s="2" t="s">
        <v>2364</v>
      </c>
    </row>
    <row r="135" spans="1:13" x14ac:dyDescent="0.3">
      <c r="A135" s="2" t="s">
        <v>347</v>
      </c>
      <c r="B135" s="5">
        <v>46132</v>
      </c>
      <c r="C135" s="2" t="s">
        <v>348</v>
      </c>
      <c r="D135" s="2" t="s">
        <v>46</v>
      </c>
      <c r="E135" s="2" t="s">
        <v>78</v>
      </c>
      <c r="F135" s="2" t="s">
        <v>45</v>
      </c>
      <c r="G135" s="2" t="s">
        <v>23</v>
      </c>
      <c r="H135" s="2">
        <v>5</v>
      </c>
      <c r="I135" s="7">
        <v>32.9</v>
      </c>
      <c r="J135" s="2">
        <v>5</v>
      </c>
      <c r="K135" s="7">
        <v>156.28</v>
      </c>
      <c r="L135" s="1" t="s">
        <v>2347</v>
      </c>
      <c r="M135" s="2" t="s">
        <v>2364</v>
      </c>
    </row>
    <row r="136" spans="1:13" x14ac:dyDescent="0.3">
      <c r="A136" s="2" t="s">
        <v>2135</v>
      </c>
      <c r="B136" s="5">
        <v>45947</v>
      </c>
      <c r="C136" s="2" t="s">
        <v>2022</v>
      </c>
      <c r="D136" s="2" t="s">
        <v>46</v>
      </c>
      <c r="E136" s="2" t="s">
        <v>124</v>
      </c>
      <c r="F136" s="2" t="s">
        <v>45</v>
      </c>
      <c r="G136" s="2" t="s">
        <v>23</v>
      </c>
      <c r="H136" s="2">
        <v>5</v>
      </c>
      <c r="I136" s="7">
        <v>48.8</v>
      </c>
      <c r="J136" s="2">
        <v>20</v>
      </c>
      <c r="K136" s="7">
        <v>195.2</v>
      </c>
      <c r="L136" s="1" t="s">
        <v>2347</v>
      </c>
      <c r="M136" s="2" t="s">
        <v>2364</v>
      </c>
    </row>
    <row r="137" spans="1:13" x14ac:dyDescent="0.3">
      <c r="A137" s="2" t="s">
        <v>2177</v>
      </c>
      <c r="B137" s="5">
        <v>46182</v>
      </c>
      <c r="C137" s="2" t="s">
        <v>356</v>
      </c>
      <c r="D137" s="2" t="s">
        <v>46</v>
      </c>
      <c r="E137" s="2" t="s">
        <v>78</v>
      </c>
      <c r="F137" s="2" t="s">
        <v>45</v>
      </c>
      <c r="G137" s="2" t="s">
        <v>23</v>
      </c>
      <c r="H137" s="2">
        <v>2</v>
      </c>
      <c r="I137" s="7">
        <v>176.46</v>
      </c>
      <c r="J137" s="2">
        <v>15</v>
      </c>
      <c r="K137" s="7">
        <v>299.98</v>
      </c>
      <c r="L137" s="2" t="s">
        <v>49</v>
      </c>
      <c r="M137" s="2" t="s">
        <v>2364</v>
      </c>
    </row>
    <row r="138" spans="1:13" x14ac:dyDescent="0.3">
      <c r="A138" s="2" t="s">
        <v>1271</v>
      </c>
      <c r="B138" s="5">
        <v>45943</v>
      </c>
      <c r="C138" s="2" t="s">
        <v>1272</v>
      </c>
      <c r="D138" s="2" t="s">
        <v>16</v>
      </c>
      <c r="E138" s="2" t="s">
        <v>91</v>
      </c>
      <c r="F138" s="2" t="s">
        <v>45</v>
      </c>
      <c r="G138" s="2" t="s">
        <v>23</v>
      </c>
      <c r="H138" s="2">
        <v>4</v>
      </c>
      <c r="I138" s="7">
        <v>121.73</v>
      </c>
      <c r="J138" s="2">
        <v>5</v>
      </c>
      <c r="K138" s="7">
        <v>462.57</v>
      </c>
      <c r="L138" s="1" t="s">
        <v>2347</v>
      </c>
      <c r="M138" s="2" t="s">
        <v>2365</v>
      </c>
    </row>
    <row r="139" spans="1:13" x14ac:dyDescent="0.3">
      <c r="A139" s="2" t="s">
        <v>688</v>
      </c>
      <c r="B139" s="5">
        <v>46259</v>
      </c>
      <c r="C139" s="2" t="s">
        <v>689</v>
      </c>
      <c r="D139" s="2" t="s">
        <v>24</v>
      </c>
      <c r="E139" s="2" t="s">
        <v>104</v>
      </c>
      <c r="F139" s="2" t="s">
        <v>45</v>
      </c>
      <c r="G139" s="2" t="s">
        <v>23</v>
      </c>
      <c r="H139" s="2">
        <v>10</v>
      </c>
      <c r="I139" s="7">
        <v>54.28</v>
      </c>
      <c r="J139" s="2">
        <v>10</v>
      </c>
      <c r="K139" s="7">
        <v>488.52</v>
      </c>
      <c r="L139" s="2" t="s">
        <v>27</v>
      </c>
      <c r="M139" s="2" t="s">
        <v>2364</v>
      </c>
    </row>
    <row r="140" spans="1:13" x14ac:dyDescent="0.3">
      <c r="A140" s="2" t="s">
        <v>565</v>
      </c>
      <c r="B140" s="5">
        <v>45736</v>
      </c>
      <c r="C140" s="2" t="s">
        <v>566</v>
      </c>
      <c r="D140" s="2" t="s">
        <v>24</v>
      </c>
      <c r="E140" s="2" t="s">
        <v>41</v>
      </c>
      <c r="F140" s="2" t="s">
        <v>45</v>
      </c>
      <c r="G140" s="2" t="s">
        <v>23</v>
      </c>
      <c r="H140" s="2">
        <v>7</v>
      </c>
      <c r="I140" s="7">
        <v>124.12</v>
      </c>
      <c r="J140" s="2">
        <v>10</v>
      </c>
      <c r="K140" s="7">
        <v>781.96</v>
      </c>
      <c r="L140" s="2" t="s">
        <v>49</v>
      </c>
      <c r="M140" s="2" t="s">
        <v>2364</v>
      </c>
    </row>
    <row r="141" spans="1:13" x14ac:dyDescent="0.3">
      <c r="A141" s="2" t="s">
        <v>1304</v>
      </c>
      <c r="B141" s="5">
        <v>45595</v>
      </c>
      <c r="C141" s="2" t="s">
        <v>1305</v>
      </c>
      <c r="D141" s="2" t="s">
        <v>16</v>
      </c>
      <c r="E141" s="2" t="s">
        <v>74</v>
      </c>
      <c r="F141" s="2" t="s">
        <v>45</v>
      </c>
      <c r="G141" s="2" t="s">
        <v>23</v>
      </c>
      <c r="H141" s="2">
        <v>5</v>
      </c>
      <c r="I141" s="7">
        <v>171.65</v>
      </c>
      <c r="J141" s="2">
        <v>0</v>
      </c>
      <c r="K141" s="7">
        <v>858.25</v>
      </c>
      <c r="L141" s="2" t="s">
        <v>69</v>
      </c>
      <c r="M141" s="2" t="s">
        <v>2364</v>
      </c>
    </row>
    <row r="142" spans="1:13" x14ac:dyDescent="0.3">
      <c r="A142" s="2" t="s">
        <v>1684</v>
      </c>
      <c r="B142" s="5">
        <v>46255</v>
      </c>
      <c r="C142" s="2" t="s">
        <v>1685</v>
      </c>
      <c r="D142" s="2" t="s">
        <v>46</v>
      </c>
      <c r="E142" s="2" t="s">
        <v>47</v>
      </c>
      <c r="F142" s="2" t="s">
        <v>45</v>
      </c>
      <c r="G142" s="2" t="s">
        <v>23</v>
      </c>
      <c r="H142" s="2">
        <v>7</v>
      </c>
      <c r="I142" s="7">
        <v>161.66</v>
      </c>
      <c r="J142" s="2">
        <v>20</v>
      </c>
      <c r="K142" s="7">
        <v>905.3</v>
      </c>
      <c r="L142" s="1" t="s">
        <v>2347</v>
      </c>
      <c r="M142" s="2" t="s">
        <v>2364</v>
      </c>
    </row>
    <row r="143" spans="1:13" x14ac:dyDescent="0.3">
      <c r="A143" s="2" t="s">
        <v>1792</v>
      </c>
      <c r="B143" s="5">
        <v>46094</v>
      </c>
      <c r="C143" s="2" t="s">
        <v>1793</v>
      </c>
      <c r="D143" s="2" t="s">
        <v>16</v>
      </c>
      <c r="E143" s="2" t="s">
        <v>160</v>
      </c>
      <c r="F143" s="2" t="s">
        <v>45</v>
      </c>
      <c r="G143" s="2" t="s">
        <v>23</v>
      </c>
      <c r="H143" s="2">
        <v>21</v>
      </c>
      <c r="I143" s="7">
        <v>43.16</v>
      </c>
      <c r="J143" s="2">
        <v>0</v>
      </c>
      <c r="K143" s="7">
        <v>906.36</v>
      </c>
      <c r="L143" s="2" t="s">
        <v>69</v>
      </c>
      <c r="M143" s="2" t="s">
        <v>2364</v>
      </c>
    </row>
    <row r="144" spans="1:13" x14ac:dyDescent="0.3">
      <c r="A144" s="2" t="s">
        <v>1917</v>
      </c>
      <c r="B144" s="5">
        <v>45903</v>
      </c>
      <c r="C144" s="2" t="s">
        <v>994</v>
      </c>
      <c r="D144" s="2" t="s">
        <v>24</v>
      </c>
      <c r="E144" s="2" t="s">
        <v>104</v>
      </c>
      <c r="F144" s="2" t="s">
        <v>45</v>
      </c>
      <c r="G144" s="2" t="s">
        <v>23</v>
      </c>
      <c r="H144" s="2">
        <v>30</v>
      </c>
      <c r="I144" s="7">
        <v>37.979999999999997</v>
      </c>
      <c r="J144" s="2">
        <v>20</v>
      </c>
      <c r="K144" s="7">
        <v>911.52</v>
      </c>
      <c r="L144" s="2" t="s">
        <v>31</v>
      </c>
      <c r="M144" s="2" t="s">
        <v>2365</v>
      </c>
    </row>
    <row r="145" spans="1:13" x14ac:dyDescent="0.3">
      <c r="A145" s="2" t="s">
        <v>2169</v>
      </c>
      <c r="B145" s="5">
        <v>45623</v>
      </c>
      <c r="C145" s="2" t="s">
        <v>444</v>
      </c>
      <c r="D145" s="2" t="s">
        <v>16</v>
      </c>
      <c r="E145" s="2" t="s">
        <v>111</v>
      </c>
      <c r="F145" s="2" t="s">
        <v>45</v>
      </c>
      <c r="G145" s="2" t="s">
        <v>23</v>
      </c>
      <c r="H145" s="2">
        <v>17</v>
      </c>
      <c r="I145" s="7">
        <v>61.77</v>
      </c>
      <c r="J145" s="2">
        <v>0</v>
      </c>
      <c r="K145" s="7">
        <v>1050.0899999999999</v>
      </c>
      <c r="L145" s="2" t="s">
        <v>69</v>
      </c>
      <c r="M145" s="2" t="s">
        <v>2365</v>
      </c>
    </row>
    <row r="146" spans="1:13" x14ac:dyDescent="0.3">
      <c r="A146" s="2" t="s">
        <v>1121</v>
      </c>
      <c r="B146" s="5">
        <v>45896</v>
      </c>
      <c r="C146" s="2" t="s">
        <v>1122</v>
      </c>
      <c r="D146" s="2" t="s">
        <v>16</v>
      </c>
      <c r="E146" s="2" t="s">
        <v>111</v>
      </c>
      <c r="F146" s="2" t="s">
        <v>45</v>
      </c>
      <c r="G146" s="2" t="s">
        <v>23</v>
      </c>
      <c r="H146" s="2">
        <v>9</v>
      </c>
      <c r="I146" s="7">
        <v>126.34</v>
      </c>
      <c r="J146" s="2">
        <v>5</v>
      </c>
      <c r="K146" s="7">
        <v>1080.21</v>
      </c>
      <c r="L146" s="1" t="s">
        <v>2347</v>
      </c>
      <c r="M146" s="2" t="s">
        <v>2365</v>
      </c>
    </row>
    <row r="147" spans="1:13" x14ac:dyDescent="0.3">
      <c r="A147" s="2" t="s">
        <v>810</v>
      </c>
      <c r="B147" s="5">
        <v>46268</v>
      </c>
      <c r="C147" s="2" t="s">
        <v>811</v>
      </c>
      <c r="D147" s="2" t="s">
        <v>46</v>
      </c>
      <c r="E147" s="2" t="s">
        <v>78</v>
      </c>
      <c r="F147" s="2" t="s">
        <v>45</v>
      </c>
      <c r="G147" s="2" t="s">
        <v>23</v>
      </c>
      <c r="H147" s="2">
        <v>23</v>
      </c>
      <c r="I147" s="7">
        <v>50.13</v>
      </c>
      <c r="J147" s="2">
        <v>5</v>
      </c>
      <c r="K147" s="7">
        <v>1095.3399999999999</v>
      </c>
      <c r="L147" s="2" t="s">
        <v>69</v>
      </c>
      <c r="M147" s="2" t="s">
        <v>2364</v>
      </c>
    </row>
    <row r="148" spans="1:13" x14ac:dyDescent="0.3">
      <c r="A148" s="2" t="s">
        <v>367</v>
      </c>
      <c r="B148" s="5">
        <v>46236</v>
      </c>
      <c r="C148" s="2" t="s">
        <v>368</v>
      </c>
      <c r="D148" s="2" t="s">
        <v>24</v>
      </c>
      <c r="E148" s="2" t="s">
        <v>36</v>
      </c>
      <c r="F148" s="2" t="s">
        <v>45</v>
      </c>
      <c r="G148" s="2" t="s">
        <v>23</v>
      </c>
      <c r="H148" s="2">
        <v>14</v>
      </c>
      <c r="I148" s="7">
        <v>92.29</v>
      </c>
      <c r="J148" s="2">
        <v>15</v>
      </c>
      <c r="K148" s="7">
        <v>1098.25</v>
      </c>
      <c r="L148" s="2" t="s">
        <v>31</v>
      </c>
      <c r="M148" s="2" t="s">
        <v>2364</v>
      </c>
    </row>
    <row r="149" spans="1:13" x14ac:dyDescent="0.3">
      <c r="A149" s="2" t="s">
        <v>1532</v>
      </c>
      <c r="B149" s="5">
        <v>46150</v>
      </c>
      <c r="C149" s="2" t="s">
        <v>1533</v>
      </c>
      <c r="D149" s="2" t="s">
        <v>24</v>
      </c>
      <c r="E149" s="2" t="s">
        <v>104</v>
      </c>
      <c r="F149" s="2" t="s">
        <v>45</v>
      </c>
      <c r="G149" s="2" t="s">
        <v>23</v>
      </c>
      <c r="H149" s="2">
        <v>36</v>
      </c>
      <c r="I149" s="7">
        <v>40.79</v>
      </c>
      <c r="J149" s="2">
        <v>20</v>
      </c>
      <c r="K149" s="7">
        <v>1174.75</v>
      </c>
      <c r="L149" s="2" t="s">
        <v>31</v>
      </c>
      <c r="M149" s="2" t="s">
        <v>2364</v>
      </c>
    </row>
    <row r="150" spans="1:13" x14ac:dyDescent="0.3">
      <c r="A150" s="2" t="s">
        <v>2259</v>
      </c>
      <c r="B150" s="5">
        <v>45796</v>
      </c>
      <c r="C150" s="2" t="s">
        <v>2260</v>
      </c>
      <c r="D150" s="2" t="s">
        <v>24</v>
      </c>
      <c r="E150" s="2" t="s">
        <v>36</v>
      </c>
      <c r="F150" s="2" t="s">
        <v>45</v>
      </c>
      <c r="G150" s="2" t="s">
        <v>23</v>
      </c>
      <c r="H150" s="2">
        <v>7</v>
      </c>
      <c r="I150" s="7">
        <v>181.14</v>
      </c>
      <c r="J150" s="2">
        <v>0</v>
      </c>
      <c r="K150" s="7">
        <v>1267.98</v>
      </c>
      <c r="L150" s="2" t="s">
        <v>69</v>
      </c>
      <c r="M150" s="2" t="s">
        <v>2365</v>
      </c>
    </row>
    <row r="151" spans="1:13" x14ac:dyDescent="0.3">
      <c r="A151" s="2" t="s">
        <v>627</v>
      </c>
      <c r="B151" s="5">
        <v>45713</v>
      </c>
      <c r="C151" s="2" t="s">
        <v>628</v>
      </c>
      <c r="D151" s="2" t="s">
        <v>24</v>
      </c>
      <c r="E151" s="2" t="s">
        <v>41</v>
      </c>
      <c r="F151" s="2" t="s">
        <v>45</v>
      </c>
      <c r="G151" s="2" t="s">
        <v>23</v>
      </c>
      <c r="H151" s="2">
        <v>14</v>
      </c>
      <c r="I151" s="7">
        <v>95.46</v>
      </c>
      <c r="J151" s="2">
        <v>5</v>
      </c>
      <c r="K151" s="7">
        <v>1269.6199999999999</v>
      </c>
      <c r="L151" s="2" t="s">
        <v>27</v>
      </c>
      <c r="M151" s="2" t="s">
        <v>2365</v>
      </c>
    </row>
    <row r="152" spans="1:13" x14ac:dyDescent="0.3">
      <c r="A152" s="2" t="s">
        <v>1566</v>
      </c>
      <c r="B152" s="5">
        <v>45989</v>
      </c>
      <c r="C152" s="2" t="s">
        <v>1567</v>
      </c>
      <c r="D152" s="2" t="s">
        <v>53</v>
      </c>
      <c r="E152" s="2" t="s">
        <v>134</v>
      </c>
      <c r="F152" s="2" t="s">
        <v>45</v>
      </c>
      <c r="G152" s="2" t="s">
        <v>23</v>
      </c>
      <c r="H152" s="2">
        <v>28</v>
      </c>
      <c r="I152" s="7">
        <v>53.02</v>
      </c>
      <c r="J152" s="2">
        <v>0</v>
      </c>
      <c r="K152" s="7">
        <v>1484.56</v>
      </c>
      <c r="L152" s="2" t="s">
        <v>49</v>
      </c>
      <c r="M152" s="2" t="s">
        <v>2364</v>
      </c>
    </row>
    <row r="153" spans="1:13" x14ac:dyDescent="0.3">
      <c r="A153" s="2" t="s">
        <v>1511</v>
      </c>
      <c r="B153" s="5">
        <v>46220</v>
      </c>
      <c r="C153" s="2" t="s">
        <v>465</v>
      </c>
      <c r="D153" s="2" t="s">
        <v>24</v>
      </c>
      <c r="E153" s="2" t="s">
        <v>36</v>
      </c>
      <c r="F153" s="2" t="s">
        <v>45</v>
      </c>
      <c r="G153" s="2" t="s">
        <v>23</v>
      </c>
      <c r="H153" s="2">
        <v>9</v>
      </c>
      <c r="I153" s="7">
        <v>184.7</v>
      </c>
      <c r="J153" s="2">
        <v>10</v>
      </c>
      <c r="K153" s="7">
        <v>1496.07</v>
      </c>
      <c r="L153" s="2" t="s">
        <v>69</v>
      </c>
      <c r="M153" s="2" t="s">
        <v>2365</v>
      </c>
    </row>
    <row r="154" spans="1:13" x14ac:dyDescent="0.3">
      <c r="A154" s="2" t="s">
        <v>1169</v>
      </c>
      <c r="B154" s="5">
        <v>45891</v>
      </c>
      <c r="C154" s="2" t="s">
        <v>1170</v>
      </c>
      <c r="D154" s="2" t="s">
        <v>24</v>
      </c>
      <c r="E154" s="2" t="s">
        <v>41</v>
      </c>
      <c r="F154" s="2" t="s">
        <v>45</v>
      </c>
      <c r="G154" s="2" t="s">
        <v>23</v>
      </c>
      <c r="H154" s="2">
        <v>11</v>
      </c>
      <c r="I154" s="7">
        <v>175.53</v>
      </c>
      <c r="J154" s="2">
        <v>20</v>
      </c>
      <c r="K154" s="7">
        <v>1544.66</v>
      </c>
      <c r="L154" s="2" t="s">
        <v>31</v>
      </c>
      <c r="M154" s="2" t="s">
        <v>2365</v>
      </c>
    </row>
    <row r="155" spans="1:13" x14ac:dyDescent="0.3">
      <c r="A155" s="2" t="s">
        <v>543</v>
      </c>
      <c r="B155" s="5">
        <v>45770</v>
      </c>
      <c r="C155" s="2" t="s">
        <v>544</v>
      </c>
      <c r="D155" s="2" t="s">
        <v>53</v>
      </c>
      <c r="E155" s="2" t="s">
        <v>67</v>
      </c>
      <c r="F155" s="2" t="s">
        <v>45</v>
      </c>
      <c r="G155" s="2" t="s">
        <v>23</v>
      </c>
      <c r="H155" s="2">
        <v>46</v>
      </c>
      <c r="I155" s="7">
        <v>39.92</v>
      </c>
      <c r="J155" s="2">
        <v>10</v>
      </c>
      <c r="K155" s="7">
        <v>1652.69</v>
      </c>
      <c r="L155" s="2" t="s">
        <v>69</v>
      </c>
      <c r="M155" s="2" t="s">
        <v>2364</v>
      </c>
    </row>
    <row r="156" spans="1:13" x14ac:dyDescent="0.3">
      <c r="A156" s="2" t="s">
        <v>1850</v>
      </c>
      <c r="B156" s="5">
        <v>46061</v>
      </c>
      <c r="C156" s="2" t="s">
        <v>359</v>
      </c>
      <c r="D156" s="2" t="s">
        <v>24</v>
      </c>
      <c r="E156" s="2" t="s">
        <v>36</v>
      </c>
      <c r="F156" s="2" t="s">
        <v>45</v>
      </c>
      <c r="G156" s="2" t="s">
        <v>23</v>
      </c>
      <c r="H156" s="2">
        <v>28</v>
      </c>
      <c r="I156" s="7">
        <v>62.82</v>
      </c>
      <c r="J156" s="2">
        <v>5</v>
      </c>
      <c r="K156" s="7">
        <v>1671.01</v>
      </c>
      <c r="L156" s="2" t="s">
        <v>69</v>
      </c>
      <c r="M156" s="2" t="s">
        <v>2364</v>
      </c>
    </row>
    <row r="157" spans="1:13" x14ac:dyDescent="0.3">
      <c r="A157" s="2" t="s">
        <v>1725</v>
      </c>
      <c r="B157" s="5">
        <v>46238</v>
      </c>
      <c r="C157" s="2" t="s">
        <v>1726</v>
      </c>
      <c r="D157" s="2" t="s">
        <v>53</v>
      </c>
      <c r="E157" s="2" t="s">
        <v>134</v>
      </c>
      <c r="F157" s="2" t="s">
        <v>45</v>
      </c>
      <c r="G157" s="2" t="s">
        <v>23</v>
      </c>
      <c r="H157" s="2">
        <v>11</v>
      </c>
      <c r="I157" s="7">
        <v>159.22</v>
      </c>
      <c r="J157" s="2">
        <v>0</v>
      </c>
      <c r="K157" s="7">
        <v>1751.42</v>
      </c>
      <c r="L157" s="2" t="s">
        <v>69</v>
      </c>
      <c r="M157" s="2" t="s">
        <v>2364</v>
      </c>
    </row>
    <row r="158" spans="1:13" x14ac:dyDescent="0.3">
      <c r="A158" s="2" t="s">
        <v>798</v>
      </c>
      <c r="B158" s="5">
        <v>45722</v>
      </c>
      <c r="C158" s="2" t="s">
        <v>799</v>
      </c>
      <c r="D158" s="2" t="s">
        <v>24</v>
      </c>
      <c r="E158" s="2" t="s">
        <v>25</v>
      </c>
      <c r="F158" s="2" t="s">
        <v>45</v>
      </c>
      <c r="G158" s="2" t="s">
        <v>23</v>
      </c>
      <c r="H158" s="2">
        <v>36</v>
      </c>
      <c r="I158" s="7">
        <v>49.37</v>
      </c>
      <c r="J158" s="2">
        <v>0</v>
      </c>
      <c r="K158" s="7">
        <v>1777.32</v>
      </c>
      <c r="L158" s="2" t="s">
        <v>31</v>
      </c>
      <c r="M158" s="2" t="s">
        <v>2365</v>
      </c>
    </row>
    <row r="159" spans="1:13" x14ac:dyDescent="0.3">
      <c r="A159" s="2" t="s">
        <v>317</v>
      </c>
      <c r="B159" s="5">
        <v>45797</v>
      </c>
      <c r="C159" s="2" t="s">
        <v>318</v>
      </c>
      <c r="D159" s="2" t="s">
        <v>53</v>
      </c>
      <c r="E159" s="2" t="s">
        <v>54</v>
      </c>
      <c r="F159" s="2" t="s">
        <v>45</v>
      </c>
      <c r="G159" s="2" t="s">
        <v>23</v>
      </c>
      <c r="H159" s="2">
        <v>18</v>
      </c>
      <c r="I159" s="7">
        <v>107.49</v>
      </c>
      <c r="J159" s="2">
        <v>5</v>
      </c>
      <c r="K159" s="7">
        <v>1838.08</v>
      </c>
      <c r="L159" s="2" t="s">
        <v>49</v>
      </c>
      <c r="M159" s="2" t="s">
        <v>2365</v>
      </c>
    </row>
    <row r="160" spans="1:13" x14ac:dyDescent="0.3">
      <c r="A160" s="2" t="s">
        <v>1487</v>
      </c>
      <c r="B160" s="5">
        <v>45857</v>
      </c>
      <c r="C160" s="2" t="s">
        <v>541</v>
      </c>
      <c r="D160" s="2" t="s">
        <v>16</v>
      </c>
      <c r="E160" s="2" t="s">
        <v>111</v>
      </c>
      <c r="F160" s="2" t="s">
        <v>45</v>
      </c>
      <c r="G160" s="2" t="s">
        <v>23</v>
      </c>
      <c r="H160" s="2">
        <v>45</v>
      </c>
      <c r="I160" s="7">
        <v>45.44</v>
      </c>
      <c r="J160" s="2">
        <v>10</v>
      </c>
      <c r="K160" s="7">
        <v>1840.32</v>
      </c>
      <c r="L160" s="2" t="s">
        <v>69</v>
      </c>
      <c r="M160" s="2" t="s">
        <v>2364</v>
      </c>
    </row>
    <row r="161" spans="1:13" x14ac:dyDescent="0.3">
      <c r="A161" s="2" t="s">
        <v>2053</v>
      </c>
      <c r="B161" s="5">
        <v>45589</v>
      </c>
      <c r="C161" s="2" t="s">
        <v>2054</v>
      </c>
      <c r="D161" s="2" t="s">
        <v>46</v>
      </c>
      <c r="E161" s="2" t="s">
        <v>47</v>
      </c>
      <c r="F161" s="2" t="s">
        <v>45</v>
      </c>
      <c r="G161" s="2" t="s">
        <v>23</v>
      </c>
      <c r="H161" s="2">
        <v>37</v>
      </c>
      <c r="I161" s="7">
        <v>61.52</v>
      </c>
      <c r="J161" s="2">
        <v>5</v>
      </c>
      <c r="K161" s="7">
        <v>2162.4299999999998</v>
      </c>
      <c r="L161" s="2" t="s">
        <v>31</v>
      </c>
      <c r="M161" s="2" t="s">
        <v>2365</v>
      </c>
    </row>
    <row r="162" spans="1:13" x14ac:dyDescent="0.3">
      <c r="A162" s="2" t="s">
        <v>1999</v>
      </c>
      <c r="B162" s="5">
        <v>46021</v>
      </c>
      <c r="C162" s="2" t="s">
        <v>2000</v>
      </c>
      <c r="D162" s="2" t="s">
        <v>46</v>
      </c>
      <c r="E162" s="2" t="s">
        <v>83</v>
      </c>
      <c r="F162" s="2" t="s">
        <v>45</v>
      </c>
      <c r="G162" s="2" t="s">
        <v>23</v>
      </c>
      <c r="H162" s="2">
        <v>19</v>
      </c>
      <c r="I162" s="7">
        <v>116.01</v>
      </c>
      <c r="J162" s="2">
        <v>0</v>
      </c>
      <c r="K162" s="7">
        <v>2204.19</v>
      </c>
      <c r="L162" s="2" t="s">
        <v>49</v>
      </c>
      <c r="M162" s="2" t="s">
        <v>2364</v>
      </c>
    </row>
    <row r="163" spans="1:13" x14ac:dyDescent="0.3">
      <c r="A163" s="2" t="s">
        <v>1856</v>
      </c>
      <c r="B163" s="5">
        <v>46207</v>
      </c>
      <c r="C163" s="2" t="s">
        <v>1857</v>
      </c>
      <c r="D163" s="2" t="s">
        <v>46</v>
      </c>
      <c r="E163" s="2" t="s">
        <v>78</v>
      </c>
      <c r="F163" s="2" t="s">
        <v>45</v>
      </c>
      <c r="G163" s="2" t="s">
        <v>23</v>
      </c>
      <c r="H163" s="2">
        <v>49</v>
      </c>
      <c r="I163" s="7">
        <v>47.72</v>
      </c>
      <c r="J163" s="2">
        <v>5</v>
      </c>
      <c r="K163" s="7">
        <v>2221.37</v>
      </c>
      <c r="L163" s="2" t="s">
        <v>49</v>
      </c>
      <c r="M163" s="2" t="s">
        <v>2364</v>
      </c>
    </row>
    <row r="164" spans="1:13" x14ac:dyDescent="0.3">
      <c r="A164" s="2" t="s">
        <v>43</v>
      </c>
      <c r="B164" s="5">
        <v>45588</v>
      </c>
      <c r="C164" s="2" t="s">
        <v>44</v>
      </c>
      <c r="D164" s="2" t="s">
        <v>46</v>
      </c>
      <c r="E164" s="2" t="s">
        <v>47</v>
      </c>
      <c r="F164" s="2" t="s">
        <v>45</v>
      </c>
      <c r="G164" s="2" t="s">
        <v>23</v>
      </c>
      <c r="H164" s="2">
        <v>16</v>
      </c>
      <c r="I164" s="7">
        <v>138.99</v>
      </c>
      <c r="J164" s="2">
        <v>0</v>
      </c>
      <c r="K164" s="7">
        <v>2223.84</v>
      </c>
      <c r="L164" s="2" t="s">
        <v>49</v>
      </c>
      <c r="M164" s="2" t="s">
        <v>2364</v>
      </c>
    </row>
    <row r="165" spans="1:13" x14ac:dyDescent="0.3">
      <c r="A165" s="2" t="s">
        <v>2278</v>
      </c>
      <c r="B165" s="5">
        <v>46083</v>
      </c>
      <c r="C165" s="2" t="s">
        <v>2279</v>
      </c>
      <c r="D165" s="2" t="s">
        <v>53</v>
      </c>
      <c r="E165" s="2" t="s">
        <v>134</v>
      </c>
      <c r="F165" s="2" t="s">
        <v>45</v>
      </c>
      <c r="G165" s="2" t="s">
        <v>23</v>
      </c>
      <c r="H165" s="2">
        <v>12</v>
      </c>
      <c r="I165" s="7">
        <v>199.96</v>
      </c>
      <c r="J165" s="2">
        <v>5</v>
      </c>
      <c r="K165" s="7">
        <v>2279.54</v>
      </c>
      <c r="L165" s="2" t="s">
        <v>49</v>
      </c>
      <c r="M165" s="2" t="s">
        <v>2365</v>
      </c>
    </row>
    <row r="166" spans="1:13" x14ac:dyDescent="0.3">
      <c r="A166" s="2" t="s">
        <v>2341</v>
      </c>
      <c r="B166" s="5">
        <v>46105</v>
      </c>
      <c r="C166" s="2" t="s">
        <v>1410</v>
      </c>
      <c r="D166" s="2" t="s">
        <v>16</v>
      </c>
      <c r="E166" s="2" t="s">
        <v>74</v>
      </c>
      <c r="F166" s="2" t="s">
        <v>45</v>
      </c>
      <c r="G166" s="2" t="s">
        <v>23</v>
      </c>
      <c r="H166" s="2">
        <v>31</v>
      </c>
      <c r="I166" s="7">
        <v>84.99</v>
      </c>
      <c r="J166" s="2">
        <v>5</v>
      </c>
      <c r="K166" s="7">
        <v>2502.96</v>
      </c>
      <c r="L166" s="2" t="s">
        <v>27</v>
      </c>
      <c r="M166" s="2" t="s">
        <v>2365</v>
      </c>
    </row>
    <row r="167" spans="1:13" x14ac:dyDescent="0.3">
      <c r="A167" s="2" t="s">
        <v>227</v>
      </c>
      <c r="B167" s="5">
        <v>45975</v>
      </c>
      <c r="C167" s="2" t="s">
        <v>228</v>
      </c>
      <c r="D167" s="2" t="s">
        <v>53</v>
      </c>
      <c r="E167" s="2" t="s">
        <v>54</v>
      </c>
      <c r="F167" s="2" t="s">
        <v>45</v>
      </c>
      <c r="G167" s="2" t="s">
        <v>23</v>
      </c>
      <c r="H167" s="2">
        <v>13</v>
      </c>
      <c r="I167" s="7">
        <v>198.05</v>
      </c>
      <c r="J167" s="2">
        <v>0</v>
      </c>
      <c r="K167" s="7">
        <v>2574.65</v>
      </c>
      <c r="L167" s="1" t="s">
        <v>2347</v>
      </c>
      <c r="M167" s="2" t="s">
        <v>2364</v>
      </c>
    </row>
    <row r="168" spans="1:13" x14ac:dyDescent="0.3">
      <c r="A168" s="2" t="s">
        <v>2031</v>
      </c>
      <c r="B168" s="5">
        <v>45978</v>
      </c>
      <c r="C168" s="2" t="s">
        <v>2032</v>
      </c>
      <c r="D168" s="2" t="s">
        <v>46</v>
      </c>
      <c r="E168" s="2" t="s">
        <v>244</v>
      </c>
      <c r="F168" s="2" t="s">
        <v>45</v>
      </c>
      <c r="G168" s="2" t="s">
        <v>23</v>
      </c>
      <c r="H168" s="2">
        <v>14</v>
      </c>
      <c r="I168" s="7">
        <v>197.75</v>
      </c>
      <c r="J168" s="2">
        <v>5</v>
      </c>
      <c r="K168" s="7">
        <v>2630.08</v>
      </c>
      <c r="L168" s="2" t="s">
        <v>69</v>
      </c>
      <c r="M168" s="2" t="s">
        <v>2365</v>
      </c>
    </row>
    <row r="169" spans="1:13" x14ac:dyDescent="0.3">
      <c r="A169" s="2" t="s">
        <v>679</v>
      </c>
      <c r="B169" s="5">
        <v>45903</v>
      </c>
      <c r="C169" s="2" t="s">
        <v>680</v>
      </c>
      <c r="D169" s="2" t="s">
        <v>24</v>
      </c>
      <c r="E169" s="2" t="s">
        <v>41</v>
      </c>
      <c r="F169" s="2" t="s">
        <v>45</v>
      </c>
      <c r="G169" s="2" t="s">
        <v>23</v>
      </c>
      <c r="H169" s="2">
        <v>50</v>
      </c>
      <c r="I169" s="7">
        <v>60.71</v>
      </c>
      <c r="J169" s="2">
        <v>10</v>
      </c>
      <c r="K169" s="7">
        <v>2731.95</v>
      </c>
      <c r="L169" s="2" t="s">
        <v>49</v>
      </c>
      <c r="M169" s="2" t="s">
        <v>2365</v>
      </c>
    </row>
    <row r="170" spans="1:13" x14ac:dyDescent="0.3">
      <c r="A170" s="2" t="s">
        <v>1744</v>
      </c>
      <c r="B170" s="5">
        <v>45857</v>
      </c>
      <c r="C170" s="2" t="s">
        <v>703</v>
      </c>
      <c r="D170" s="2" t="s">
        <v>16</v>
      </c>
      <c r="E170" s="2" t="s">
        <v>160</v>
      </c>
      <c r="F170" s="2" t="s">
        <v>45</v>
      </c>
      <c r="G170" s="2" t="s">
        <v>23</v>
      </c>
      <c r="H170" s="2">
        <v>36</v>
      </c>
      <c r="I170" s="7">
        <v>97.3</v>
      </c>
      <c r="J170" s="2">
        <v>10</v>
      </c>
      <c r="K170" s="7">
        <v>3152.52</v>
      </c>
      <c r="L170" s="2" t="s">
        <v>69</v>
      </c>
      <c r="M170" s="2" t="s">
        <v>2364</v>
      </c>
    </row>
    <row r="171" spans="1:13" x14ac:dyDescent="0.3">
      <c r="A171" s="2" t="s">
        <v>287</v>
      </c>
      <c r="B171" s="5">
        <v>46131</v>
      </c>
      <c r="C171" s="2" t="s">
        <v>288</v>
      </c>
      <c r="D171" s="2" t="s">
        <v>46</v>
      </c>
      <c r="E171" s="2" t="s">
        <v>124</v>
      </c>
      <c r="F171" s="2" t="s">
        <v>45</v>
      </c>
      <c r="G171" s="2" t="s">
        <v>23</v>
      </c>
      <c r="H171" s="2">
        <v>26</v>
      </c>
      <c r="I171" s="7">
        <v>124.48</v>
      </c>
      <c r="J171" s="2">
        <v>0</v>
      </c>
      <c r="K171" s="7">
        <v>3236.48</v>
      </c>
      <c r="L171" s="2" t="s">
        <v>49</v>
      </c>
      <c r="M171" s="2" t="s">
        <v>2364</v>
      </c>
    </row>
    <row r="172" spans="1:13" x14ac:dyDescent="0.3">
      <c r="A172" s="2" t="s">
        <v>551</v>
      </c>
      <c r="B172" s="5">
        <v>46271</v>
      </c>
      <c r="C172" s="2" t="s">
        <v>552</v>
      </c>
      <c r="D172" s="2" t="s">
        <v>16</v>
      </c>
      <c r="E172" s="2" t="s">
        <v>74</v>
      </c>
      <c r="F172" s="2" t="s">
        <v>45</v>
      </c>
      <c r="G172" s="2" t="s">
        <v>23</v>
      </c>
      <c r="H172" s="2">
        <v>19</v>
      </c>
      <c r="I172" s="7">
        <v>193.23</v>
      </c>
      <c r="J172" s="2">
        <v>10</v>
      </c>
      <c r="K172" s="7">
        <v>3304.23</v>
      </c>
      <c r="L172" s="1" t="s">
        <v>2347</v>
      </c>
      <c r="M172" s="2" t="s">
        <v>2365</v>
      </c>
    </row>
    <row r="173" spans="1:13" x14ac:dyDescent="0.3">
      <c r="A173" s="2" t="s">
        <v>976</v>
      </c>
      <c r="B173" s="5">
        <v>46101</v>
      </c>
      <c r="C173" s="2" t="s">
        <v>977</v>
      </c>
      <c r="D173" s="2" t="s">
        <v>46</v>
      </c>
      <c r="E173" s="2" t="s">
        <v>47</v>
      </c>
      <c r="F173" s="2" t="s">
        <v>45</v>
      </c>
      <c r="G173" s="2" t="s">
        <v>23</v>
      </c>
      <c r="H173" s="2">
        <v>36</v>
      </c>
      <c r="I173" s="7">
        <v>93.14</v>
      </c>
      <c r="J173" s="2">
        <v>0</v>
      </c>
      <c r="K173" s="7">
        <v>3353.04</v>
      </c>
      <c r="L173" s="2" t="s">
        <v>69</v>
      </c>
      <c r="M173" s="2" t="s">
        <v>2364</v>
      </c>
    </row>
    <row r="174" spans="1:13" x14ac:dyDescent="0.3">
      <c r="A174" s="2" t="s">
        <v>1930</v>
      </c>
      <c r="B174" s="5">
        <v>45636</v>
      </c>
      <c r="C174" s="2" t="s">
        <v>757</v>
      </c>
      <c r="D174" s="2" t="s">
        <v>16</v>
      </c>
      <c r="E174" s="2" t="s">
        <v>111</v>
      </c>
      <c r="F174" s="2" t="s">
        <v>45</v>
      </c>
      <c r="G174" s="2" t="s">
        <v>23</v>
      </c>
      <c r="H174" s="2">
        <v>40</v>
      </c>
      <c r="I174" s="7">
        <v>106.04</v>
      </c>
      <c r="J174" s="2">
        <v>20</v>
      </c>
      <c r="K174" s="7">
        <v>3393.28</v>
      </c>
      <c r="L174" s="1" t="s">
        <v>2347</v>
      </c>
      <c r="M174" s="2" t="s">
        <v>2365</v>
      </c>
    </row>
    <row r="175" spans="1:13" x14ac:dyDescent="0.3">
      <c r="A175" s="2" t="s">
        <v>1979</v>
      </c>
      <c r="B175" s="5">
        <v>46160</v>
      </c>
      <c r="C175" s="2" t="s">
        <v>1168</v>
      </c>
      <c r="D175" s="2" t="s">
        <v>16</v>
      </c>
      <c r="E175" s="2" t="s">
        <v>160</v>
      </c>
      <c r="F175" s="2" t="s">
        <v>45</v>
      </c>
      <c r="G175" s="2" t="s">
        <v>23</v>
      </c>
      <c r="H175" s="2">
        <v>32</v>
      </c>
      <c r="I175" s="7">
        <v>118.28</v>
      </c>
      <c r="J175" s="2">
        <v>10</v>
      </c>
      <c r="K175" s="7">
        <v>3406.46</v>
      </c>
      <c r="L175" s="2" t="s">
        <v>49</v>
      </c>
      <c r="M175" s="2" t="s">
        <v>2365</v>
      </c>
    </row>
    <row r="176" spans="1:13" x14ac:dyDescent="0.3">
      <c r="A176" s="2" t="s">
        <v>2212</v>
      </c>
      <c r="B176" s="5">
        <v>45816</v>
      </c>
      <c r="C176" s="2" t="s">
        <v>2213</v>
      </c>
      <c r="D176" s="2" t="s">
        <v>46</v>
      </c>
      <c r="E176" s="2" t="s">
        <v>124</v>
      </c>
      <c r="F176" s="2" t="s">
        <v>45</v>
      </c>
      <c r="G176" s="2" t="s">
        <v>23</v>
      </c>
      <c r="H176" s="2">
        <v>45</v>
      </c>
      <c r="I176" s="7">
        <v>98.8</v>
      </c>
      <c r="J176" s="2">
        <v>15</v>
      </c>
      <c r="K176" s="7">
        <v>3779.1</v>
      </c>
      <c r="L176" s="1" t="s">
        <v>2347</v>
      </c>
      <c r="M176" s="2" t="s">
        <v>2364</v>
      </c>
    </row>
    <row r="177" spans="1:13" x14ac:dyDescent="0.3">
      <c r="A177" s="2" t="s">
        <v>126</v>
      </c>
      <c r="B177" s="5">
        <v>46030</v>
      </c>
      <c r="C177" s="2" t="s">
        <v>127</v>
      </c>
      <c r="D177" s="2" t="s">
        <v>46</v>
      </c>
      <c r="E177" s="2" t="s">
        <v>124</v>
      </c>
      <c r="F177" s="2" t="s">
        <v>45</v>
      </c>
      <c r="G177" s="2" t="s">
        <v>23</v>
      </c>
      <c r="H177" s="2">
        <v>26</v>
      </c>
      <c r="I177" s="7">
        <v>195.27</v>
      </c>
      <c r="J177" s="2">
        <v>20</v>
      </c>
      <c r="K177" s="7">
        <v>4061.62</v>
      </c>
      <c r="L177" s="2" t="s">
        <v>27</v>
      </c>
      <c r="M177" s="2" t="s">
        <v>2364</v>
      </c>
    </row>
    <row r="178" spans="1:13" x14ac:dyDescent="0.3">
      <c r="A178" s="2" t="s">
        <v>425</v>
      </c>
      <c r="B178" s="5">
        <v>46275</v>
      </c>
      <c r="C178" s="2" t="s">
        <v>426</v>
      </c>
      <c r="D178" s="2" t="s">
        <v>53</v>
      </c>
      <c r="E178" s="2" t="s">
        <v>170</v>
      </c>
      <c r="F178" s="2" t="s">
        <v>45</v>
      </c>
      <c r="G178" s="2" t="s">
        <v>23</v>
      </c>
      <c r="H178" s="2">
        <v>24</v>
      </c>
      <c r="I178" s="7">
        <v>178.39</v>
      </c>
      <c r="J178" s="2">
        <v>5</v>
      </c>
      <c r="K178" s="7">
        <v>4067.29</v>
      </c>
      <c r="L178" s="2" t="s">
        <v>31</v>
      </c>
      <c r="M178" s="2" t="s">
        <v>2365</v>
      </c>
    </row>
    <row r="179" spans="1:13" x14ac:dyDescent="0.3">
      <c r="A179" s="2" t="s">
        <v>307</v>
      </c>
      <c r="B179" s="5">
        <v>45932</v>
      </c>
      <c r="C179" s="2" t="s">
        <v>308</v>
      </c>
      <c r="D179" s="2" t="s">
        <v>53</v>
      </c>
      <c r="E179" s="2" t="s">
        <v>170</v>
      </c>
      <c r="F179" s="2" t="s">
        <v>45</v>
      </c>
      <c r="G179" s="2" t="s">
        <v>23</v>
      </c>
      <c r="H179" s="2">
        <v>34</v>
      </c>
      <c r="I179" s="7">
        <v>121.26</v>
      </c>
      <c r="J179" s="2">
        <v>0</v>
      </c>
      <c r="K179" s="7">
        <v>4122.84</v>
      </c>
      <c r="L179" s="2" t="s">
        <v>31</v>
      </c>
      <c r="M179" s="2" t="s">
        <v>2364</v>
      </c>
    </row>
    <row r="180" spans="1:13" x14ac:dyDescent="0.3">
      <c r="A180" s="2" t="s">
        <v>2152</v>
      </c>
      <c r="B180" s="5">
        <v>46233</v>
      </c>
      <c r="C180" s="2" t="s">
        <v>2153</v>
      </c>
      <c r="D180" s="2" t="s">
        <v>53</v>
      </c>
      <c r="E180" s="2" t="s">
        <v>141</v>
      </c>
      <c r="F180" s="2" t="s">
        <v>45</v>
      </c>
      <c r="G180" s="2" t="s">
        <v>23</v>
      </c>
      <c r="H180" s="2">
        <v>39</v>
      </c>
      <c r="I180" s="7">
        <v>107.46</v>
      </c>
      <c r="J180" s="2">
        <v>0</v>
      </c>
      <c r="K180" s="7">
        <v>4190.9399999999996</v>
      </c>
      <c r="L180" s="2" t="s">
        <v>27</v>
      </c>
      <c r="M180" s="2" t="s">
        <v>2365</v>
      </c>
    </row>
    <row r="181" spans="1:13" x14ac:dyDescent="0.3">
      <c r="A181" s="2" t="s">
        <v>1066</v>
      </c>
      <c r="B181" s="5">
        <v>45769</v>
      </c>
      <c r="C181" s="2" t="s">
        <v>1067</v>
      </c>
      <c r="D181" s="2" t="s">
        <v>24</v>
      </c>
      <c r="E181" s="2" t="s">
        <v>104</v>
      </c>
      <c r="F181" s="2" t="s">
        <v>45</v>
      </c>
      <c r="G181" s="2" t="s">
        <v>23</v>
      </c>
      <c r="H181" s="2">
        <v>45</v>
      </c>
      <c r="I181" s="7">
        <v>112.31</v>
      </c>
      <c r="J181" s="2">
        <v>15</v>
      </c>
      <c r="K181" s="7">
        <v>4295.8599999999997</v>
      </c>
      <c r="L181" s="2" t="s">
        <v>27</v>
      </c>
      <c r="M181" s="2" t="s">
        <v>2364</v>
      </c>
    </row>
    <row r="182" spans="1:13" x14ac:dyDescent="0.3">
      <c r="A182" s="2" t="s">
        <v>2313</v>
      </c>
      <c r="B182" s="5">
        <v>45896</v>
      </c>
      <c r="C182" s="2" t="s">
        <v>191</v>
      </c>
      <c r="D182" s="2" t="s">
        <v>16</v>
      </c>
      <c r="E182" s="2" t="s">
        <v>160</v>
      </c>
      <c r="F182" s="2" t="s">
        <v>45</v>
      </c>
      <c r="G182" s="2" t="s">
        <v>23</v>
      </c>
      <c r="H182" s="2">
        <v>45</v>
      </c>
      <c r="I182" s="7">
        <v>106.5</v>
      </c>
      <c r="J182" s="2">
        <v>5</v>
      </c>
      <c r="K182" s="7">
        <v>4552.88</v>
      </c>
      <c r="L182" s="2" t="s">
        <v>49</v>
      </c>
      <c r="M182" s="2" t="s">
        <v>2364</v>
      </c>
    </row>
    <row r="183" spans="1:13" x14ac:dyDescent="0.3">
      <c r="A183" s="2" t="s">
        <v>1835</v>
      </c>
      <c r="B183" s="5">
        <v>46191</v>
      </c>
      <c r="C183" s="2" t="s">
        <v>1836</v>
      </c>
      <c r="D183" s="2" t="s">
        <v>53</v>
      </c>
      <c r="E183" s="2" t="s">
        <v>141</v>
      </c>
      <c r="F183" s="2" t="s">
        <v>45</v>
      </c>
      <c r="G183" s="2" t="s">
        <v>23</v>
      </c>
      <c r="H183" s="2">
        <v>28</v>
      </c>
      <c r="I183" s="7">
        <v>163.62</v>
      </c>
      <c r="J183" s="2">
        <v>0</v>
      </c>
      <c r="K183" s="7">
        <v>4581.3599999999997</v>
      </c>
      <c r="L183" s="2" t="s">
        <v>49</v>
      </c>
      <c r="M183" s="2" t="s">
        <v>2364</v>
      </c>
    </row>
    <row r="184" spans="1:13" x14ac:dyDescent="0.3">
      <c r="A184" s="2" t="s">
        <v>597</v>
      </c>
      <c r="B184" s="5">
        <v>45946</v>
      </c>
      <c r="C184" s="2" t="s">
        <v>598</v>
      </c>
      <c r="D184" s="2" t="s">
        <v>16</v>
      </c>
      <c r="E184" s="2" t="s">
        <v>91</v>
      </c>
      <c r="F184" s="2" t="s">
        <v>45</v>
      </c>
      <c r="G184" s="2" t="s">
        <v>23</v>
      </c>
      <c r="H184" s="2">
        <v>26</v>
      </c>
      <c r="I184" s="7">
        <v>184.86</v>
      </c>
      <c r="J184" s="2">
        <v>0</v>
      </c>
      <c r="K184" s="7">
        <v>4806.3599999999997</v>
      </c>
      <c r="L184" s="2" t="s">
        <v>49</v>
      </c>
      <c r="M184" s="2" t="s">
        <v>2364</v>
      </c>
    </row>
    <row r="185" spans="1:13" x14ac:dyDescent="0.3">
      <c r="A185" s="2" t="s">
        <v>2292</v>
      </c>
      <c r="B185" s="5">
        <v>45737</v>
      </c>
      <c r="C185" s="2" t="s">
        <v>1824</v>
      </c>
      <c r="D185" s="2" t="s">
        <v>24</v>
      </c>
      <c r="E185" s="2" t="s">
        <v>104</v>
      </c>
      <c r="F185" s="2" t="s">
        <v>45</v>
      </c>
      <c r="G185" s="2" t="s">
        <v>23</v>
      </c>
      <c r="H185" s="2">
        <v>33</v>
      </c>
      <c r="I185" s="7">
        <v>171.98</v>
      </c>
      <c r="J185" s="2">
        <v>10</v>
      </c>
      <c r="K185" s="7">
        <v>5107.8100000000004</v>
      </c>
      <c r="L185" s="2" t="s">
        <v>49</v>
      </c>
      <c r="M185" s="2" t="s">
        <v>2364</v>
      </c>
    </row>
    <row r="186" spans="1:13" x14ac:dyDescent="0.3">
      <c r="A186" s="2" t="s">
        <v>1896</v>
      </c>
      <c r="B186" s="5">
        <v>45943</v>
      </c>
      <c r="C186" s="2" t="s">
        <v>1481</v>
      </c>
      <c r="D186" s="2" t="s">
        <v>16</v>
      </c>
      <c r="E186" s="2" t="s">
        <v>111</v>
      </c>
      <c r="F186" s="2" t="s">
        <v>45</v>
      </c>
      <c r="G186" s="2" t="s">
        <v>23</v>
      </c>
      <c r="H186" s="2">
        <v>48</v>
      </c>
      <c r="I186" s="7">
        <v>130.91</v>
      </c>
      <c r="J186" s="2">
        <v>15</v>
      </c>
      <c r="K186" s="7">
        <v>5341.13</v>
      </c>
      <c r="L186" s="2" t="s">
        <v>49</v>
      </c>
      <c r="M186" s="2" t="s">
        <v>2364</v>
      </c>
    </row>
    <row r="187" spans="1:13" x14ac:dyDescent="0.3">
      <c r="A187" s="2" t="s">
        <v>1647</v>
      </c>
      <c r="B187" s="5">
        <v>45734</v>
      </c>
      <c r="C187" s="2" t="s">
        <v>71</v>
      </c>
      <c r="D187" s="2" t="s">
        <v>53</v>
      </c>
      <c r="E187" s="2" t="s">
        <v>170</v>
      </c>
      <c r="F187" s="2" t="s">
        <v>45</v>
      </c>
      <c r="G187" s="2" t="s">
        <v>23</v>
      </c>
      <c r="H187" s="2">
        <v>46</v>
      </c>
      <c r="I187" s="7">
        <v>149.07</v>
      </c>
      <c r="J187" s="2">
        <v>15</v>
      </c>
      <c r="K187" s="7">
        <v>5828.64</v>
      </c>
      <c r="L187" s="2" t="s">
        <v>49</v>
      </c>
      <c r="M187" s="2" t="s">
        <v>2365</v>
      </c>
    </row>
    <row r="188" spans="1:13" x14ac:dyDescent="0.3">
      <c r="A188" s="2" t="s">
        <v>1421</v>
      </c>
      <c r="B188" s="5">
        <v>45701</v>
      </c>
      <c r="C188" s="2" t="s">
        <v>1422</v>
      </c>
      <c r="D188" s="2" t="s">
        <v>16</v>
      </c>
      <c r="E188" s="2" t="s">
        <v>17</v>
      </c>
      <c r="F188" s="2" t="s">
        <v>45</v>
      </c>
      <c r="G188" s="2" t="s">
        <v>23</v>
      </c>
      <c r="H188" s="2">
        <v>48</v>
      </c>
      <c r="I188" s="7">
        <v>121.88</v>
      </c>
      <c r="J188" s="2">
        <v>0</v>
      </c>
      <c r="K188" s="7">
        <v>5850.24</v>
      </c>
      <c r="L188" s="1" t="s">
        <v>2347</v>
      </c>
      <c r="M188" s="2" t="s">
        <v>2364</v>
      </c>
    </row>
    <row r="189" spans="1:13" x14ac:dyDescent="0.3">
      <c r="A189" s="2" t="s">
        <v>2283</v>
      </c>
      <c r="B189" s="5">
        <v>46282</v>
      </c>
      <c r="C189" s="2" t="s">
        <v>1735</v>
      </c>
      <c r="D189" s="2" t="s">
        <v>53</v>
      </c>
      <c r="E189" s="2" t="s">
        <v>170</v>
      </c>
      <c r="F189" s="2" t="s">
        <v>45</v>
      </c>
      <c r="G189" s="2" t="s">
        <v>23</v>
      </c>
      <c r="H189" s="2">
        <v>33</v>
      </c>
      <c r="I189" s="7">
        <v>191.36</v>
      </c>
      <c r="J189" s="2">
        <v>5</v>
      </c>
      <c r="K189" s="7">
        <v>5999.14</v>
      </c>
      <c r="L189" s="2" t="s">
        <v>49</v>
      </c>
      <c r="M189" s="2" t="s">
        <v>2364</v>
      </c>
    </row>
    <row r="190" spans="1:13" x14ac:dyDescent="0.3">
      <c r="A190" s="2" t="s">
        <v>480</v>
      </c>
      <c r="B190" s="5">
        <v>45905</v>
      </c>
      <c r="C190" s="2" t="s">
        <v>481</v>
      </c>
      <c r="D190" s="2" t="s">
        <v>53</v>
      </c>
      <c r="E190" s="2" t="s">
        <v>134</v>
      </c>
      <c r="F190" s="2" t="s">
        <v>45</v>
      </c>
      <c r="G190" s="2" t="s">
        <v>23</v>
      </c>
      <c r="H190" s="2">
        <v>47</v>
      </c>
      <c r="I190" s="7">
        <v>174.18</v>
      </c>
      <c r="J190" s="2">
        <v>0</v>
      </c>
      <c r="K190" s="7">
        <v>8186.46</v>
      </c>
      <c r="L190" s="2" t="s">
        <v>31</v>
      </c>
      <c r="M190" s="2" t="s">
        <v>2364</v>
      </c>
    </row>
    <row r="191" spans="1:13" x14ac:dyDescent="0.3">
      <c r="A191" s="2" t="s">
        <v>1940</v>
      </c>
      <c r="B191" s="5">
        <v>45957</v>
      </c>
      <c r="C191" s="2" t="s">
        <v>1941</v>
      </c>
      <c r="D191" s="2" t="s">
        <v>16</v>
      </c>
      <c r="E191" s="2" t="s">
        <v>17</v>
      </c>
      <c r="F191" s="2" t="s">
        <v>45</v>
      </c>
      <c r="G191" s="2" t="s">
        <v>23</v>
      </c>
      <c r="H191" s="2">
        <v>49</v>
      </c>
      <c r="I191" s="7">
        <v>186.21</v>
      </c>
      <c r="J191" s="2">
        <v>0</v>
      </c>
      <c r="K191" s="7">
        <v>9124.2900000000009</v>
      </c>
      <c r="L191" s="1" t="s">
        <v>2347</v>
      </c>
      <c r="M191" s="2" t="s">
        <v>2364</v>
      </c>
    </row>
    <row r="192" spans="1:13" x14ac:dyDescent="0.3">
      <c r="A192" s="2" t="s">
        <v>2142</v>
      </c>
      <c r="B192" s="5">
        <v>45809</v>
      </c>
      <c r="C192" s="2" t="s">
        <v>2143</v>
      </c>
      <c r="D192" s="2" t="s">
        <v>53</v>
      </c>
      <c r="E192" s="2" t="s">
        <v>141</v>
      </c>
      <c r="F192" s="2" t="s">
        <v>90</v>
      </c>
      <c r="G192" s="2" t="s">
        <v>23</v>
      </c>
      <c r="H192" s="2">
        <v>2</v>
      </c>
      <c r="I192" s="7">
        <v>24.7</v>
      </c>
      <c r="J192" s="2">
        <v>20</v>
      </c>
      <c r="K192" s="7">
        <v>39.520000000000003</v>
      </c>
      <c r="L192" s="2" t="s">
        <v>27</v>
      </c>
      <c r="M192" s="2" t="s">
        <v>2364</v>
      </c>
    </row>
    <row r="193" spans="1:13" x14ac:dyDescent="0.3">
      <c r="A193" s="2" t="s">
        <v>1053</v>
      </c>
      <c r="B193" s="5">
        <v>46001</v>
      </c>
      <c r="C193" s="2" t="s">
        <v>1008</v>
      </c>
      <c r="D193" s="2" t="s">
        <v>53</v>
      </c>
      <c r="E193" s="2" t="s">
        <v>54</v>
      </c>
      <c r="F193" s="2" t="s">
        <v>90</v>
      </c>
      <c r="G193" s="2" t="s">
        <v>23</v>
      </c>
      <c r="H193" s="2">
        <v>1</v>
      </c>
      <c r="I193" s="7">
        <v>42.29</v>
      </c>
      <c r="J193" s="2">
        <v>0</v>
      </c>
      <c r="K193" s="7">
        <v>42.29</v>
      </c>
      <c r="L193" s="2" t="s">
        <v>49</v>
      </c>
      <c r="M193" s="2" t="s">
        <v>2364</v>
      </c>
    </row>
    <row r="194" spans="1:13" x14ac:dyDescent="0.3">
      <c r="A194" s="2" t="s">
        <v>1140</v>
      </c>
      <c r="B194" s="5">
        <v>45872</v>
      </c>
      <c r="C194" s="2" t="s">
        <v>1141</v>
      </c>
      <c r="D194" s="2" t="s">
        <v>53</v>
      </c>
      <c r="E194" s="2" t="s">
        <v>67</v>
      </c>
      <c r="F194" s="2" t="s">
        <v>90</v>
      </c>
      <c r="G194" s="2" t="s">
        <v>23</v>
      </c>
      <c r="H194" s="2">
        <v>2</v>
      </c>
      <c r="I194" s="7">
        <v>41.55</v>
      </c>
      <c r="J194" s="2">
        <v>20</v>
      </c>
      <c r="K194" s="7">
        <v>66.48</v>
      </c>
      <c r="L194" s="2" t="s">
        <v>69</v>
      </c>
      <c r="M194" s="2" t="s">
        <v>2364</v>
      </c>
    </row>
    <row r="195" spans="1:13" x14ac:dyDescent="0.3">
      <c r="A195" s="2" t="s">
        <v>993</v>
      </c>
      <c r="B195" s="5">
        <v>45794</v>
      </c>
      <c r="C195" s="2" t="s">
        <v>994</v>
      </c>
      <c r="D195" s="2" t="s">
        <v>46</v>
      </c>
      <c r="E195" s="2" t="s">
        <v>124</v>
      </c>
      <c r="F195" s="2" t="s">
        <v>90</v>
      </c>
      <c r="G195" s="2" t="s">
        <v>23</v>
      </c>
      <c r="H195" s="2">
        <v>4</v>
      </c>
      <c r="I195" s="7">
        <v>28.57</v>
      </c>
      <c r="J195" s="2">
        <v>15</v>
      </c>
      <c r="K195" s="7">
        <v>97.14</v>
      </c>
      <c r="L195" s="1" t="s">
        <v>2347</v>
      </c>
      <c r="M195" s="2" t="s">
        <v>2365</v>
      </c>
    </row>
    <row r="196" spans="1:13" x14ac:dyDescent="0.3">
      <c r="A196" s="2" t="s">
        <v>899</v>
      </c>
      <c r="B196" s="5">
        <v>45699</v>
      </c>
      <c r="C196" s="2" t="s">
        <v>900</v>
      </c>
      <c r="D196" s="2" t="s">
        <v>46</v>
      </c>
      <c r="E196" s="2" t="s">
        <v>244</v>
      </c>
      <c r="F196" s="2" t="s">
        <v>90</v>
      </c>
      <c r="G196" s="2" t="s">
        <v>23</v>
      </c>
      <c r="H196" s="2">
        <v>3</v>
      </c>
      <c r="I196" s="7">
        <v>41.58</v>
      </c>
      <c r="J196" s="2">
        <v>5</v>
      </c>
      <c r="K196" s="7">
        <v>118.5</v>
      </c>
      <c r="L196" s="2" t="s">
        <v>49</v>
      </c>
      <c r="M196" s="2" t="s">
        <v>2365</v>
      </c>
    </row>
    <row r="197" spans="1:13" x14ac:dyDescent="0.3">
      <c r="A197" s="2" t="s">
        <v>281</v>
      </c>
      <c r="B197" s="5">
        <v>45992</v>
      </c>
      <c r="C197" s="2" t="s">
        <v>282</v>
      </c>
      <c r="D197" s="2" t="s">
        <v>46</v>
      </c>
      <c r="E197" s="2" t="s">
        <v>124</v>
      </c>
      <c r="F197" s="2" t="s">
        <v>90</v>
      </c>
      <c r="G197" s="2" t="s">
        <v>23</v>
      </c>
      <c r="H197" s="2">
        <v>3</v>
      </c>
      <c r="I197" s="7">
        <v>44.31</v>
      </c>
      <c r="J197" s="2">
        <v>10</v>
      </c>
      <c r="K197" s="7">
        <v>119.64</v>
      </c>
      <c r="L197" s="2" t="s">
        <v>27</v>
      </c>
      <c r="M197" s="2" t="s">
        <v>2364</v>
      </c>
    </row>
    <row r="198" spans="1:13" x14ac:dyDescent="0.3">
      <c r="A198" s="2" t="s">
        <v>1975</v>
      </c>
      <c r="B198" s="5">
        <v>45950</v>
      </c>
      <c r="C198" s="2" t="s">
        <v>1976</v>
      </c>
      <c r="D198" s="2" t="s">
        <v>24</v>
      </c>
      <c r="E198" s="2" t="s">
        <v>41</v>
      </c>
      <c r="F198" s="2" t="s">
        <v>90</v>
      </c>
      <c r="G198" s="2" t="s">
        <v>23</v>
      </c>
      <c r="H198" s="2">
        <v>4</v>
      </c>
      <c r="I198" s="7">
        <v>30.72</v>
      </c>
      <c r="J198" s="2">
        <v>0</v>
      </c>
      <c r="K198" s="7">
        <v>122.88</v>
      </c>
      <c r="L198" s="2" t="s">
        <v>49</v>
      </c>
      <c r="M198" s="2" t="s">
        <v>2365</v>
      </c>
    </row>
    <row r="199" spans="1:13" x14ac:dyDescent="0.3">
      <c r="A199" s="2" t="s">
        <v>88</v>
      </c>
      <c r="B199" s="5">
        <v>45826</v>
      </c>
      <c r="C199" s="2" t="s">
        <v>89</v>
      </c>
      <c r="D199" s="2" t="s">
        <v>16</v>
      </c>
      <c r="E199" s="2" t="s">
        <v>91</v>
      </c>
      <c r="F199" s="2" t="s">
        <v>90</v>
      </c>
      <c r="G199" s="2" t="s">
        <v>23</v>
      </c>
      <c r="H199" s="2">
        <v>10</v>
      </c>
      <c r="I199" s="7">
        <v>15.82</v>
      </c>
      <c r="J199" s="2">
        <v>15</v>
      </c>
      <c r="K199" s="7">
        <v>134.47</v>
      </c>
      <c r="L199" s="2" t="s">
        <v>27</v>
      </c>
      <c r="M199" s="2" t="s">
        <v>2364</v>
      </c>
    </row>
    <row r="200" spans="1:13" x14ac:dyDescent="0.3">
      <c r="A200" s="2" t="s">
        <v>1912</v>
      </c>
      <c r="B200" s="5">
        <v>46190</v>
      </c>
      <c r="C200" s="2" t="s">
        <v>1913</v>
      </c>
      <c r="D200" s="2" t="s">
        <v>46</v>
      </c>
      <c r="E200" s="2" t="s">
        <v>124</v>
      </c>
      <c r="F200" s="2" t="s">
        <v>90</v>
      </c>
      <c r="G200" s="2" t="s">
        <v>23</v>
      </c>
      <c r="H200" s="2">
        <v>9</v>
      </c>
      <c r="I200" s="7">
        <v>16.32</v>
      </c>
      <c r="J200" s="2">
        <v>5</v>
      </c>
      <c r="K200" s="7">
        <v>139.54</v>
      </c>
      <c r="L200" s="2" t="s">
        <v>49</v>
      </c>
      <c r="M200" s="2" t="s">
        <v>2364</v>
      </c>
    </row>
    <row r="201" spans="1:13" x14ac:dyDescent="0.3">
      <c r="A201" s="2" t="s">
        <v>633</v>
      </c>
      <c r="B201" s="5">
        <v>45852</v>
      </c>
      <c r="C201" s="2" t="s">
        <v>634</v>
      </c>
      <c r="D201" s="2" t="s">
        <v>24</v>
      </c>
      <c r="E201" s="2" t="s">
        <v>41</v>
      </c>
      <c r="F201" s="2" t="s">
        <v>90</v>
      </c>
      <c r="G201" s="2" t="s">
        <v>23</v>
      </c>
      <c r="H201" s="2">
        <v>4</v>
      </c>
      <c r="I201" s="7">
        <v>38.56</v>
      </c>
      <c r="J201" s="2">
        <v>0</v>
      </c>
      <c r="K201" s="7">
        <v>154.24</v>
      </c>
      <c r="L201" s="2" t="s">
        <v>49</v>
      </c>
      <c r="M201" s="2" t="s">
        <v>2365</v>
      </c>
    </row>
    <row r="202" spans="1:13" x14ac:dyDescent="0.3">
      <c r="A202" s="2" t="s">
        <v>486</v>
      </c>
      <c r="B202" s="5">
        <v>45732</v>
      </c>
      <c r="C202" s="2" t="s">
        <v>487</v>
      </c>
      <c r="D202" s="2" t="s">
        <v>24</v>
      </c>
      <c r="E202" s="2" t="s">
        <v>41</v>
      </c>
      <c r="F202" s="2" t="s">
        <v>90</v>
      </c>
      <c r="G202" s="2" t="s">
        <v>23</v>
      </c>
      <c r="H202" s="2">
        <v>7</v>
      </c>
      <c r="I202" s="7">
        <v>28.55</v>
      </c>
      <c r="J202" s="2">
        <v>5</v>
      </c>
      <c r="K202" s="7">
        <v>189.86</v>
      </c>
      <c r="L202" s="1" t="s">
        <v>2347</v>
      </c>
      <c r="M202" s="2" t="s">
        <v>2364</v>
      </c>
    </row>
    <row r="203" spans="1:13" x14ac:dyDescent="0.3">
      <c r="A203" s="2" t="s">
        <v>1287</v>
      </c>
      <c r="B203" s="5">
        <v>46268</v>
      </c>
      <c r="C203" s="2" t="s">
        <v>1288</v>
      </c>
      <c r="D203" s="2" t="s">
        <v>46</v>
      </c>
      <c r="E203" s="2" t="s">
        <v>47</v>
      </c>
      <c r="F203" s="2" t="s">
        <v>90</v>
      </c>
      <c r="G203" s="2" t="s">
        <v>23</v>
      </c>
      <c r="H203" s="2">
        <v>13</v>
      </c>
      <c r="I203" s="7">
        <v>15.1</v>
      </c>
      <c r="J203" s="2">
        <v>0</v>
      </c>
      <c r="K203" s="7">
        <v>196.3</v>
      </c>
      <c r="L203" s="2" t="s">
        <v>27</v>
      </c>
      <c r="M203" s="2" t="s">
        <v>2364</v>
      </c>
    </row>
    <row r="204" spans="1:13" x14ac:dyDescent="0.3">
      <c r="A204" s="2" t="s">
        <v>887</v>
      </c>
      <c r="B204" s="5">
        <v>45703</v>
      </c>
      <c r="C204" s="2" t="s">
        <v>641</v>
      </c>
      <c r="D204" s="2" t="s">
        <v>53</v>
      </c>
      <c r="E204" s="2" t="s">
        <v>67</v>
      </c>
      <c r="F204" s="2" t="s">
        <v>90</v>
      </c>
      <c r="G204" s="2" t="s">
        <v>23</v>
      </c>
      <c r="H204" s="2">
        <v>12</v>
      </c>
      <c r="I204" s="7">
        <v>19.53</v>
      </c>
      <c r="J204" s="2">
        <v>10</v>
      </c>
      <c r="K204" s="7">
        <v>210.92</v>
      </c>
      <c r="L204" s="2" t="s">
        <v>69</v>
      </c>
      <c r="M204" s="2" t="s">
        <v>2365</v>
      </c>
    </row>
    <row r="205" spans="1:13" x14ac:dyDescent="0.3">
      <c r="A205" s="2" t="s">
        <v>1419</v>
      </c>
      <c r="B205" s="5">
        <v>45861</v>
      </c>
      <c r="C205" s="2" t="s">
        <v>1420</v>
      </c>
      <c r="D205" s="2" t="s">
        <v>24</v>
      </c>
      <c r="E205" s="2" t="s">
        <v>41</v>
      </c>
      <c r="F205" s="2" t="s">
        <v>90</v>
      </c>
      <c r="G205" s="2" t="s">
        <v>23</v>
      </c>
      <c r="H205" s="2">
        <v>5</v>
      </c>
      <c r="I205" s="7">
        <v>42.76</v>
      </c>
      <c r="J205" s="2">
        <v>0</v>
      </c>
      <c r="K205" s="7">
        <v>213.8</v>
      </c>
      <c r="L205" s="1" t="s">
        <v>2347</v>
      </c>
      <c r="M205" s="2" t="s">
        <v>2365</v>
      </c>
    </row>
    <row r="206" spans="1:13" x14ac:dyDescent="0.3">
      <c r="A206" s="2" t="s">
        <v>196</v>
      </c>
      <c r="B206" s="5">
        <v>46223</v>
      </c>
      <c r="C206" s="2" t="s">
        <v>197</v>
      </c>
      <c r="D206" s="2" t="s">
        <v>46</v>
      </c>
      <c r="E206" s="2" t="s">
        <v>83</v>
      </c>
      <c r="F206" s="2" t="s">
        <v>90</v>
      </c>
      <c r="G206" s="2" t="s">
        <v>23</v>
      </c>
      <c r="H206" s="2">
        <v>16</v>
      </c>
      <c r="I206" s="7">
        <v>16.41</v>
      </c>
      <c r="J206" s="2">
        <v>15</v>
      </c>
      <c r="K206" s="7">
        <v>223.18</v>
      </c>
      <c r="L206" s="2" t="s">
        <v>69</v>
      </c>
      <c r="M206" s="2" t="s">
        <v>2364</v>
      </c>
    </row>
    <row r="207" spans="1:13" x14ac:dyDescent="0.3">
      <c r="A207" s="2" t="s">
        <v>407</v>
      </c>
      <c r="B207" s="5">
        <v>45855</v>
      </c>
      <c r="C207" s="2" t="s">
        <v>408</v>
      </c>
      <c r="D207" s="2" t="s">
        <v>46</v>
      </c>
      <c r="E207" s="2" t="s">
        <v>244</v>
      </c>
      <c r="F207" s="2" t="s">
        <v>90</v>
      </c>
      <c r="G207" s="2" t="s">
        <v>23</v>
      </c>
      <c r="H207" s="2">
        <v>13</v>
      </c>
      <c r="I207" s="7">
        <v>18.61</v>
      </c>
      <c r="J207" s="2">
        <v>0</v>
      </c>
      <c r="K207" s="7">
        <v>241.93</v>
      </c>
      <c r="L207" s="2" t="s">
        <v>31</v>
      </c>
      <c r="M207" s="2" t="s">
        <v>2364</v>
      </c>
    </row>
    <row r="208" spans="1:13" x14ac:dyDescent="0.3">
      <c r="A208" s="2" t="s">
        <v>2336</v>
      </c>
      <c r="B208" s="5">
        <v>46242</v>
      </c>
      <c r="C208" s="2" t="s">
        <v>212</v>
      </c>
      <c r="D208" s="2" t="s">
        <v>16</v>
      </c>
      <c r="E208" s="2" t="s">
        <v>111</v>
      </c>
      <c r="F208" s="2" t="s">
        <v>90</v>
      </c>
      <c r="G208" s="2" t="s">
        <v>23</v>
      </c>
      <c r="H208" s="2">
        <v>8</v>
      </c>
      <c r="I208" s="7">
        <v>35.86</v>
      </c>
      <c r="J208" s="2">
        <v>10</v>
      </c>
      <c r="K208" s="7">
        <v>258.19</v>
      </c>
      <c r="L208" s="2" t="s">
        <v>31</v>
      </c>
      <c r="M208" s="2" t="s">
        <v>2364</v>
      </c>
    </row>
    <row r="209" spans="1:13" x14ac:dyDescent="0.3">
      <c r="A209" s="2" t="s">
        <v>2176</v>
      </c>
      <c r="B209" s="5">
        <v>46015</v>
      </c>
      <c r="C209" s="2" t="s">
        <v>1366</v>
      </c>
      <c r="D209" s="2" t="s">
        <v>16</v>
      </c>
      <c r="E209" s="2" t="s">
        <v>111</v>
      </c>
      <c r="F209" s="2" t="s">
        <v>90</v>
      </c>
      <c r="G209" s="2" t="s">
        <v>23</v>
      </c>
      <c r="H209" s="2">
        <v>15</v>
      </c>
      <c r="I209" s="7">
        <v>19.809999999999999</v>
      </c>
      <c r="J209" s="2">
        <v>0</v>
      </c>
      <c r="K209" s="7">
        <v>297.14999999999998</v>
      </c>
      <c r="L209" s="2" t="s">
        <v>27</v>
      </c>
      <c r="M209" s="2" t="s">
        <v>2364</v>
      </c>
    </row>
    <row r="210" spans="1:13" x14ac:dyDescent="0.3">
      <c r="A210" s="2" t="s">
        <v>822</v>
      </c>
      <c r="B210" s="5">
        <v>46284</v>
      </c>
      <c r="C210" s="2" t="s">
        <v>823</v>
      </c>
      <c r="D210" s="2" t="s">
        <v>16</v>
      </c>
      <c r="E210" s="2" t="s">
        <v>111</v>
      </c>
      <c r="F210" s="2" t="s">
        <v>90</v>
      </c>
      <c r="G210" s="2" t="s">
        <v>23</v>
      </c>
      <c r="H210" s="2">
        <v>20</v>
      </c>
      <c r="I210" s="7">
        <v>15.8</v>
      </c>
      <c r="J210" s="2">
        <v>0</v>
      </c>
      <c r="K210" s="7">
        <v>316</v>
      </c>
      <c r="L210" s="2" t="s">
        <v>69</v>
      </c>
      <c r="M210" s="2" t="s">
        <v>2364</v>
      </c>
    </row>
    <row r="211" spans="1:13" x14ac:dyDescent="0.3">
      <c r="A211" s="2" t="s">
        <v>1962</v>
      </c>
      <c r="B211" s="5">
        <v>45945</v>
      </c>
      <c r="C211" s="2" t="s">
        <v>1963</v>
      </c>
      <c r="D211" s="2" t="s">
        <v>16</v>
      </c>
      <c r="E211" s="2" t="s">
        <v>91</v>
      </c>
      <c r="F211" s="2" t="s">
        <v>90</v>
      </c>
      <c r="G211" s="2" t="s">
        <v>23</v>
      </c>
      <c r="H211" s="2">
        <v>22</v>
      </c>
      <c r="I211" s="7">
        <v>15.86</v>
      </c>
      <c r="J211" s="2">
        <v>0</v>
      </c>
      <c r="K211" s="7">
        <v>348.92</v>
      </c>
      <c r="L211" s="1" t="s">
        <v>2347</v>
      </c>
      <c r="M211" s="2" t="s">
        <v>2365</v>
      </c>
    </row>
    <row r="212" spans="1:13" x14ac:dyDescent="0.3">
      <c r="A212" s="2" t="s">
        <v>2102</v>
      </c>
      <c r="B212" s="5">
        <v>45948</v>
      </c>
      <c r="C212" s="2" t="s">
        <v>2103</v>
      </c>
      <c r="D212" s="2" t="s">
        <v>16</v>
      </c>
      <c r="E212" s="2" t="s">
        <v>74</v>
      </c>
      <c r="F212" s="2" t="s">
        <v>90</v>
      </c>
      <c r="G212" s="2" t="s">
        <v>23</v>
      </c>
      <c r="H212" s="2">
        <v>27</v>
      </c>
      <c r="I212" s="7">
        <v>17.010000000000002</v>
      </c>
      <c r="J212" s="2">
        <v>20</v>
      </c>
      <c r="K212" s="7">
        <v>367.42</v>
      </c>
      <c r="L212" s="2" t="s">
        <v>27</v>
      </c>
      <c r="M212" s="2" t="s">
        <v>2364</v>
      </c>
    </row>
    <row r="213" spans="1:13" x14ac:dyDescent="0.3">
      <c r="A213" s="2" t="s">
        <v>1756</v>
      </c>
      <c r="B213" s="5">
        <v>45798</v>
      </c>
      <c r="C213" s="2" t="s">
        <v>1757</v>
      </c>
      <c r="D213" s="2" t="s">
        <v>53</v>
      </c>
      <c r="E213" s="2" t="s">
        <v>67</v>
      </c>
      <c r="F213" s="2" t="s">
        <v>90</v>
      </c>
      <c r="G213" s="2" t="s">
        <v>23</v>
      </c>
      <c r="H213" s="2">
        <v>13</v>
      </c>
      <c r="I213" s="7">
        <v>29.92</v>
      </c>
      <c r="J213" s="2">
        <v>5</v>
      </c>
      <c r="K213" s="7">
        <v>369.51</v>
      </c>
      <c r="L213" s="1" t="s">
        <v>2347</v>
      </c>
      <c r="M213" s="2" t="s">
        <v>2364</v>
      </c>
    </row>
    <row r="214" spans="1:13" x14ac:dyDescent="0.3">
      <c r="A214" s="2" t="s">
        <v>252</v>
      </c>
      <c r="B214" s="5">
        <v>45816</v>
      </c>
      <c r="C214" s="2" t="s">
        <v>253</v>
      </c>
      <c r="D214" s="2" t="s">
        <v>16</v>
      </c>
      <c r="E214" s="2" t="s">
        <v>91</v>
      </c>
      <c r="F214" s="2" t="s">
        <v>90</v>
      </c>
      <c r="G214" s="2" t="s">
        <v>23</v>
      </c>
      <c r="H214" s="2">
        <v>10</v>
      </c>
      <c r="I214" s="7">
        <v>39.36</v>
      </c>
      <c r="J214" s="2">
        <v>5</v>
      </c>
      <c r="K214" s="7">
        <v>373.92</v>
      </c>
      <c r="L214" s="2" t="s">
        <v>69</v>
      </c>
      <c r="M214" s="2" t="s">
        <v>2364</v>
      </c>
    </row>
    <row r="215" spans="1:13" x14ac:dyDescent="0.3">
      <c r="A215" s="2" t="s">
        <v>1551</v>
      </c>
      <c r="B215" s="5">
        <v>45594</v>
      </c>
      <c r="C215" s="2" t="s">
        <v>1552</v>
      </c>
      <c r="D215" s="2" t="s">
        <v>24</v>
      </c>
      <c r="E215" s="2" t="s">
        <v>59</v>
      </c>
      <c r="F215" s="2" t="s">
        <v>90</v>
      </c>
      <c r="G215" s="2" t="s">
        <v>23</v>
      </c>
      <c r="H215" s="2">
        <v>25</v>
      </c>
      <c r="I215" s="7">
        <v>15.01</v>
      </c>
      <c r="J215" s="2">
        <v>0</v>
      </c>
      <c r="K215" s="7">
        <v>375.25</v>
      </c>
      <c r="L215" s="2" t="s">
        <v>69</v>
      </c>
      <c r="M215" s="2" t="s">
        <v>2364</v>
      </c>
    </row>
    <row r="216" spans="1:13" x14ac:dyDescent="0.3">
      <c r="A216" s="2" t="s">
        <v>748</v>
      </c>
      <c r="B216" s="5">
        <v>45952</v>
      </c>
      <c r="C216" s="2" t="s">
        <v>749</v>
      </c>
      <c r="D216" s="2" t="s">
        <v>53</v>
      </c>
      <c r="E216" s="2" t="s">
        <v>134</v>
      </c>
      <c r="F216" s="2" t="s">
        <v>90</v>
      </c>
      <c r="G216" s="2" t="s">
        <v>23</v>
      </c>
      <c r="H216" s="2">
        <v>9</v>
      </c>
      <c r="I216" s="7">
        <v>43.94</v>
      </c>
      <c r="J216" s="2">
        <v>0</v>
      </c>
      <c r="K216" s="7">
        <v>395.46</v>
      </c>
      <c r="L216" s="1" t="s">
        <v>2347</v>
      </c>
      <c r="M216" s="2" t="s">
        <v>2364</v>
      </c>
    </row>
    <row r="217" spans="1:13" x14ac:dyDescent="0.3">
      <c r="A217" s="2" t="s">
        <v>1092</v>
      </c>
      <c r="B217" s="5">
        <v>45709</v>
      </c>
      <c r="C217" s="2" t="s">
        <v>1093</v>
      </c>
      <c r="D217" s="2" t="s">
        <v>53</v>
      </c>
      <c r="E217" s="2" t="s">
        <v>134</v>
      </c>
      <c r="F217" s="2" t="s">
        <v>90</v>
      </c>
      <c r="G217" s="2" t="s">
        <v>23</v>
      </c>
      <c r="H217" s="2">
        <v>26</v>
      </c>
      <c r="I217" s="7">
        <v>17.09</v>
      </c>
      <c r="J217" s="2">
        <v>10</v>
      </c>
      <c r="K217" s="7">
        <v>399.91</v>
      </c>
      <c r="L217" s="2" t="s">
        <v>27</v>
      </c>
      <c r="M217" s="2" t="s">
        <v>2364</v>
      </c>
    </row>
    <row r="218" spans="1:13" x14ac:dyDescent="0.3">
      <c r="A218" s="2" t="s">
        <v>1219</v>
      </c>
      <c r="B218" s="5">
        <v>46074</v>
      </c>
      <c r="C218" s="2" t="s">
        <v>1220</v>
      </c>
      <c r="D218" s="2" t="s">
        <v>24</v>
      </c>
      <c r="E218" s="2" t="s">
        <v>36</v>
      </c>
      <c r="F218" s="2" t="s">
        <v>90</v>
      </c>
      <c r="G218" s="2" t="s">
        <v>23</v>
      </c>
      <c r="H218" s="2">
        <v>20</v>
      </c>
      <c r="I218" s="7">
        <v>22.38</v>
      </c>
      <c r="J218" s="2">
        <v>10</v>
      </c>
      <c r="K218" s="7">
        <v>402.84</v>
      </c>
      <c r="L218" s="2" t="s">
        <v>49</v>
      </c>
      <c r="M218" s="2" t="s">
        <v>2364</v>
      </c>
    </row>
    <row r="219" spans="1:13" x14ac:dyDescent="0.3">
      <c r="A219" s="2" t="s">
        <v>1621</v>
      </c>
      <c r="B219" s="5">
        <v>45751</v>
      </c>
      <c r="C219" s="2" t="s">
        <v>1541</v>
      </c>
      <c r="D219" s="2" t="s">
        <v>53</v>
      </c>
      <c r="E219" s="2" t="s">
        <v>141</v>
      </c>
      <c r="F219" s="2" t="s">
        <v>90</v>
      </c>
      <c r="G219" s="2" t="s">
        <v>23</v>
      </c>
      <c r="H219" s="2">
        <v>17</v>
      </c>
      <c r="I219" s="7">
        <v>25.18</v>
      </c>
      <c r="J219" s="2">
        <v>5</v>
      </c>
      <c r="K219" s="7">
        <v>406.66</v>
      </c>
      <c r="L219" s="1" t="s">
        <v>2347</v>
      </c>
      <c r="M219" s="2" t="s">
        <v>2364</v>
      </c>
    </row>
    <row r="220" spans="1:13" x14ac:dyDescent="0.3">
      <c r="A220" s="2" t="s">
        <v>2040</v>
      </c>
      <c r="B220" s="5">
        <v>45821</v>
      </c>
      <c r="C220" s="2" t="s">
        <v>299</v>
      </c>
      <c r="D220" s="2" t="s">
        <v>53</v>
      </c>
      <c r="E220" s="2" t="s">
        <v>141</v>
      </c>
      <c r="F220" s="2" t="s">
        <v>90</v>
      </c>
      <c r="G220" s="2" t="s">
        <v>23</v>
      </c>
      <c r="H220" s="2">
        <v>26</v>
      </c>
      <c r="I220" s="7">
        <v>18.350000000000001</v>
      </c>
      <c r="J220" s="2">
        <v>10</v>
      </c>
      <c r="K220" s="7">
        <v>429.39</v>
      </c>
      <c r="L220" s="2" t="s">
        <v>69</v>
      </c>
      <c r="M220" s="2" t="s">
        <v>2364</v>
      </c>
    </row>
    <row r="221" spans="1:13" x14ac:dyDescent="0.3">
      <c r="A221" s="2" t="s">
        <v>1227</v>
      </c>
      <c r="B221" s="5">
        <v>46081</v>
      </c>
      <c r="C221" s="2" t="s">
        <v>1228</v>
      </c>
      <c r="D221" s="2" t="s">
        <v>16</v>
      </c>
      <c r="E221" s="2" t="s">
        <v>111</v>
      </c>
      <c r="F221" s="2" t="s">
        <v>90</v>
      </c>
      <c r="G221" s="2" t="s">
        <v>23</v>
      </c>
      <c r="H221" s="2">
        <v>21</v>
      </c>
      <c r="I221" s="7">
        <v>25.15</v>
      </c>
      <c r="J221" s="2">
        <v>15</v>
      </c>
      <c r="K221" s="7">
        <v>448.93</v>
      </c>
      <c r="L221" s="2" t="s">
        <v>31</v>
      </c>
      <c r="M221" s="2" t="s">
        <v>2364</v>
      </c>
    </row>
    <row r="222" spans="1:13" x14ac:dyDescent="0.3">
      <c r="A222" s="2" t="s">
        <v>1758</v>
      </c>
      <c r="B222" s="5">
        <v>45871</v>
      </c>
      <c r="C222" s="2" t="s">
        <v>1759</v>
      </c>
      <c r="D222" s="2" t="s">
        <v>16</v>
      </c>
      <c r="E222" s="2" t="s">
        <v>17</v>
      </c>
      <c r="F222" s="2" t="s">
        <v>90</v>
      </c>
      <c r="G222" s="2" t="s">
        <v>23</v>
      </c>
      <c r="H222" s="2">
        <v>20</v>
      </c>
      <c r="I222" s="7">
        <v>27.13</v>
      </c>
      <c r="J222" s="2">
        <v>15</v>
      </c>
      <c r="K222" s="7">
        <v>461.21</v>
      </c>
      <c r="L222" s="2" t="s">
        <v>69</v>
      </c>
      <c r="M222" s="2" t="s">
        <v>2364</v>
      </c>
    </row>
    <row r="223" spans="1:13" x14ac:dyDescent="0.3">
      <c r="A223" s="2" t="s">
        <v>2174</v>
      </c>
      <c r="B223" s="5">
        <v>45788</v>
      </c>
      <c r="C223" s="2" t="s">
        <v>2175</v>
      </c>
      <c r="D223" s="2" t="s">
        <v>53</v>
      </c>
      <c r="E223" s="2" t="s">
        <v>54</v>
      </c>
      <c r="F223" s="2" t="s">
        <v>90</v>
      </c>
      <c r="G223" s="2" t="s">
        <v>23</v>
      </c>
      <c r="H223" s="2">
        <v>19</v>
      </c>
      <c r="I223" s="7">
        <v>28.02</v>
      </c>
      <c r="J223" s="2">
        <v>10</v>
      </c>
      <c r="K223" s="7">
        <v>479.14</v>
      </c>
      <c r="L223" s="1" t="s">
        <v>2347</v>
      </c>
      <c r="M223" s="2" t="s">
        <v>2365</v>
      </c>
    </row>
    <row r="224" spans="1:13" x14ac:dyDescent="0.3">
      <c r="A224" s="2" t="s">
        <v>1945</v>
      </c>
      <c r="B224" s="5">
        <v>45937</v>
      </c>
      <c r="C224" s="2" t="s">
        <v>209</v>
      </c>
      <c r="D224" s="2" t="s">
        <v>53</v>
      </c>
      <c r="E224" s="2" t="s">
        <v>170</v>
      </c>
      <c r="F224" s="2" t="s">
        <v>90</v>
      </c>
      <c r="G224" s="2" t="s">
        <v>23</v>
      </c>
      <c r="H224" s="2">
        <v>39</v>
      </c>
      <c r="I224" s="7">
        <v>15.07</v>
      </c>
      <c r="J224" s="2">
        <v>15</v>
      </c>
      <c r="K224" s="7">
        <v>499.57</v>
      </c>
      <c r="L224" s="2" t="s">
        <v>27</v>
      </c>
      <c r="M224" s="2" t="s">
        <v>2364</v>
      </c>
    </row>
    <row r="225" spans="1:13" x14ac:dyDescent="0.3">
      <c r="A225" s="2" t="s">
        <v>1172</v>
      </c>
      <c r="B225" s="5">
        <v>46153</v>
      </c>
      <c r="C225" s="2" t="s">
        <v>1173</v>
      </c>
      <c r="D225" s="2" t="s">
        <v>16</v>
      </c>
      <c r="E225" s="2" t="s">
        <v>74</v>
      </c>
      <c r="F225" s="2" t="s">
        <v>90</v>
      </c>
      <c r="G225" s="2" t="s">
        <v>23</v>
      </c>
      <c r="H225" s="2">
        <v>27</v>
      </c>
      <c r="I225" s="7">
        <v>20.21</v>
      </c>
      <c r="J225" s="2">
        <v>5</v>
      </c>
      <c r="K225" s="7">
        <v>518.39</v>
      </c>
      <c r="L225" s="2" t="s">
        <v>69</v>
      </c>
      <c r="M225" s="2" t="s">
        <v>2365</v>
      </c>
    </row>
    <row r="226" spans="1:13" x14ac:dyDescent="0.3">
      <c r="A226" s="2" t="s">
        <v>1651</v>
      </c>
      <c r="B226" s="5">
        <v>45653</v>
      </c>
      <c r="C226" s="2" t="s">
        <v>1652</v>
      </c>
      <c r="D226" s="2" t="s">
        <v>53</v>
      </c>
      <c r="E226" s="2" t="s">
        <v>170</v>
      </c>
      <c r="F226" s="2" t="s">
        <v>90</v>
      </c>
      <c r="G226" s="2" t="s">
        <v>23</v>
      </c>
      <c r="H226" s="2">
        <v>27</v>
      </c>
      <c r="I226" s="7">
        <v>20.62</v>
      </c>
      <c r="J226" s="2">
        <v>0</v>
      </c>
      <c r="K226" s="7">
        <v>556.74</v>
      </c>
      <c r="L226" s="2" t="s">
        <v>49</v>
      </c>
      <c r="M226" s="2" t="s">
        <v>2364</v>
      </c>
    </row>
    <row r="227" spans="1:13" x14ac:dyDescent="0.3">
      <c r="A227" s="2" t="s">
        <v>1407</v>
      </c>
      <c r="B227" s="5">
        <v>45815</v>
      </c>
      <c r="C227" s="2" t="s">
        <v>947</v>
      </c>
      <c r="D227" s="2" t="s">
        <v>24</v>
      </c>
      <c r="E227" s="2" t="s">
        <v>25</v>
      </c>
      <c r="F227" s="2" t="s">
        <v>90</v>
      </c>
      <c r="G227" s="2" t="s">
        <v>23</v>
      </c>
      <c r="H227" s="2">
        <v>15</v>
      </c>
      <c r="I227" s="7">
        <v>44.44</v>
      </c>
      <c r="J227" s="2">
        <v>15</v>
      </c>
      <c r="K227" s="7">
        <v>566.61</v>
      </c>
      <c r="L227" s="2" t="s">
        <v>27</v>
      </c>
      <c r="M227" s="2" t="s">
        <v>2364</v>
      </c>
    </row>
    <row r="228" spans="1:13" x14ac:dyDescent="0.3">
      <c r="A228" s="2" t="s">
        <v>813</v>
      </c>
      <c r="B228" s="5">
        <v>45809</v>
      </c>
      <c r="C228" s="2" t="s">
        <v>814</v>
      </c>
      <c r="D228" s="2" t="s">
        <v>53</v>
      </c>
      <c r="E228" s="2" t="s">
        <v>54</v>
      </c>
      <c r="F228" s="2" t="s">
        <v>90</v>
      </c>
      <c r="G228" s="2" t="s">
        <v>23</v>
      </c>
      <c r="H228" s="2">
        <v>25</v>
      </c>
      <c r="I228" s="7">
        <v>23.18</v>
      </c>
      <c r="J228" s="2">
        <v>0</v>
      </c>
      <c r="K228" s="7">
        <v>579.5</v>
      </c>
      <c r="L228" s="2" t="s">
        <v>49</v>
      </c>
      <c r="M228" s="2" t="s">
        <v>2365</v>
      </c>
    </row>
    <row r="229" spans="1:13" x14ac:dyDescent="0.3">
      <c r="A229" s="2" t="s">
        <v>1416</v>
      </c>
      <c r="B229" s="5">
        <v>46040</v>
      </c>
      <c r="C229" s="2" t="s">
        <v>628</v>
      </c>
      <c r="D229" s="2" t="s">
        <v>46</v>
      </c>
      <c r="E229" s="2" t="s">
        <v>47</v>
      </c>
      <c r="F229" s="2" t="s">
        <v>90</v>
      </c>
      <c r="G229" s="2" t="s">
        <v>23</v>
      </c>
      <c r="H229" s="2">
        <v>28</v>
      </c>
      <c r="I229" s="7">
        <v>24.2</v>
      </c>
      <c r="J229" s="2">
        <v>10</v>
      </c>
      <c r="K229" s="7">
        <v>609.84</v>
      </c>
      <c r="L229" s="2" t="s">
        <v>31</v>
      </c>
      <c r="M229" s="2" t="s">
        <v>2364</v>
      </c>
    </row>
    <row r="230" spans="1:13" x14ac:dyDescent="0.3">
      <c r="A230" s="2" t="s">
        <v>652</v>
      </c>
      <c r="B230" s="5">
        <v>45987</v>
      </c>
      <c r="C230" s="2" t="s">
        <v>653</v>
      </c>
      <c r="D230" s="2" t="s">
        <v>24</v>
      </c>
      <c r="E230" s="2" t="s">
        <v>59</v>
      </c>
      <c r="F230" s="2" t="s">
        <v>90</v>
      </c>
      <c r="G230" s="2" t="s">
        <v>23</v>
      </c>
      <c r="H230" s="2">
        <v>14</v>
      </c>
      <c r="I230" s="7">
        <v>44.34</v>
      </c>
      <c r="J230" s="2">
        <v>0</v>
      </c>
      <c r="K230" s="7">
        <v>620.76</v>
      </c>
      <c r="L230" s="2" t="s">
        <v>27</v>
      </c>
      <c r="M230" s="2" t="s">
        <v>2364</v>
      </c>
    </row>
    <row r="231" spans="1:13" x14ac:dyDescent="0.3">
      <c r="A231" s="2" t="s">
        <v>2342</v>
      </c>
      <c r="B231" s="5">
        <v>46109</v>
      </c>
      <c r="C231" s="2" t="s">
        <v>2343</v>
      </c>
      <c r="D231" s="2" t="s">
        <v>16</v>
      </c>
      <c r="E231" s="2" t="s">
        <v>111</v>
      </c>
      <c r="F231" s="2" t="s">
        <v>90</v>
      </c>
      <c r="G231" s="2" t="s">
        <v>23</v>
      </c>
      <c r="H231" s="2">
        <v>39</v>
      </c>
      <c r="I231" s="7">
        <v>17.22</v>
      </c>
      <c r="J231" s="2">
        <v>5</v>
      </c>
      <c r="K231" s="7">
        <v>638</v>
      </c>
      <c r="L231" s="2" t="s">
        <v>49</v>
      </c>
      <c r="M231" s="2" t="s">
        <v>2364</v>
      </c>
    </row>
    <row r="232" spans="1:13" x14ac:dyDescent="0.3">
      <c r="A232" s="2" t="s">
        <v>1465</v>
      </c>
      <c r="B232" s="5">
        <v>46106</v>
      </c>
      <c r="C232" s="2" t="s">
        <v>1466</v>
      </c>
      <c r="D232" s="2" t="s">
        <v>53</v>
      </c>
      <c r="E232" s="2" t="s">
        <v>134</v>
      </c>
      <c r="F232" s="2" t="s">
        <v>90</v>
      </c>
      <c r="G232" s="2" t="s">
        <v>23</v>
      </c>
      <c r="H232" s="2">
        <v>23</v>
      </c>
      <c r="I232" s="7">
        <v>28.45</v>
      </c>
      <c r="J232" s="2">
        <v>0</v>
      </c>
      <c r="K232" s="7">
        <v>654.35</v>
      </c>
      <c r="L232" s="2" t="s">
        <v>31</v>
      </c>
      <c r="M232" s="2" t="s">
        <v>2364</v>
      </c>
    </row>
    <row r="233" spans="1:13" x14ac:dyDescent="0.3">
      <c r="A233" s="2" t="s">
        <v>1607</v>
      </c>
      <c r="B233" s="5">
        <v>46062</v>
      </c>
      <c r="C233" s="2" t="s">
        <v>342</v>
      </c>
      <c r="D233" s="2" t="s">
        <v>53</v>
      </c>
      <c r="E233" s="2" t="s">
        <v>141</v>
      </c>
      <c r="F233" s="2" t="s">
        <v>90</v>
      </c>
      <c r="G233" s="2" t="s">
        <v>23</v>
      </c>
      <c r="H233" s="2">
        <v>28</v>
      </c>
      <c r="I233" s="7">
        <v>23.83</v>
      </c>
      <c r="J233" s="2">
        <v>0</v>
      </c>
      <c r="K233" s="7">
        <v>667.24</v>
      </c>
      <c r="L233" s="2" t="s">
        <v>49</v>
      </c>
      <c r="M233" s="2" t="s">
        <v>2365</v>
      </c>
    </row>
    <row r="234" spans="1:13" x14ac:dyDescent="0.3">
      <c r="A234" s="2" t="s">
        <v>824</v>
      </c>
      <c r="B234" s="5">
        <v>46040</v>
      </c>
      <c r="C234" s="2" t="s">
        <v>825</v>
      </c>
      <c r="D234" s="2" t="s">
        <v>53</v>
      </c>
      <c r="E234" s="2" t="s">
        <v>141</v>
      </c>
      <c r="F234" s="2" t="s">
        <v>90</v>
      </c>
      <c r="G234" s="2" t="s">
        <v>23</v>
      </c>
      <c r="H234" s="2">
        <v>43</v>
      </c>
      <c r="I234" s="7">
        <v>18.829999999999998</v>
      </c>
      <c r="J234" s="2">
        <v>15</v>
      </c>
      <c r="K234" s="7">
        <v>688.24</v>
      </c>
      <c r="L234" s="2" t="s">
        <v>31</v>
      </c>
      <c r="M234" s="2" t="s">
        <v>2364</v>
      </c>
    </row>
    <row r="235" spans="1:13" x14ac:dyDescent="0.3">
      <c r="A235" s="2" t="s">
        <v>1353</v>
      </c>
      <c r="B235" s="5">
        <v>45876</v>
      </c>
      <c r="C235" s="2" t="s">
        <v>1354</v>
      </c>
      <c r="D235" s="2" t="s">
        <v>46</v>
      </c>
      <c r="E235" s="2" t="s">
        <v>83</v>
      </c>
      <c r="F235" s="2" t="s">
        <v>90</v>
      </c>
      <c r="G235" s="2" t="s">
        <v>23</v>
      </c>
      <c r="H235" s="2">
        <v>24</v>
      </c>
      <c r="I235" s="7">
        <v>29.43</v>
      </c>
      <c r="J235" s="2">
        <v>0</v>
      </c>
      <c r="K235" s="7">
        <v>706.32</v>
      </c>
      <c r="L235" s="2" t="s">
        <v>27</v>
      </c>
      <c r="M235" s="2" t="s">
        <v>2364</v>
      </c>
    </row>
    <row r="236" spans="1:13" x14ac:dyDescent="0.3">
      <c r="A236" s="2" t="s">
        <v>1444</v>
      </c>
      <c r="B236" s="5">
        <v>45578</v>
      </c>
      <c r="C236" s="2" t="s">
        <v>1445</v>
      </c>
      <c r="D236" s="2" t="s">
        <v>24</v>
      </c>
      <c r="E236" s="2" t="s">
        <v>25</v>
      </c>
      <c r="F236" s="2" t="s">
        <v>90</v>
      </c>
      <c r="G236" s="2" t="s">
        <v>23</v>
      </c>
      <c r="H236" s="2">
        <v>24</v>
      </c>
      <c r="I236" s="7">
        <v>30.87</v>
      </c>
      <c r="J236" s="2">
        <v>0</v>
      </c>
      <c r="K236" s="7">
        <v>740.88</v>
      </c>
      <c r="L236" s="2" t="s">
        <v>31</v>
      </c>
      <c r="M236" s="2" t="s">
        <v>2364</v>
      </c>
    </row>
    <row r="237" spans="1:13" x14ac:dyDescent="0.3">
      <c r="A237" s="2" t="s">
        <v>1265</v>
      </c>
      <c r="B237" s="5">
        <v>45677</v>
      </c>
      <c r="C237" s="2" t="s">
        <v>1266</v>
      </c>
      <c r="D237" s="2" t="s">
        <v>24</v>
      </c>
      <c r="E237" s="2" t="s">
        <v>104</v>
      </c>
      <c r="F237" s="2" t="s">
        <v>90</v>
      </c>
      <c r="G237" s="2" t="s">
        <v>23</v>
      </c>
      <c r="H237" s="2">
        <v>37</v>
      </c>
      <c r="I237" s="7">
        <v>22.3</v>
      </c>
      <c r="J237" s="2">
        <v>10</v>
      </c>
      <c r="K237" s="7">
        <v>742.59</v>
      </c>
      <c r="L237" s="1" t="s">
        <v>2347</v>
      </c>
      <c r="M237" s="2" t="s">
        <v>2364</v>
      </c>
    </row>
    <row r="238" spans="1:13" x14ac:dyDescent="0.3">
      <c r="A238" s="2" t="s">
        <v>1549</v>
      </c>
      <c r="B238" s="5">
        <v>46023</v>
      </c>
      <c r="C238" s="2" t="s">
        <v>1550</v>
      </c>
      <c r="D238" s="2" t="s">
        <v>53</v>
      </c>
      <c r="E238" s="2" t="s">
        <v>170</v>
      </c>
      <c r="F238" s="2" t="s">
        <v>90</v>
      </c>
      <c r="G238" s="2" t="s">
        <v>23</v>
      </c>
      <c r="H238" s="2">
        <v>21</v>
      </c>
      <c r="I238" s="7">
        <v>40.14</v>
      </c>
      <c r="J238" s="2">
        <v>10</v>
      </c>
      <c r="K238" s="7">
        <v>758.65</v>
      </c>
      <c r="L238" s="2" t="s">
        <v>49</v>
      </c>
      <c r="M238" s="2" t="s">
        <v>2364</v>
      </c>
    </row>
    <row r="239" spans="1:13" x14ac:dyDescent="0.3">
      <c r="A239" s="2" t="s">
        <v>1914</v>
      </c>
      <c r="B239" s="5">
        <v>45882</v>
      </c>
      <c r="C239" s="2" t="s">
        <v>1915</v>
      </c>
      <c r="D239" s="2" t="s">
        <v>16</v>
      </c>
      <c r="E239" s="2" t="s">
        <v>17</v>
      </c>
      <c r="F239" s="2" t="s">
        <v>90</v>
      </c>
      <c r="G239" s="2" t="s">
        <v>23</v>
      </c>
      <c r="H239" s="2">
        <v>24</v>
      </c>
      <c r="I239" s="7">
        <v>34.01</v>
      </c>
      <c r="J239" s="2">
        <v>5</v>
      </c>
      <c r="K239" s="7">
        <v>775.43</v>
      </c>
      <c r="L239" s="2" t="s">
        <v>27</v>
      </c>
      <c r="M239" s="2" t="s">
        <v>2364</v>
      </c>
    </row>
    <row r="240" spans="1:13" x14ac:dyDescent="0.3">
      <c r="A240" s="2" t="s">
        <v>1321</v>
      </c>
      <c r="B240" s="5">
        <v>46129</v>
      </c>
      <c r="C240" s="2" t="s">
        <v>1322</v>
      </c>
      <c r="D240" s="2" t="s">
        <v>46</v>
      </c>
      <c r="E240" s="2" t="s">
        <v>83</v>
      </c>
      <c r="F240" s="2" t="s">
        <v>90</v>
      </c>
      <c r="G240" s="2" t="s">
        <v>23</v>
      </c>
      <c r="H240" s="2">
        <v>46</v>
      </c>
      <c r="I240" s="7">
        <v>20.75</v>
      </c>
      <c r="J240" s="2">
        <v>15</v>
      </c>
      <c r="K240" s="7">
        <v>811.33</v>
      </c>
      <c r="L240" s="2" t="s">
        <v>49</v>
      </c>
      <c r="M240" s="2" t="s">
        <v>2364</v>
      </c>
    </row>
    <row r="241" spans="1:13" x14ac:dyDescent="0.3">
      <c r="A241" s="2" t="s">
        <v>1892</v>
      </c>
      <c r="B241" s="5">
        <v>46011</v>
      </c>
      <c r="C241" s="2" t="s">
        <v>1893</v>
      </c>
      <c r="D241" s="2" t="s">
        <v>53</v>
      </c>
      <c r="E241" s="2" t="s">
        <v>134</v>
      </c>
      <c r="F241" s="2" t="s">
        <v>90</v>
      </c>
      <c r="G241" s="2" t="s">
        <v>23</v>
      </c>
      <c r="H241" s="2">
        <v>27</v>
      </c>
      <c r="I241" s="7">
        <v>30.57</v>
      </c>
      <c r="J241" s="2">
        <v>0</v>
      </c>
      <c r="K241" s="7">
        <v>825.39</v>
      </c>
      <c r="L241" s="2" t="s">
        <v>27</v>
      </c>
      <c r="M241" s="2" t="s">
        <v>2365</v>
      </c>
    </row>
    <row r="242" spans="1:13" x14ac:dyDescent="0.3">
      <c r="A242" s="2" t="s">
        <v>1816</v>
      </c>
      <c r="B242" s="5">
        <v>46248</v>
      </c>
      <c r="C242" s="2" t="s">
        <v>1817</v>
      </c>
      <c r="D242" s="2" t="s">
        <v>46</v>
      </c>
      <c r="E242" s="2" t="s">
        <v>47</v>
      </c>
      <c r="F242" s="2" t="s">
        <v>90</v>
      </c>
      <c r="G242" s="2" t="s">
        <v>23</v>
      </c>
      <c r="H242" s="2">
        <v>39</v>
      </c>
      <c r="I242" s="7">
        <v>23.88</v>
      </c>
      <c r="J242" s="2">
        <v>10</v>
      </c>
      <c r="K242" s="7">
        <v>838.19</v>
      </c>
      <c r="L242" s="2" t="s">
        <v>69</v>
      </c>
      <c r="M242" s="2" t="s">
        <v>2364</v>
      </c>
    </row>
    <row r="243" spans="1:13" x14ac:dyDescent="0.3">
      <c r="A243" s="2" t="s">
        <v>2246</v>
      </c>
      <c r="B243" s="5">
        <v>45771</v>
      </c>
      <c r="C243" s="2" t="s">
        <v>2247</v>
      </c>
      <c r="D243" s="2" t="s">
        <v>53</v>
      </c>
      <c r="E243" s="2" t="s">
        <v>67</v>
      </c>
      <c r="F243" s="2" t="s">
        <v>90</v>
      </c>
      <c r="G243" s="2" t="s">
        <v>23</v>
      </c>
      <c r="H243" s="2">
        <v>39</v>
      </c>
      <c r="I243" s="7">
        <v>28.09</v>
      </c>
      <c r="J243" s="2">
        <v>20</v>
      </c>
      <c r="K243" s="7">
        <v>876.41</v>
      </c>
      <c r="L243" s="1" t="s">
        <v>2347</v>
      </c>
      <c r="M243" s="2" t="s">
        <v>2364</v>
      </c>
    </row>
    <row r="244" spans="1:13" x14ac:dyDescent="0.3">
      <c r="A244" s="2" t="s">
        <v>1230</v>
      </c>
      <c r="B244" s="5">
        <v>45862</v>
      </c>
      <c r="C244" s="2" t="s">
        <v>1231</v>
      </c>
      <c r="D244" s="2" t="s">
        <v>46</v>
      </c>
      <c r="E244" s="2" t="s">
        <v>83</v>
      </c>
      <c r="F244" s="2" t="s">
        <v>90</v>
      </c>
      <c r="G244" s="2" t="s">
        <v>23</v>
      </c>
      <c r="H244" s="2">
        <v>43</v>
      </c>
      <c r="I244" s="7">
        <v>20.46</v>
      </c>
      <c r="J244" s="2">
        <v>0</v>
      </c>
      <c r="K244" s="7">
        <v>879.78</v>
      </c>
      <c r="L244" s="2" t="s">
        <v>49</v>
      </c>
      <c r="M244" s="2" t="s">
        <v>2364</v>
      </c>
    </row>
    <row r="245" spans="1:13" x14ac:dyDescent="0.3">
      <c r="A245" s="2" t="s">
        <v>943</v>
      </c>
      <c r="B245" s="5">
        <v>45609</v>
      </c>
      <c r="C245" s="2" t="s">
        <v>944</v>
      </c>
      <c r="D245" s="2" t="s">
        <v>24</v>
      </c>
      <c r="E245" s="2" t="s">
        <v>104</v>
      </c>
      <c r="F245" s="2" t="s">
        <v>90</v>
      </c>
      <c r="G245" s="2" t="s">
        <v>23</v>
      </c>
      <c r="H245" s="2">
        <v>29</v>
      </c>
      <c r="I245" s="7">
        <v>35.76</v>
      </c>
      <c r="J245" s="2">
        <v>15</v>
      </c>
      <c r="K245" s="7">
        <v>881.48</v>
      </c>
      <c r="L245" s="1" t="s">
        <v>2347</v>
      </c>
      <c r="M245" s="2" t="s">
        <v>2364</v>
      </c>
    </row>
    <row r="246" spans="1:13" x14ac:dyDescent="0.3">
      <c r="A246" s="2" t="s">
        <v>677</v>
      </c>
      <c r="B246" s="5">
        <v>46093</v>
      </c>
      <c r="C246" s="2" t="s">
        <v>478</v>
      </c>
      <c r="D246" s="2" t="s">
        <v>53</v>
      </c>
      <c r="E246" s="2" t="s">
        <v>54</v>
      </c>
      <c r="F246" s="2" t="s">
        <v>90</v>
      </c>
      <c r="G246" s="2" t="s">
        <v>23</v>
      </c>
      <c r="H246" s="2">
        <v>25</v>
      </c>
      <c r="I246" s="7">
        <v>39.950000000000003</v>
      </c>
      <c r="J246" s="2">
        <v>10</v>
      </c>
      <c r="K246" s="7">
        <v>898.88</v>
      </c>
      <c r="L246" s="2" t="s">
        <v>49</v>
      </c>
      <c r="M246" s="2" t="s">
        <v>2364</v>
      </c>
    </row>
    <row r="247" spans="1:13" x14ac:dyDescent="0.3">
      <c r="A247" s="2" t="s">
        <v>1164</v>
      </c>
      <c r="B247" s="5">
        <v>46105</v>
      </c>
      <c r="C247" s="2" t="s">
        <v>1165</v>
      </c>
      <c r="D247" s="2" t="s">
        <v>53</v>
      </c>
      <c r="E247" s="2" t="s">
        <v>170</v>
      </c>
      <c r="F247" s="2" t="s">
        <v>90</v>
      </c>
      <c r="G247" s="2" t="s">
        <v>23</v>
      </c>
      <c r="H247" s="2">
        <v>29</v>
      </c>
      <c r="I247" s="7">
        <v>34.770000000000003</v>
      </c>
      <c r="J247" s="2">
        <v>10</v>
      </c>
      <c r="K247" s="7">
        <v>907.5</v>
      </c>
      <c r="L247" s="2" t="s">
        <v>69</v>
      </c>
      <c r="M247" s="2" t="s">
        <v>2365</v>
      </c>
    </row>
    <row r="248" spans="1:13" x14ac:dyDescent="0.3">
      <c r="A248" s="2" t="s">
        <v>1244</v>
      </c>
      <c r="B248" s="5">
        <v>45821</v>
      </c>
      <c r="C248" s="2" t="s">
        <v>1245</v>
      </c>
      <c r="D248" s="2" t="s">
        <v>24</v>
      </c>
      <c r="E248" s="2" t="s">
        <v>104</v>
      </c>
      <c r="F248" s="2" t="s">
        <v>90</v>
      </c>
      <c r="G248" s="2" t="s">
        <v>23</v>
      </c>
      <c r="H248" s="2">
        <v>41</v>
      </c>
      <c r="I248" s="7">
        <v>22.26</v>
      </c>
      <c r="J248" s="2">
        <v>0</v>
      </c>
      <c r="K248" s="7">
        <v>912.66</v>
      </c>
      <c r="L248" s="2" t="s">
        <v>69</v>
      </c>
      <c r="M248" s="2" t="s">
        <v>2364</v>
      </c>
    </row>
    <row r="249" spans="1:13" x14ac:dyDescent="0.3">
      <c r="A249" s="2" t="s">
        <v>2082</v>
      </c>
      <c r="B249" s="5">
        <v>45846</v>
      </c>
      <c r="C249" s="2" t="s">
        <v>1051</v>
      </c>
      <c r="D249" s="2" t="s">
        <v>24</v>
      </c>
      <c r="E249" s="2" t="s">
        <v>25</v>
      </c>
      <c r="F249" s="2" t="s">
        <v>90</v>
      </c>
      <c r="G249" s="2" t="s">
        <v>23</v>
      </c>
      <c r="H249" s="2">
        <v>21</v>
      </c>
      <c r="I249" s="7">
        <v>43.86</v>
      </c>
      <c r="J249" s="2">
        <v>0</v>
      </c>
      <c r="K249" s="7">
        <v>921.06</v>
      </c>
      <c r="L249" s="2" t="s">
        <v>31</v>
      </c>
      <c r="M249" s="2" t="s">
        <v>2364</v>
      </c>
    </row>
    <row r="250" spans="1:13" x14ac:dyDescent="0.3">
      <c r="A250" s="2" t="s">
        <v>344</v>
      </c>
      <c r="B250" s="5">
        <v>45894</v>
      </c>
      <c r="C250" s="2" t="s">
        <v>345</v>
      </c>
      <c r="D250" s="2" t="s">
        <v>16</v>
      </c>
      <c r="E250" s="2" t="s">
        <v>91</v>
      </c>
      <c r="F250" s="2" t="s">
        <v>90</v>
      </c>
      <c r="G250" s="2" t="s">
        <v>23</v>
      </c>
      <c r="H250" s="2">
        <v>38</v>
      </c>
      <c r="I250" s="7">
        <v>28.56</v>
      </c>
      <c r="J250" s="2">
        <v>15</v>
      </c>
      <c r="K250" s="7">
        <v>922.49</v>
      </c>
      <c r="L250" s="2" t="s">
        <v>69</v>
      </c>
      <c r="M250" s="2" t="s">
        <v>2364</v>
      </c>
    </row>
    <row r="251" spans="1:13" x14ac:dyDescent="0.3">
      <c r="A251" s="2" t="s">
        <v>2118</v>
      </c>
      <c r="B251" s="5">
        <v>46264</v>
      </c>
      <c r="C251" s="2" t="s">
        <v>1790</v>
      </c>
      <c r="D251" s="2" t="s">
        <v>16</v>
      </c>
      <c r="E251" s="2" t="s">
        <v>91</v>
      </c>
      <c r="F251" s="2" t="s">
        <v>90</v>
      </c>
      <c r="G251" s="2" t="s">
        <v>23</v>
      </c>
      <c r="H251" s="2">
        <v>32</v>
      </c>
      <c r="I251" s="7">
        <v>31.82</v>
      </c>
      <c r="J251" s="2">
        <v>0</v>
      </c>
      <c r="K251" s="7">
        <v>1018.24</v>
      </c>
      <c r="L251" s="2" t="s">
        <v>27</v>
      </c>
      <c r="M251" s="2" t="s">
        <v>2364</v>
      </c>
    </row>
    <row r="252" spans="1:13" x14ac:dyDescent="0.3">
      <c r="A252" s="2" t="s">
        <v>2201</v>
      </c>
      <c r="B252" s="5">
        <v>46245</v>
      </c>
      <c r="C252" s="2" t="s">
        <v>2202</v>
      </c>
      <c r="D252" s="2" t="s">
        <v>24</v>
      </c>
      <c r="E252" s="2" t="s">
        <v>59</v>
      </c>
      <c r="F252" s="2" t="s">
        <v>90</v>
      </c>
      <c r="G252" s="2" t="s">
        <v>23</v>
      </c>
      <c r="H252" s="2">
        <v>28</v>
      </c>
      <c r="I252" s="7">
        <v>44.47</v>
      </c>
      <c r="J252" s="2">
        <v>15</v>
      </c>
      <c r="K252" s="7">
        <v>1058.3900000000001</v>
      </c>
      <c r="L252" s="2" t="s">
        <v>49</v>
      </c>
      <c r="M252" s="2" t="s">
        <v>2364</v>
      </c>
    </row>
    <row r="253" spans="1:13" x14ac:dyDescent="0.3">
      <c r="A253" s="2" t="s">
        <v>1703</v>
      </c>
      <c r="B253" s="5">
        <v>46108</v>
      </c>
      <c r="C253" s="2" t="s">
        <v>1704</v>
      </c>
      <c r="D253" s="2" t="s">
        <v>46</v>
      </c>
      <c r="E253" s="2" t="s">
        <v>124</v>
      </c>
      <c r="F253" s="2" t="s">
        <v>90</v>
      </c>
      <c r="G253" s="2" t="s">
        <v>23</v>
      </c>
      <c r="H253" s="2">
        <v>26</v>
      </c>
      <c r="I253" s="7">
        <v>42.42</v>
      </c>
      <c r="J253" s="2">
        <v>0</v>
      </c>
      <c r="K253" s="7">
        <v>1102.92</v>
      </c>
      <c r="L253" s="2" t="s">
        <v>49</v>
      </c>
      <c r="M253" s="2" t="s">
        <v>2364</v>
      </c>
    </row>
    <row r="254" spans="1:13" x14ac:dyDescent="0.3">
      <c r="A254" s="2" t="s">
        <v>1196</v>
      </c>
      <c r="B254" s="5">
        <v>45863</v>
      </c>
      <c r="C254" s="2" t="s">
        <v>710</v>
      </c>
      <c r="D254" s="2" t="s">
        <v>16</v>
      </c>
      <c r="E254" s="2" t="s">
        <v>111</v>
      </c>
      <c r="F254" s="2" t="s">
        <v>90</v>
      </c>
      <c r="G254" s="2" t="s">
        <v>23</v>
      </c>
      <c r="H254" s="2">
        <v>44</v>
      </c>
      <c r="I254" s="7">
        <v>25.44</v>
      </c>
      <c r="J254" s="2">
        <v>0</v>
      </c>
      <c r="K254" s="7">
        <v>1119.3599999999999</v>
      </c>
      <c r="L254" s="2" t="s">
        <v>27</v>
      </c>
      <c r="M254" s="2" t="s">
        <v>2365</v>
      </c>
    </row>
    <row r="255" spans="1:13" x14ac:dyDescent="0.3">
      <c r="A255" s="2" t="s">
        <v>440</v>
      </c>
      <c r="B255" s="5">
        <v>46105</v>
      </c>
      <c r="C255" s="2" t="s">
        <v>441</v>
      </c>
      <c r="D255" s="2" t="s">
        <v>46</v>
      </c>
      <c r="E255" s="2" t="s">
        <v>244</v>
      </c>
      <c r="F255" s="2" t="s">
        <v>90</v>
      </c>
      <c r="G255" s="2" t="s">
        <v>23</v>
      </c>
      <c r="H255" s="2">
        <v>40</v>
      </c>
      <c r="I255" s="7">
        <v>35.619999999999997</v>
      </c>
      <c r="J255" s="2">
        <v>20</v>
      </c>
      <c r="K255" s="7">
        <v>1139.8399999999999</v>
      </c>
      <c r="L255" s="1" t="s">
        <v>2347</v>
      </c>
      <c r="M255" s="2" t="s">
        <v>2364</v>
      </c>
    </row>
    <row r="256" spans="1:13" x14ac:dyDescent="0.3">
      <c r="A256" s="2" t="s">
        <v>361</v>
      </c>
      <c r="B256" s="5">
        <v>45596</v>
      </c>
      <c r="C256" s="2" t="s">
        <v>362</v>
      </c>
      <c r="D256" s="2" t="s">
        <v>46</v>
      </c>
      <c r="E256" s="2" t="s">
        <v>244</v>
      </c>
      <c r="F256" s="2" t="s">
        <v>90</v>
      </c>
      <c r="G256" s="2" t="s">
        <v>23</v>
      </c>
      <c r="H256" s="2">
        <v>42</v>
      </c>
      <c r="I256" s="7">
        <v>27.97</v>
      </c>
      <c r="J256" s="2">
        <v>0</v>
      </c>
      <c r="K256" s="7">
        <v>1174.74</v>
      </c>
      <c r="L256" s="1" t="s">
        <v>2347</v>
      </c>
      <c r="M256" s="2" t="s">
        <v>2364</v>
      </c>
    </row>
    <row r="257" spans="1:13" x14ac:dyDescent="0.3">
      <c r="A257" s="2" t="s">
        <v>1819</v>
      </c>
      <c r="B257" s="5">
        <v>45933</v>
      </c>
      <c r="C257" s="2" t="s">
        <v>1498</v>
      </c>
      <c r="D257" s="2" t="s">
        <v>16</v>
      </c>
      <c r="E257" s="2" t="s">
        <v>160</v>
      </c>
      <c r="F257" s="2" t="s">
        <v>90</v>
      </c>
      <c r="G257" s="2" t="s">
        <v>23</v>
      </c>
      <c r="H257" s="2">
        <v>39</v>
      </c>
      <c r="I257" s="7">
        <v>33.93</v>
      </c>
      <c r="J257" s="2">
        <v>10</v>
      </c>
      <c r="K257" s="7">
        <v>1190.94</v>
      </c>
      <c r="L257" s="1" t="s">
        <v>2347</v>
      </c>
      <c r="M257" s="2" t="s">
        <v>2365</v>
      </c>
    </row>
    <row r="258" spans="1:13" x14ac:dyDescent="0.3">
      <c r="A258" s="2" t="s">
        <v>1319</v>
      </c>
      <c r="B258" s="5">
        <v>46254</v>
      </c>
      <c r="C258" s="2" t="s">
        <v>1320</v>
      </c>
      <c r="D258" s="2" t="s">
        <v>16</v>
      </c>
      <c r="E258" s="2" t="s">
        <v>160</v>
      </c>
      <c r="F258" s="2" t="s">
        <v>90</v>
      </c>
      <c r="G258" s="2" t="s">
        <v>23</v>
      </c>
      <c r="H258" s="2">
        <v>45</v>
      </c>
      <c r="I258" s="7">
        <v>29.49</v>
      </c>
      <c r="J258" s="2">
        <v>10</v>
      </c>
      <c r="K258" s="7">
        <v>1194.3499999999999</v>
      </c>
      <c r="L258" s="2" t="s">
        <v>27</v>
      </c>
      <c r="M258" s="2" t="s">
        <v>2364</v>
      </c>
    </row>
    <row r="259" spans="1:13" x14ac:dyDescent="0.3">
      <c r="A259" s="2" t="s">
        <v>1118</v>
      </c>
      <c r="B259" s="5">
        <v>46011</v>
      </c>
      <c r="C259" s="2" t="s">
        <v>1119</v>
      </c>
      <c r="D259" s="2" t="s">
        <v>16</v>
      </c>
      <c r="E259" s="2" t="s">
        <v>160</v>
      </c>
      <c r="F259" s="2" t="s">
        <v>90</v>
      </c>
      <c r="G259" s="2" t="s">
        <v>23</v>
      </c>
      <c r="H259" s="2">
        <v>45</v>
      </c>
      <c r="I259" s="7">
        <v>26.74</v>
      </c>
      <c r="J259" s="2">
        <v>0</v>
      </c>
      <c r="K259" s="7">
        <v>1203.3</v>
      </c>
      <c r="L259" s="2" t="s">
        <v>69</v>
      </c>
      <c r="M259" s="2" t="s">
        <v>2364</v>
      </c>
    </row>
    <row r="260" spans="1:13" x14ac:dyDescent="0.3">
      <c r="A260" s="2" t="s">
        <v>1932</v>
      </c>
      <c r="B260" s="5">
        <v>46103</v>
      </c>
      <c r="C260" s="2" t="s">
        <v>1933</v>
      </c>
      <c r="D260" s="2" t="s">
        <v>53</v>
      </c>
      <c r="E260" s="2" t="s">
        <v>134</v>
      </c>
      <c r="F260" s="2" t="s">
        <v>90</v>
      </c>
      <c r="G260" s="2" t="s">
        <v>23</v>
      </c>
      <c r="H260" s="2">
        <v>37</v>
      </c>
      <c r="I260" s="7">
        <v>38.549999999999997</v>
      </c>
      <c r="J260" s="2">
        <v>15</v>
      </c>
      <c r="K260" s="7">
        <v>1212.4000000000001</v>
      </c>
      <c r="L260" s="2" t="s">
        <v>69</v>
      </c>
      <c r="M260" s="2" t="s">
        <v>2364</v>
      </c>
    </row>
    <row r="261" spans="1:13" x14ac:dyDescent="0.3">
      <c r="A261" s="2" t="s">
        <v>1709</v>
      </c>
      <c r="B261" s="5">
        <v>45918</v>
      </c>
      <c r="C261" s="2" t="s">
        <v>1710</v>
      </c>
      <c r="D261" s="2" t="s">
        <v>53</v>
      </c>
      <c r="E261" s="2" t="s">
        <v>141</v>
      </c>
      <c r="F261" s="2" t="s">
        <v>90</v>
      </c>
      <c r="G261" s="2" t="s">
        <v>23</v>
      </c>
      <c r="H261" s="2">
        <v>29</v>
      </c>
      <c r="I261" s="7">
        <v>42.06</v>
      </c>
      <c r="J261" s="2">
        <v>0</v>
      </c>
      <c r="K261" s="7">
        <v>1219.74</v>
      </c>
      <c r="L261" s="2" t="s">
        <v>49</v>
      </c>
      <c r="M261" s="2" t="s">
        <v>2365</v>
      </c>
    </row>
    <row r="262" spans="1:13" x14ac:dyDescent="0.3">
      <c r="A262" s="2" t="s">
        <v>579</v>
      </c>
      <c r="B262" s="5">
        <v>46204</v>
      </c>
      <c r="C262" s="2" t="s">
        <v>580</v>
      </c>
      <c r="D262" s="2" t="s">
        <v>24</v>
      </c>
      <c r="E262" s="2" t="s">
        <v>41</v>
      </c>
      <c r="F262" s="2" t="s">
        <v>90</v>
      </c>
      <c r="G262" s="2" t="s">
        <v>23</v>
      </c>
      <c r="H262" s="2">
        <v>34</v>
      </c>
      <c r="I262" s="7">
        <v>36.700000000000003</v>
      </c>
      <c r="J262" s="2">
        <v>0</v>
      </c>
      <c r="K262" s="7">
        <v>1247.8</v>
      </c>
      <c r="L262" s="1" t="s">
        <v>2347</v>
      </c>
      <c r="M262" s="2" t="s">
        <v>2364</v>
      </c>
    </row>
    <row r="263" spans="1:13" x14ac:dyDescent="0.3">
      <c r="A263" s="2" t="s">
        <v>1664</v>
      </c>
      <c r="B263" s="5">
        <v>45974</v>
      </c>
      <c r="C263" s="2" t="s">
        <v>1665</v>
      </c>
      <c r="D263" s="2" t="s">
        <v>24</v>
      </c>
      <c r="E263" s="2" t="s">
        <v>59</v>
      </c>
      <c r="F263" s="2" t="s">
        <v>90</v>
      </c>
      <c r="G263" s="2" t="s">
        <v>23</v>
      </c>
      <c r="H263" s="2">
        <v>32</v>
      </c>
      <c r="I263" s="7">
        <v>43.7</v>
      </c>
      <c r="J263" s="2">
        <v>10</v>
      </c>
      <c r="K263" s="7">
        <v>1258.56</v>
      </c>
      <c r="L263" s="2" t="s">
        <v>31</v>
      </c>
      <c r="M263" s="2" t="s">
        <v>2364</v>
      </c>
    </row>
    <row r="264" spans="1:13" x14ac:dyDescent="0.3">
      <c r="A264" s="2" t="s">
        <v>2126</v>
      </c>
      <c r="B264" s="5">
        <v>45984</v>
      </c>
      <c r="C264" s="2" t="s">
        <v>2127</v>
      </c>
      <c r="D264" s="2" t="s">
        <v>46</v>
      </c>
      <c r="E264" s="2" t="s">
        <v>244</v>
      </c>
      <c r="F264" s="2" t="s">
        <v>90</v>
      </c>
      <c r="G264" s="2" t="s">
        <v>23</v>
      </c>
      <c r="H264" s="2">
        <v>30</v>
      </c>
      <c r="I264" s="7">
        <v>42.09</v>
      </c>
      <c r="J264" s="2">
        <v>0</v>
      </c>
      <c r="K264" s="7">
        <v>1262.7</v>
      </c>
      <c r="L264" s="2" t="s">
        <v>49</v>
      </c>
      <c r="M264" s="2" t="s">
        <v>2364</v>
      </c>
    </row>
    <row r="265" spans="1:13" x14ac:dyDescent="0.3">
      <c r="A265" s="2" t="s">
        <v>181</v>
      </c>
      <c r="B265" s="5">
        <v>45869</v>
      </c>
      <c r="C265" s="2" t="s">
        <v>182</v>
      </c>
      <c r="D265" s="2" t="s">
        <v>53</v>
      </c>
      <c r="E265" s="2" t="s">
        <v>67</v>
      </c>
      <c r="F265" s="2" t="s">
        <v>90</v>
      </c>
      <c r="G265" s="2" t="s">
        <v>23</v>
      </c>
      <c r="H265" s="2">
        <v>43</v>
      </c>
      <c r="I265" s="7">
        <v>29.4</v>
      </c>
      <c r="J265" s="2">
        <v>0</v>
      </c>
      <c r="K265" s="7">
        <v>1264.2</v>
      </c>
      <c r="L265" s="2" t="s">
        <v>69</v>
      </c>
      <c r="M265" s="2" t="s">
        <v>2364</v>
      </c>
    </row>
    <row r="266" spans="1:13" x14ac:dyDescent="0.3">
      <c r="A266" s="2" t="s">
        <v>483</v>
      </c>
      <c r="B266" s="5">
        <v>46166</v>
      </c>
      <c r="C266" s="2" t="s">
        <v>484</v>
      </c>
      <c r="D266" s="2" t="s">
        <v>16</v>
      </c>
      <c r="E266" s="2" t="s">
        <v>111</v>
      </c>
      <c r="F266" s="2" t="s">
        <v>90</v>
      </c>
      <c r="G266" s="2" t="s">
        <v>23</v>
      </c>
      <c r="H266" s="2">
        <v>40</v>
      </c>
      <c r="I266" s="7">
        <v>33.57</v>
      </c>
      <c r="J266" s="2">
        <v>5</v>
      </c>
      <c r="K266" s="7">
        <v>1275.6600000000001</v>
      </c>
      <c r="L266" s="2" t="s">
        <v>27</v>
      </c>
      <c r="M266" s="2" t="s">
        <v>2364</v>
      </c>
    </row>
    <row r="267" spans="1:13" x14ac:dyDescent="0.3">
      <c r="A267" s="2" t="s">
        <v>2214</v>
      </c>
      <c r="B267" s="5">
        <v>45845</v>
      </c>
      <c r="C267" s="2" t="s">
        <v>1516</v>
      </c>
      <c r="D267" s="2" t="s">
        <v>24</v>
      </c>
      <c r="E267" s="2" t="s">
        <v>25</v>
      </c>
      <c r="F267" s="2" t="s">
        <v>90</v>
      </c>
      <c r="G267" s="2" t="s">
        <v>23</v>
      </c>
      <c r="H267" s="2">
        <v>33</v>
      </c>
      <c r="I267" s="7">
        <v>42.6</v>
      </c>
      <c r="J267" s="2">
        <v>0</v>
      </c>
      <c r="K267" s="7">
        <v>1405.8</v>
      </c>
      <c r="L267" s="2" t="s">
        <v>27</v>
      </c>
      <c r="M267" s="2" t="s">
        <v>2364</v>
      </c>
    </row>
    <row r="268" spans="1:13" x14ac:dyDescent="0.3">
      <c r="A268" s="2" t="s">
        <v>1182</v>
      </c>
      <c r="B268" s="5">
        <v>46183</v>
      </c>
      <c r="C268" s="2" t="s">
        <v>1183</v>
      </c>
      <c r="D268" s="2" t="s">
        <v>24</v>
      </c>
      <c r="E268" s="2" t="s">
        <v>41</v>
      </c>
      <c r="F268" s="2" t="s">
        <v>90</v>
      </c>
      <c r="G268" s="2" t="s">
        <v>23</v>
      </c>
      <c r="H268" s="2">
        <v>41</v>
      </c>
      <c r="I268" s="7">
        <v>34.549999999999997</v>
      </c>
      <c r="J268" s="2">
        <v>0</v>
      </c>
      <c r="K268" s="7">
        <v>1416.55</v>
      </c>
      <c r="L268" s="2" t="s">
        <v>27</v>
      </c>
      <c r="M268" s="2" t="s">
        <v>2365</v>
      </c>
    </row>
    <row r="269" spans="1:13" x14ac:dyDescent="0.3">
      <c r="A269" s="2" t="s">
        <v>1659</v>
      </c>
      <c r="B269" s="5">
        <v>45994</v>
      </c>
      <c r="C269" s="2" t="s">
        <v>499</v>
      </c>
      <c r="D269" s="2" t="s">
        <v>24</v>
      </c>
      <c r="E269" s="2" t="s">
        <v>59</v>
      </c>
      <c r="F269" s="2" t="s">
        <v>90</v>
      </c>
      <c r="G269" s="2" t="s">
        <v>23</v>
      </c>
      <c r="H269" s="2">
        <v>47</v>
      </c>
      <c r="I269" s="7">
        <v>33.880000000000003</v>
      </c>
      <c r="J269" s="2">
        <v>5</v>
      </c>
      <c r="K269" s="7">
        <v>1512.74</v>
      </c>
      <c r="L269" s="2" t="s">
        <v>27</v>
      </c>
      <c r="M269" s="2" t="s">
        <v>2365</v>
      </c>
    </row>
    <row r="270" spans="1:13" x14ac:dyDescent="0.3">
      <c r="A270" s="2" t="s">
        <v>1894</v>
      </c>
      <c r="B270" s="5">
        <v>46114</v>
      </c>
      <c r="C270" s="2" t="s">
        <v>897</v>
      </c>
      <c r="D270" s="2" t="s">
        <v>53</v>
      </c>
      <c r="E270" s="2" t="s">
        <v>54</v>
      </c>
      <c r="F270" s="2" t="s">
        <v>90</v>
      </c>
      <c r="G270" s="2" t="s">
        <v>23</v>
      </c>
      <c r="H270" s="2">
        <v>48</v>
      </c>
      <c r="I270" s="7">
        <v>40.21</v>
      </c>
      <c r="J270" s="2">
        <v>20</v>
      </c>
      <c r="K270" s="7">
        <v>1544.06</v>
      </c>
      <c r="L270" s="1" t="s">
        <v>2347</v>
      </c>
      <c r="M270" s="2" t="s">
        <v>2364</v>
      </c>
    </row>
    <row r="271" spans="1:13" x14ac:dyDescent="0.3">
      <c r="A271" s="2" t="s">
        <v>1638</v>
      </c>
      <c r="B271" s="5">
        <v>45635</v>
      </c>
      <c r="C271" s="2" t="s">
        <v>1639</v>
      </c>
      <c r="D271" s="2" t="s">
        <v>46</v>
      </c>
      <c r="E271" s="2" t="s">
        <v>124</v>
      </c>
      <c r="F271" s="2" t="s">
        <v>90</v>
      </c>
      <c r="G271" s="2" t="s">
        <v>23</v>
      </c>
      <c r="H271" s="2">
        <v>41</v>
      </c>
      <c r="I271" s="7">
        <v>43.17</v>
      </c>
      <c r="J271" s="2">
        <v>10</v>
      </c>
      <c r="K271" s="7">
        <v>1592.97</v>
      </c>
      <c r="L271" s="2" t="s">
        <v>69</v>
      </c>
      <c r="M271" s="2" t="s">
        <v>2364</v>
      </c>
    </row>
    <row r="272" spans="1:13" x14ac:dyDescent="0.3">
      <c r="A272" s="2" t="s">
        <v>1133</v>
      </c>
      <c r="B272" s="5">
        <v>46270</v>
      </c>
      <c r="C272" s="2" t="s">
        <v>1134</v>
      </c>
      <c r="D272" s="2" t="s">
        <v>24</v>
      </c>
      <c r="E272" s="2" t="s">
        <v>59</v>
      </c>
      <c r="F272" s="2" t="s">
        <v>90</v>
      </c>
      <c r="G272" s="2" t="s">
        <v>23</v>
      </c>
      <c r="H272" s="2">
        <v>40</v>
      </c>
      <c r="I272" s="7">
        <v>43.23</v>
      </c>
      <c r="J272" s="2">
        <v>0</v>
      </c>
      <c r="K272" s="7">
        <v>1729.2</v>
      </c>
      <c r="L272" s="2" t="s">
        <v>27</v>
      </c>
      <c r="M272" s="2" t="s">
        <v>2364</v>
      </c>
    </row>
    <row r="273" spans="1:13" x14ac:dyDescent="0.3">
      <c r="A273" s="2" t="s">
        <v>1989</v>
      </c>
      <c r="B273" s="5">
        <v>46268</v>
      </c>
      <c r="C273" s="2" t="s">
        <v>1990</v>
      </c>
      <c r="D273" s="2" t="s">
        <v>24</v>
      </c>
      <c r="E273" s="2" t="s">
        <v>41</v>
      </c>
      <c r="F273" s="2" t="s">
        <v>90</v>
      </c>
      <c r="G273" s="2" t="s">
        <v>23</v>
      </c>
      <c r="H273" s="2">
        <v>41</v>
      </c>
      <c r="I273" s="7">
        <v>44.41</v>
      </c>
      <c r="J273" s="2">
        <v>0</v>
      </c>
      <c r="K273" s="7">
        <v>1820.81</v>
      </c>
      <c r="L273" s="2" t="s">
        <v>27</v>
      </c>
      <c r="M273" s="2" t="s">
        <v>2364</v>
      </c>
    </row>
    <row r="274" spans="1:13" x14ac:dyDescent="0.3">
      <c r="A274" s="2" t="s">
        <v>2121</v>
      </c>
      <c r="B274" s="5">
        <v>45848</v>
      </c>
      <c r="C274" s="2" t="s">
        <v>1410</v>
      </c>
      <c r="D274" s="2" t="s">
        <v>53</v>
      </c>
      <c r="E274" s="2" t="s">
        <v>134</v>
      </c>
      <c r="F274" s="2" t="s">
        <v>90</v>
      </c>
      <c r="G274" s="2" t="s">
        <v>23</v>
      </c>
      <c r="H274" s="2">
        <v>41</v>
      </c>
      <c r="I274" s="7">
        <v>44.98</v>
      </c>
      <c r="J274" s="2">
        <v>0</v>
      </c>
      <c r="K274" s="7">
        <v>1844.18</v>
      </c>
      <c r="L274" s="1" t="s">
        <v>2347</v>
      </c>
      <c r="M274" s="2" t="s">
        <v>2364</v>
      </c>
    </row>
    <row r="275" spans="1:13" x14ac:dyDescent="0.3">
      <c r="A275" s="2" t="s">
        <v>193</v>
      </c>
      <c r="B275" s="5">
        <v>45776</v>
      </c>
      <c r="C275" s="2" t="s">
        <v>194</v>
      </c>
      <c r="D275" s="2" t="s">
        <v>46</v>
      </c>
      <c r="E275" s="2" t="s">
        <v>83</v>
      </c>
      <c r="F275" s="2" t="s">
        <v>90</v>
      </c>
      <c r="G275" s="2" t="s">
        <v>23</v>
      </c>
      <c r="H275" s="2">
        <v>50</v>
      </c>
      <c r="I275" s="7">
        <v>42.28</v>
      </c>
      <c r="J275" s="2">
        <v>5</v>
      </c>
      <c r="K275" s="7">
        <v>2008.3</v>
      </c>
      <c r="L275" s="2" t="s">
        <v>31</v>
      </c>
      <c r="M275" s="2" t="s">
        <v>2364</v>
      </c>
    </row>
    <row r="276" spans="1:13" x14ac:dyDescent="0.3">
      <c r="A276" s="2" t="s">
        <v>2014</v>
      </c>
      <c r="B276" s="5">
        <v>45978</v>
      </c>
      <c r="C276" s="2" t="s">
        <v>2015</v>
      </c>
      <c r="D276" s="2" t="s">
        <v>46</v>
      </c>
      <c r="E276" s="2" t="s">
        <v>124</v>
      </c>
      <c r="F276" s="2" t="s">
        <v>90</v>
      </c>
      <c r="G276" s="2" t="s">
        <v>23</v>
      </c>
      <c r="H276" s="2">
        <v>48</v>
      </c>
      <c r="I276" s="7">
        <v>41.84</v>
      </c>
      <c r="J276" s="2">
        <v>0</v>
      </c>
      <c r="K276" s="7">
        <v>2008.32</v>
      </c>
      <c r="L276" s="2" t="s">
        <v>49</v>
      </c>
      <c r="M276" s="2" t="s">
        <v>2364</v>
      </c>
    </row>
    <row r="277" spans="1:13" x14ac:dyDescent="0.3">
      <c r="A277" s="2" t="s">
        <v>2317</v>
      </c>
      <c r="B277" s="5">
        <v>45969</v>
      </c>
      <c r="C277" s="2" t="s">
        <v>2318</v>
      </c>
      <c r="D277" s="2" t="s">
        <v>53</v>
      </c>
      <c r="E277" s="2" t="s">
        <v>141</v>
      </c>
      <c r="F277" s="2" t="s">
        <v>22</v>
      </c>
      <c r="G277" s="2" t="s">
        <v>23</v>
      </c>
      <c r="H277" s="2">
        <v>1</v>
      </c>
      <c r="I277" s="7">
        <v>26.83</v>
      </c>
      <c r="J277" s="2">
        <v>0</v>
      </c>
      <c r="K277" s="7">
        <v>26.83</v>
      </c>
      <c r="L277" s="2" t="s">
        <v>69</v>
      </c>
      <c r="M277" s="2" t="s">
        <v>2364</v>
      </c>
    </row>
    <row r="278" spans="1:13" x14ac:dyDescent="0.3">
      <c r="A278" s="2" t="s">
        <v>1600</v>
      </c>
      <c r="B278" s="5">
        <v>46047</v>
      </c>
      <c r="C278" s="2" t="s">
        <v>1601</v>
      </c>
      <c r="D278" s="2" t="s">
        <v>53</v>
      </c>
      <c r="E278" s="2" t="s">
        <v>54</v>
      </c>
      <c r="F278" s="2" t="s">
        <v>22</v>
      </c>
      <c r="G278" s="2" t="s">
        <v>23</v>
      </c>
      <c r="H278" s="2">
        <v>1</v>
      </c>
      <c r="I278" s="7">
        <v>37.9</v>
      </c>
      <c r="J278" s="2">
        <v>5</v>
      </c>
      <c r="K278" s="7">
        <v>36</v>
      </c>
      <c r="L278" s="2" t="s">
        <v>49</v>
      </c>
      <c r="M278" s="2" t="s">
        <v>2364</v>
      </c>
    </row>
    <row r="279" spans="1:13" x14ac:dyDescent="0.3">
      <c r="A279" s="2" t="s">
        <v>1732</v>
      </c>
      <c r="B279" s="5">
        <v>46076</v>
      </c>
      <c r="C279" s="2" t="s">
        <v>1733</v>
      </c>
      <c r="D279" s="2" t="s">
        <v>16</v>
      </c>
      <c r="E279" s="2" t="s">
        <v>160</v>
      </c>
      <c r="F279" s="2" t="s">
        <v>22</v>
      </c>
      <c r="G279" s="2" t="s">
        <v>23</v>
      </c>
      <c r="H279" s="2">
        <v>2</v>
      </c>
      <c r="I279" s="7">
        <v>21.65</v>
      </c>
      <c r="J279" s="2">
        <v>10</v>
      </c>
      <c r="K279" s="7">
        <v>38.97</v>
      </c>
      <c r="L279" s="2" t="s">
        <v>69</v>
      </c>
      <c r="M279" s="2" t="s">
        <v>2365</v>
      </c>
    </row>
    <row r="280" spans="1:13" x14ac:dyDescent="0.3">
      <c r="A280" s="2" t="s">
        <v>378</v>
      </c>
      <c r="B280" s="5">
        <v>46188</v>
      </c>
      <c r="C280" s="2" t="s">
        <v>379</v>
      </c>
      <c r="D280" s="2" t="s">
        <v>16</v>
      </c>
      <c r="E280" s="2" t="s">
        <v>111</v>
      </c>
      <c r="F280" s="2" t="s">
        <v>22</v>
      </c>
      <c r="G280" s="2" t="s">
        <v>23</v>
      </c>
      <c r="H280" s="2">
        <v>2</v>
      </c>
      <c r="I280" s="7">
        <v>33.409999999999997</v>
      </c>
      <c r="J280" s="2">
        <v>10</v>
      </c>
      <c r="K280" s="7">
        <v>60.14</v>
      </c>
      <c r="L280" s="2" t="s">
        <v>49</v>
      </c>
      <c r="M280" s="2" t="s">
        <v>2364</v>
      </c>
    </row>
    <row r="281" spans="1:13" x14ac:dyDescent="0.3">
      <c r="A281" s="2" t="s">
        <v>1493</v>
      </c>
      <c r="B281" s="5">
        <v>45846</v>
      </c>
      <c r="C281" s="2" t="s">
        <v>1099</v>
      </c>
      <c r="D281" s="2" t="s">
        <v>46</v>
      </c>
      <c r="E281" s="2" t="s">
        <v>47</v>
      </c>
      <c r="F281" s="2" t="s">
        <v>22</v>
      </c>
      <c r="G281" s="2" t="s">
        <v>23</v>
      </c>
      <c r="H281" s="2">
        <v>3</v>
      </c>
      <c r="I281" s="7">
        <v>32.42</v>
      </c>
      <c r="J281" s="2">
        <v>0</v>
      </c>
      <c r="K281" s="7">
        <v>97.26</v>
      </c>
      <c r="L281" s="2" t="s">
        <v>69</v>
      </c>
      <c r="M281" s="2" t="s">
        <v>2364</v>
      </c>
    </row>
    <row r="282" spans="1:13" x14ac:dyDescent="0.3">
      <c r="A282" s="2" t="s">
        <v>1032</v>
      </c>
      <c r="B282" s="5">
        <v>46115</v>
      </c>
      <c r="C282" s="2" t="s">
        <v>188</v>
      </c>
      <c r="D282" s="2" t="s">
        <v>53</v>
      </c>
      <c r="E282" s="2" t="s">
        <v>170</v>
      </c>
      <c r="F282" s="2" t="s">
        <v>22</v>
      </c>
      <c r="G282" s="2" t="s">
        <v>23</v>
      </c>
      <c r="H282" s="2">
        <v>8</v>
      </c>
      <c r="I282" s="7">
        <v>15.3</v>
      </c>
      <c r="J282" s="2">
        <v>20</v>
      </c>
      <c r="K282" s="7">
        <v>97.92</v>
      </c>
      <c r="L282" s="2" t="s">
        <v>69</v>
      </c>
      <c r="M282" s="2" t="s">
        <v>2364</v>
      </c>
    </row>
    <row r="283" spans="1:13" x14ac:dyDescent="0.3">
      <c r="A283" s="2" t="s">
        <v>2019</v>
      </c>
      <c r="B283" s="5">
        <v>46201</v>
      </c>
      <c r="C283" s="2" t="s">
        <v>2020</v>
      </c>
      <c r="D283" s="2" t="s">
        <v>16</v>
      </c>
      <c r="E283" s="2" t="s">
        <v>17</v>
      </c>
      <c r="F283" s="2" t="s">
        <v>22</v>
      </c>
      <c r="G283" s="2" t="s">
        <v>23</v>
      </c>
      <c r="H283" s="2">
        <v>4</v>
      </c>
      <c r="I283" s="7">
        <v>30.73</v>
      </c>
      <c r="J283" s="2">
        <v>0</v>
      </c>
      <c r="K283" s="7">
        <v>122.92</v>
      </c>
      <c r="L283" s="2" t="s">
        <v>69</v>
      </c>
      <c r="M283" s="2" t="s">
        <v>2365</v>
      </c>
    </row>
    <row r="284" spans="1:13" x14ac:dyDescent="0.3">
      <c r="A284" s="2" t="s">
        <v>1854</v>
      </c>
      <c r="B284" s="5">
        <v>45924</v>
      </c>
      <c r="C284" s="2" t="s">
        <v>1855</v>
      </c>
      <c r="D284" s="2" t="s">
        <v>24</v>
      </c>
      <c r="E284" s="2" t="s">
        <v>41</v>
      </c>
      <c r="F284" s="2" t="s">
        <v>22</v>
      </c>
      <c r="G284" s="2" t="s">
        <v>23</v>
      </c>
      <c r="H284" s="2">
        <v>6</v>
      </c>
      <c r="I284" s="7">
        <v>21.21</v>
      </c>
      <c r="J284" s="2">
        <v>0</v>
      </c>
      <c r="K284" s="7">
        <v>127.26</v>
      </c>
      <c r="L284" s="2" t="s">
        <v>27</v>
      </c>
      <c r="M284" s="2" t="s">
        <v>2364</v>
      </c>
    </row>
    <row r="285" spans="1:13" x14ac:dyDescent="0.3">
      <c r="A285" s="2" t="s">
        <v>2337</v>
      </c>
      <c r="B285" s="5">
        <v>46155</v>
      </c>
      <c r="C285" s="2" t="s">
        <v>1078</v>
      </c>
      <c r="D285" s="2" t="s">
        <v>53</v>
      </c>
      <c r="E285" s="2" t="s">
        <v>134</v>
      </c>
      <c r="F285" s="2" t="s">
        <v>22</v>
      </c>
      <c r="G285" s="2" t="s">
        <v>23</v>
      </c>
      <c r="H285" s="2">
        <v>10</v>
      </c>
      <c r="I285" s="7">
        <v>16.670000000000002</v>
      </c>
      <c r="J285" s="2">
        <v>0</v>
      </c>
      <c r="K285" s="7">
        <v>166.7</v>
      </c>
      <c r="L285" s="2" t="s">
        <v>49</v>
      </c>
      <c r="M285" s="2" t="s">
        <v>2365</v>
      </c>
    </row>
    <row r="286" spans="1:13" x14ac:dyDescent="0.3">
      <c r="A286" s="2" t="s">
        <v>1380</v>
      </c>
      <c r="B286" s="5">
        <v>46201</v>
      </c>
      <c r="C286" s="2" t="s">
        <v>1377</v>
      </c>
      <c r="D286" s="2" t="s">
        <v>53</v>
      </c>
      <c r="E286" s="2" t="s">
        <v>54</v>
      </c>
      <c r="F286" s="2" t="s">
        <v>22</v>
      </c>
      <c r="G286" s="2" t="s">
        <v>23</v>
      </c>
      <c r="H286" s="2">
        <v>11</v>
      </c>
      <c r="I286" s="7">
        <v>15.3</v>
      </c>
      <c r="J286" s="2">
        <v>0</v>
      </c>
      <c r="K286" s="7">
        <v>168.3</v>
      </c>
      <c r="L286" s="2" t="s">
        <v>49</v>
      </c>
      <c r="M286" s="2" t="s">
        <v>2364</v>
      </c>
    </row>
    <row r="287" spans="1:13" x14ac:dyDescent="0.3">
      <c r="A287" s="2" t="s">
        <v>1897</v>
      </c>
      <c r="B287" s="5">
        <v>45989</v>
      </c>
      <c r="C287" s="2" t="s">
        <v>1620</v>
      </c>
      <c r="D287" s="2" t="s">
        <v>46</v>
      </c>
      <c r="E287" s="2" t="s">
        <v>244</v>
      </c>
      <c r="F287" s="2" t="s">
        <v>22</v>
      </c>
      <c r="G287" s="2" t="s">
        <v>23</v>
      </c>
      <c r="H287" s="2">
        <v>7</v>
      </c>
      <c r="I287" s="7">
        <v>34.89</v>
      </c>
      <c r="J287" s="2">
        <v>0</v>
      </c>
      <c r="K287" s="7">
        <v>244.23</v>
      </c>
      <c r="L287" s="2" t="s">
        <v>49</v>
      </c>
      <c r="M287" s="2" t="s">
        <v>2365</v>
      </c>
    </row>
    <row r="288" spans="1:13" x14ac:dyDescent="0.3">
      <c r="A288" s="2" t="s">
        <v>828</v>
      </c>
      <c r="B288" s="5">
        <v>45861</v>
      </c>
      <c r="C288" s="2" t="s">
        <v>829</v>
      </c>
      <c r="D288" s="2" t="s">
        <v>16</v>
      </c>
      <c r="E288" s="2" t="s">
        <v>91</v>
      </c>
      <c r="F288" s="2" t="s">
        <v>22</v>
      </c>
      <c r="G288" s="2" t="s">
        <v>23</v>
      </c>
      <c r="H288" s="2">
        <v>17</v>
      </c>
      <c r="I288" s="7">
        <v>15.97</v>
      </c>
      <c r="J288" s="2">
        <v>10</v>
      </c>
      <c r="K288" s="7">
        <v>244.34</v>
      </c>
      <c r="L288" s="2" t="s">
        <v>69</v>
      </c>
      <c r="M288" s="2" t="s">
        <v>2364</v>
      </c>
    </row>
    <row r="289" spans="1:13" x14ac:dyDescent="0.3">
      <c r="A289" s="2" t="s">
        <v>222</v>
      </c>
      <c r="B289" s="5">
        <v>45607</v>
      </c>
      <c r="C289" s="2" t="s">
        <v>223</v>
      </c>
      <c r="D289" s="2" t="s">
        <v>24</v>
      </c>
      <c r="E289" s="2" t="s">
        <v>59</v>
      </c>
      <c r="F289" s="2" t="s">
        <v>22</v>
      </c>
      <c r="G289" s="2" t="s">
        <v>23</v>
      </c>
      <c r="H289" s="2">
        <v>9</v>
      </c>
      <c r="I289" s="7">
        <v>29.09</v>
      </c>
      <c r="J289" s="2">
        <v>0</v>
      </c>
      <c r="K289" s="7">
        <v>261.81</v>
      </c>
      <c r="L289" s="2" t="s">
        <v>31</v>
      </c>
      <c r="M289" s="2" t="s">
        <v>2364</v>
      </c>
    </row>
    <row r="290" spans="1:13" x14ac:dyDescent="0.3">
      <c r="A290" s="2" t="s">
        <v>2094</v>
      </c>
      <c r="B290" s="5">
        <v>46197</v>
      </c>
      <c r="C290" s="2" t="s">
        <v>797</v>
      </c>
      <c r="D290" s="2" t="s">
        <v>24</v>
      </c>
      <c r="E290" s="2" t="s">
        <v>104</v>
      </c>
      <c r="F290" s="2" t="s">
        <v>22</v>
      </c>
      <c r="G290" s="2" t="s">
        <v>23</v>
      </c>
      <c r="H290" s="2">
        <v>10</v>
      </c>
      <c r="I290" s="7">
        <v>31.52</v>
      </c>
      <c r="J290" s="2">
        <v>10</v>
      </c>
      <c r="K290" s="7">
        <v>283.68</v>
      </c>
      <c r="L290" s="1" t="s">
        <v>2347</v>
      </c>
      <c r="M290" s="2" t="s">
        <v>2364</v>
      </c>
    </row>
    <row r="291" spans="1:13" x14ac:dyDescent="0.3">
      <c r="A291" s="2" t="s">
        <v>2282</v>
      </c>
      <c r="B291" s="5">
        <v>45613</v>
      </c>
      <c r="C291" s="2" t="s">
        <v>400</v>
      </c>
      <c r="D291" s="2" t="s">
        <v>24</v>
      </c>
      <c r="E291" s="2" t="s">
        <v>36</v>
      </c>
      <c r="F291" s="2" t="s">
        <v>22</v>
      </c>
      <c r="G291" s="2" t="s">
        <v>23</v>
      </c>
      <c r="H291" s="2">
        <v>11</v>
      </c>
      <c r="I291" s="7">
        <v>27.31</v>
      </c>
      <c r="J291" s="2">
        <v>0</v>
      </c>
      <c r="K291" s="7">
        <v>300.41000000000003</v>
      </c>
      <c r="L291" s="2" t="s">
        <v>27</v>
      </c>
      <c r="M291" s="2" t="s">
        <v>2364</v>
      </c>
    </row>
    <row r="292" spans="1:13" x14ac:dyDescent="0.3">
      <c r="A292" s="2" t="s">
        <v>1597</v>
      </c>
      <c r="B292" s="5">
        <v>46072</v>
      </c>
      <c r="C292" s="2" t="s">
        <v>1061</v>
      </c>
      <c r="D292" s="2" t="s">
        <v>46</v>
      </c>
      <c r="E292" s="2" t="s">
        <v>124</v>
      </c>
      <c r="F292" s="2" t="s">
        <v>22</v>
      </c>
      <c r="G292" s="2" t="s">
        <v>23</v>
      </c>
      <c r="H292" s="2">
        <v>9</v>
      </c>
      <c r="I292" s="7">
        <v>39.04</v>
      </c>
      <c r="J292" s="2">
        <v>10</v>
      </c>
      <c r="K292" s="7">
        <v>316.22000000000003</v>
      </c>
      <c r="L292" s="1" t="s">
        <v>2347</v>
      </c>
      <c r="M292" s="2" t="s">
        <v>2364</v>
      </c>
    </row>
    <row r="293" spans="1:13" x14ac:dyDescent="0.3">
      <c r="A293" s="2" t="s">
        <v>1954</v>
      </c>
      <c r="B293" s="5">
        <v>46049</v>
      </c>
      <c r="C293" s="2" t="s">
        <v>1955</v>
      </c>
      <c r="D293" s="2" t="s">
        <v>16</v>
      </c>
      <c r="E293" s="2" t="s">
        <v>17</v>
      </c>
      <c r="F293" s="2" t="s">
        <v>22</v>
      </c>
      <c r="G293" s="2" t="s">
        <v>23</v>
      </c>
      <c r="H293" s="2">
        <v>24</v>
      </c>
      <c r="I293" s="7">
        <v>16.18</v>
      </c>
      <c r="J293" s="2">
        <v>10</v>
      </c>
      <c r="K293" s="7">
        <v>349.49</v>
      </c>
      <c r="L293" s="2" t="s">
        <v>31</v>
      </c>
      <c r="M293" s="2" t="s">
        <v>2365</v>
      </c>
    </row>
    <row r="294" spans="1:13" x14ac:dyDescent="0.3">
      <c r="A294" s="2" t="s">
        <v>1740</v>
      </c>
      <c r="B294" s="5">
        <v>46000</v>
      </c>
      <c r="C294" s="2" t="s">
        <v>1741</v>
      </c>
      <c r="D294" s="2" t="s">
        <v>24</v>
      </c>
      <c r="E294" s="2" t="s">
        <v>104</v>
      </c>
      <c r="F294" s="2" t="s">
        <v>22</v>
      </c>
      <c r="G294" s="2" t="s">
        <v>23</v>
      </c>
      <c r="H294" s="2">
        <v>14</v>
      </c>
      <c r="I294" s="7">
        <v>25.31</v>
      </c>
      <c r="J294" s="2">
        <v>0</v>
      </c>
      <c r="K294" s="7">
        <v>354.34</v>
      </c>
      <c r="L294" s="1" t="s">
        <v>2347</v>
      </c>
      <c r="M294" s="2" t="s">
        <v>2365</v>
      </c>
    </row>
    <row r="295" spans="1:13" x14ac:dyDescent="0.3">
      <c r="A295" s="2" t="s">
        <v>410</v>
      </c>
      <c r="B295" s="5">
        <v>45789</v>
      </c>
      <c r="C295" s="2" t="s">
        <v>411</v>
      </c>
      <c r="D295" s="2" t="s">
        <v>53</v>
      </c>
      <c r="E295" s="2" t="s">
        <v>54</v>
      </c>
      <c r="F295" s="2" t="s">
        <v>22</v>
      </c>
      <c r="G295" s="2" t="s">
        <v>23</v>
      </c>
      <c r="H295" s="2">
        <v>12</v>
      </c>
      <c r="I295" s="7">
        <v>34.020000000000003</v>
      </c>
      <c r="J295" s="2">
        <v>0</v>
      </c>
      <c r="K295" s="7">
        <v>408.24</v>
      </c>
      <c r="L295" s="2" t="s">
        <v>49</v>
      </c>
      <c r="M295" s="2" t="s">
        <v>2364</v>
      </c>
    </row>
    <row r="296" spans="1:13" x14ac:dyDescent="0.3">
      <c r="A296" s="2" t="s">
        <v>2137</v>
      </c>
      <c r="B296" s="5">
        <v>45671</v>
      </c>
      <c r="C296" s="2" t="s">
        <v>2138</v>
      </c>
      <c r="D296" s="2" t="s">
        <v>53</v>
      </c>
      <c r="E296" s="2" t="s">
        <v>141</v>
      </c>
      <c r="F296" s="2" t="s">
        <v>22</v>
      </c>
      <c r="G296" s="2" t="s">
        <v>23</v>
      </c>
      <c r="H296" s="2">
        <v>14</v>
      </c>
      <c r="I296" s="7">
        <v>37.65</v>
      </c>
      <c r="J296" s="2">
        <v>10</v>
      </c>
      <c r="K296" s="7">
        <v>474.39</v>
      </c>
      <c r="L296" s="2" t="s">
        <v>49</v>
      </c>
      <c r="M296" s="2" t="s">
        <v>2365</v>
      </c>
    </row>
    <row r="297" spans="1:13" x14ac:dyDescent="0.3">
      <c r="A297" s="2" t="s">
        <v>914</v>
      </c>
      <c r="B297" s="5">
        <v>45695</v>
      </c>
      <c r="C297" s="2" t="s">
        <v>703</v>
      </c>
      <c r="D297" s="2" t="s">
        <v>24</v>
      </c>
      <c r="E297" s="2" t="s">
        <v>25</v>
      </c>
      <c r="F297" s="2" t="s">
        <v>22</v>
      </c>
      <c r="G297" s="2" t="s">
        <v>23</v>
      </c>
      <c r="H297" s="2">
        <v>20</v>
      </c>
      <c r="I297" s="7">
        <v>24.98</v>
      </c>
      <c r="J297" s="2">
        <v>5</v>
      </c>
      <c r="K297" s="7">
        <v>474.62</v>
      </c>
      <c r="L297" s="2" t="s">
        <v>49</v>
      </c>
      <c r="M297" s="2" t="s">
        <v>2365</v>
      </c>
    </row>
    <row r="298" spans="1:13" x14ac:dyDescent="0.3">
      <c r="A298" s="2" t="s">
        <v>2188</v>
      </c>
      <c r="B298" s="5">
        <v>46050</v>
      </c>
      <c r="C298" s="2" t="s">
        <v>2189</v>
      </c>
      <c r="D298" s="2" t="s">
        <v>16</v>
      </c>
      <c r="E298" s="2" t="s">
        <v>111</v>
      </c>
      <c r="F298" s="2" t="s">
        <v>22</v>
      </c>
      <c r="G298" s="2" t="s">
        <v>23</v>
      </c>
      <c r="H298" s="2">
        <v>13</v>
      </c>
      <c r="I298" s="7">
        <v>36.67</v>
      </c>
      <c r="J298" s="2">
        <v>0</v>
      </c>
      <c r="K298" s="7">
        <v>476.71</v>
      </c>
      <c r="L298" s="2" t="s">
        <v>27</v>
      </c>
      <c r="M298" s="2" t="s">
        <v>2364</v>
      </c>
    </row>
    <row r="299" spans="1:13" x14ac:dyDescent="0.3">
      <c r="A299" s="2" t="s">
        <v>855</v>
      </c>
      <c r="B299" s="5">
        <v>45597</v>
      </c>
      <c r="C299" s="2" t="s">
        <v>856</v>
      </c>
      <c r="D299" s="2" t="s">
        <v>46</v>
      </c>
      <c r="E299" s="2" t="s">
        <v>83</v>
      </c>
      <c r="F299" s="2" t="s">
        <v>22</v>
      </c>
      <c r="G299" s="2" t="s">
        <v>23</v>
      </c>
      <c r="H299" s="2">
        <v>28</v>
      </c>
      <c r="I299" s="7">
        <v>20.100000000000001</v>
      </c>
      <c r="J299" s="2">
        <v>10</v>
      </c>
      <c r="K299" s="7">
        <v>506.52</v>
      </c>
      <c r="L299" s="2" t="s">
        <v>27</v>
      </c>
      <c r="M299" s="2" t="s">
        <v>2364</v>
      </c>
    </row>
    <row r="300" spans="1:13" x14ac:dyDescent="0.3">
      <c r="A300" s="2" t="s">
        <v>1424</v>
      </c>
      <c r="B300" s="5">
        <v>46273</v>
      </c>
      <c r="C300" s="2" t="s">
        <v>1425</v>
      </c>
      <c r="D300" s="2" t="s">
        <v>46</v>
      </c>
      <c r="E300" s="2" t="s">
        <v>83</v>
      </c>
      <c r="F300" s="2" t="s">
        <v>22</v>
      </c>
      <c r="G300" s="2" t="s">
        <v>23</v>
      </c>
      <c r="H300" s="2">
        <v>15</v>
      </c>
      <c r="I300" s="7">
        <v>34.18</v>
      </c>
      <c r="J300" s="2">
        <v>0</v>
      </c>
      <c r="K300" s="7">
        <v>512.70000000000005</v>
      </c>
      <c r="L300" s="2" t="s">
        <v>49</v>
      </c>
      <c r="M300" s="2" t="s">
        <v>2365</v>
      </c>
    </row>
    <row r="301" spans="1:13" x14ac:dyDescent="0.3">
      <c r="A301" s="2" t="s">
        <v>845</v>
      </c>
      <c r="B301" s="5">
        <v>45978</v>
      </c>
      <c r="C301" s="2" t="s">
        <v>760</v>
      </c>
      <c r="D301" s="2" t="s">
        <v>24</v>
      </c>
      <c r="E301" s="2" t="s">
        <v>59</v>
      </c>
      <c r="F301" s="2" t="s">
        <v>22</v>
      </c>
      <c r="G301" s="2" t="s">
        <v>23</v>
      </c>
      <c r="H301" s="2">
        <v>42</v>
      </c>
      <c r="I301" s="7">
        <v>15.8</v>
      </c>
      <c r="J301" s="2">
        <v>20</v>
      </c>
      <c r="K301" s="7">
        <v>530.88</v>
      </c>
      <c r="L301" s="2" t="s">
        <v>49</v>
      </c>
      <c r="M301" s="2" t="s">
        <v>2364</v>
      </c>
    </row>
    <row r="302" spans="1:13" x14ac:dyDescent="0.3">
      <c r="A302" s="2" t="s">
        <v>1968</v>
      </c>
      <c r="B302" s="5">
        <v>45597</v>
      </c>
      <c r="C302" s="2" t="s">
        <v>1969</v>
      </c>
      <c r="D302" s="2" t="s">
        <v>53</v>
      </c>
      <c r="E302" s="2" t="s">
        <v>54</v>
      </c>
      <c r="F302" s="2" t="s">
        <v>22</v>
      </c>
      <c r="G302" s="2" t="s">
        <v>23</v>
      </c>
      <c r="H302" s="2">
        <v>29</v>
      </c>
      <c r="I302" s="7">
        <v>20.38</v>
      </c>
      <c r="J302" s="2">
        <v>10</v>
      </c>
      <c r="K302" s="7">
        <v>531.91999999999996</v>
      </c>
      <c r="L302" s="2" t="s">
        <v>27</v>
      </c>
      <c r="M302" s="2" t="s">
        <v>2364</v>
      </c>
    </row>
    <row r="303" spans="1:13" x14ac:dyDescent="0.3">
      <c r="A303" s="2" t="s">
        <v>892</v>
      </c>
      <c r="B303" s="5">
        <v>46254</v>
      </c>
      <c r="C303" s="2" t="s">
        <v>893</v>
      </c>
      <c r="D303" s="2" t="s">
        <v>24</v>
      </c>
      <c r="E303" s="2" t="s">
        <v>59</v>
      </c>
      <c r="F303" s="2" t="s">
        <v>22</v>
      </c>
      <c r="G303" s="2" t="s">
        <v>23</v>
      </c>
      <c r="H303" s="2">
        <v>43</v>
      </c>
      <c r="I303" s="7">
        <v>16.190000000000001</v>
      </c>
      <c r="J303" s="2">
        <v>20</v>
      </c>
      <c r="K303" s="7">
        <v>556.94000000000005</v>
      </c>
      <c r="L303" s="2" t="s">
        <v>69</v>
      </c>
      <c r="M303" s="2" t="s">
        <v>2365</v>
      </c>
    </row>
    <row r="304" spans="1:13" x14ac:dyDescent="0.3">
      <c r="A304" s="2" t="s">
        <v>931</v>
      </c>
      <c r="B304" s="5">
        <v>45937</v>
      </c>
      <c r="C304" s="2" t="s">
        <v>932</v>
      </c>
      <c r="D304" s="2" t="s">
        <v>16</v>
      </c>
      <c r="E304" s="2" t="s">
        <v>160</v>
      </c>
      <c r="F304" s="2" t="s">
        <v>22</v>
      </c>
      <c r="G304" s="2" t="s">
        <v>23</v>
      </c>
      <c r="H304" s="2">
        <v>24</v>
      </c>
      <c r="I304" s="7">
        <v>29.35</v>
      </c>
      <c r="J304" s="2">
        <v>20</v>
      </c>
      <c r="K304" s="7">
        <v>563.52</v>
      </c>
      <c r="L304" s="1" t="s">
        <v>2347</v>
      </c>
      <c r="M304" s="2" t="s">
        <v>2364</v>
      </c>
    </row>
    <row r="305" spans="1:13" x14ac:dyDescent="0.3">
      <c r="A305" s="2" t="s">
        <v>1760</v>
      </c>
      <c r="B305" s="5">
        <v>45748</v>
      </c>
      <c r="C305" s="2" t="s">
        <v>705</v>
      </c>
      <c r="D305" s="2" t="s">
        <v>46</v>
      </c>
      <c r="E305" s="2" t="s">
        <v>124</v>
      </c>
      <c r="F305" s="2" t="s">
        <v>22</v>
      </c>
      <c r="G305" s="2" t="s">
        <v>23</v>
      </c>
      <c r="H305" s="2">
        <v>31</v>
      </c>
      <c r="I305" s="7">
        <v>20.48</v>
      </c>
      <c r="J305" s="2">
        <v>5</v>
      </c>
      <c r="K305" s="7">
        <v>603.14</v>
      </c>
      <c r="L305" s="2" t="s">
        <v>69</v>
      </c>
      <c r="M305" s="2" t="s">
        <v>2364</v>
      </c>
    </row>
    <row r="306" spans="1:13" x14ac:dyDescent="0.3">
      <c r="A306" s="2" t="s">
        <v>576</v>
      </c>
      <c r="B306" s="5">
        <v>46256</v>
      </c>
      <c r="C306" s="2" t="s">
        <v>577</v>
      </c>
      <c r="D306" s="2" t="s">
        <v>46</v>
      </c>
      <c r="E306" s="2" t="s">
        <v>83</v>
      </c>
      <c r="F306" s="2" t="s">
        <v>22</v>
      </c>
      <c r="G306" s="2" t="s">
        <v>23</v>
      </c>
      <c r="H306" s="2">
        <v>17</v>
      </c>
      <c r="I306" s="7">
        <v>35.56</v>
      </c>
      <c r="J306" s="2">
        <v>0</v>
      </c>
      <c r="K306" s="7">
        <v>604.52</v>
      </c>
      <c r="L306" s="2" t="s">
        <v>49</v>
      </c>
      <c r="M306" s="2" t="s">
        <v>2364</v>
      </c>
    </row>
    <row r="307" spans="1:13" x14ac:dyDescent="0.3">
      <c r="A307" s="2" t="s">
        <v>1475</v>
      </c>
      <c r="B307" s="5">
        <v>46132</v>
      </c>
      <c r="C307" s="2" t="s">
        <v>1476</v>
      </c>
      <c r="D307" s="2" t="s">
        <v>46</v>
      </c>
      <c r="E307" s="2" t="s">
        <v>83</v>
      </c>
      <c r="F307" s="2" t="s">
        <v>22</v>
      </c>
      <c r="G307" s="2" t="s">
        <v>23</v>
      </c>
      <c r="H307" s="2">
        <v>33</v>
      </c>
      <c r="I307" s="7">
        <v>20.47</v>
      </c>
      <c r="J307" s="2">
        <v>10</v>
      </c>
      <c r="K307" s="7">
        <v>607.96</v>
      </c>
      <c r="L307" s="2" t="s">
        <v>69</v>
      </c>
      <c r="M307" s="2" t="s">
        <v>2364</v>
      </c>
    </row>
    <row r="308" spans="1:13" x14ac:dyDescent="0.3">
      <c r="A308" s="2" t="s">
        <v>1769</v>
      </c>
      <c r="B308" s="5">
        <v>46135</v>
      </c>
      <c r="C308" s="2" t="s">
        <v>1770</v>
      </c>
      <c r="D308" s="2" t="s">
        <v>46</v>
      </c>
      <c r="E308" s="2" t="s">
        <v>47</v>
      </c>
      <c r="F308" s="2" t="s">
        <v>22</v>
      </c>
      <c r="G308" s="2" t="s">
        <v>23</v>
      </c>
      <c r="H308" s="2">
        <v>20</v>
      </c>
      <c r="I308" s="7">
        <v>37.33</v>
      </c>
      <c r="J308" s="2">
        <v>10</v>
      </c>
      <c r="K308" s="7">
        <v>671.94</v>
      </c>
      <c r="L308" s="2" t="s">
        <v>27</v>
      </c>
      <c r="M308" s="2" t="s">
        <v>2365</v>
      </c>
    </row>
    <row r="309" spans="1:13" x14ac:dyDescent="0.3">
      <c r="A309" s="2" t="s">
        <v>624</v>
      </c>
      <c r="B309" s="5">
        <v>45666</v>
      </c>
      <c r="C309" s="2" t="s">
        <v>625</v>
      </c>
      <c r="D309" s="2" t="s">
        <v>24</v>
      </c>
      <c r="E309" s="2" t="s">
        <v>104</v>
      </c>
      <c r="F309" s="2" t="s">
        <v>22</v>
      </c>
      <c r="G309" s="2" t="s">
        <v>23</v>
      </c>
      <c r="H309" s="2">
        <v>25</v>
      </c>
      <c r="I309" s="7">
        <v>27.22</v>
      </c>
      <c r="J309" s="2">
        <v>0</v>
      </c>
      <c r="K309" s="7">
        <v>680.5</v>
      </c>
      <c r="L309" s="2" t="s">
        <v>31</v>
      </c>
      <c r="M309" s="2" t="s">
        <v>2365</v>
      </c>
    </row>
    <row r="310" spans="1:13" x14ac:dyDescent="0.3">
      <c r="A310" s="2" t="s">
        <v>649</v>
      </c>
      <c r="B310" s="5">
        <v>45722</v>
      </c>
      <c r="C310" s="2" t="s">
        <v>650</v>
      </c>
      <c r="D310" s="2" t="s">
        <v>24</v>
      </c>
      <c r="E310" s="2" t="s">
        <v>104</v>
      </c>
      <c r="F310" s="2" t="s">
        <v>22</v>
      </c>
      <c r="G310" s="2" t="s">
        <v>23</v>
      </c>
      <c r="H310" s="2">
        <v>34</v>
      </c>
      <c r="I310" s="7">
        <v>20.04</v>
      </c>
      <c r="J310" s="2">
        <v>0</v>
      </c>
      <c r="K310" s="7">
        <v>681.36</v>
      </c>
      <c r="L310" s="2" t="s">
        <v>69</v>
      </c>
      <c r="M310" s="2" t="s">
        <v>2364</v>
      </c>
    </row>
    <row r="311" spans="1:13" x14ac:dyDescent="0.3">
      <c r="A311" s="2" t="s">
        <v>2234</v>
      </c>
      <c r="B311" s="5">
        <v>45904</v>
      </c>
      <c r="C311" s="2" t="s">
        <v>2235</v>
      </c>
      <c r="D311" s="2" t="s">
        <v>24</v>
      </c>
      <c r="E311" s="2" t="s">
        <v>104</v>
      </c>
      <c r="F311" s="2" t="s">
        <v>22</v>
      </c>
      <c r="G311" s="2" t="s">
        <v>23</v>
      </c>
      <c r="H311" s="2">
        <v>31</v>
      </c>
      <c r="I311" s="7">
        <v>22.48</v>
      </c>
      <c r="J311" s="2">
        <v>0</v>
      </c>
      <c r="K311" s="7">
        <v>696.88</v>
      </c>
      <c r="L311" s="2" t="s">
        <v>69</v>
      </c>
      <c r="M311" s="2" t="s">
        <v>2365</v>
      </c>
    </row>
    <row r="312" spans="1:13" x14ac:dyDescent="0.3">
      <c r="A312" s="2" t="s">
        <v>527</v>
      </c>
      <c r="B312" s="5">
        <v>45679</v>
      </c>
      <c r="C312" s="2" t="s">
        <v>528</v>
      </c>
      <c r="D312" s="2" t="s">
        <v>16</v>
      </c>
      <c r="E312" s="2" t="s">
        <v>111</v>
      </c>
      <c r="F312" s="2" t="s">
        <v>22</v>
      </c>
      <c r="G312" s="2" t="s">
        <v>23</v>
      </c>
      <c r="H312" s="2">
        <v>29</v>
      </c>
      <c r="I312" s="7">
        <v>31.02</v>
      </c>
      <c r="J312" s="2">
        <v>20</v>
      </c>
      <c r="K312" s="7">
        <v>719.66</v>
      </c>
      <c r="L312" s="1" t="s">
        <v>2347</v>
      </c>
      <c r="M312" s="2" t="s">
        <v>2364</v>
      </c>
    </row>
    <row r="313" spans="1:13" x14ac:dyDescent="0.3">
      <c r="A313" s="2" t="s">
        <v>184</v>
      </c>
      <c r="B313" s="5">
        <v>46246</v>
      </c>
      <c r="C313" s="2" t="s">
        <v>185</v>
      </c>
      <c r="D313" s="2" t="s">
        <v>16</v>
      </c>
      <c r="E313" s="2" t="s">
        <v>74</v>
      </c>
      <c r="F313" s="2" t="s">
        <v>22</v>
      </c>
      <c r="G313" s="2" t="s">
        <v>23</v>
      </c>
      <c r="H313" s="2">
        <v>35</v>
      </c>
      <c r="I313" s="7">
        <v>22.63</v>
      </c>
      <c r="J313" s="2">
        <v>5</v>
      </c>
      <c r="K313" s="7">
        <v>752.45</v>
      </c>
      <c r="L313" s="2" t="s">
        <v>31</v>
      </c>
      <c r="M313" s="2" t="s">
        <v>2364</v>
      </c>
    </row>
    <row r="314" spans="1:13" x14ac:dyDescent="0.3">
      <c r="A314" s="2" t="s">
        <v>158</v>
      </c>
      <c r="B314" s="5">
        <v>46186</v>
      </c>
      <c r="C314" s="2" t="s">
        <v>159</v>
      </c>
      <c r="D314" s="2" t="s">
        <v>16</v>
      </c>
      <c r="E314" s="2" t="s">
        <v>160</v>
      </c>
      <c r="F314" s="2" t="s">
        <v>22</v>
      </c>
      <c r="G314" s="2" t="s">
        <v>23</v>
      </c>
      <c r="H314" s="2">
        <v>27</v>
      </c>
      <c r="I314" s="7">
        <v>29.9</v>
      </c>
      <c r="J314" s="2">
        <v>5</v>
      </c>
      <c r="K314" s="7">
        <v>766.94</v>
      </c>
      <c r="L314" s="1" t="s">
        <v>2347</v>
      </c>
      <c r="M314" s="2" t="s">
        <v>2364</v>
      </c>
    </row>
    <row r="315" spans="1:13" x14ac:dyDescent="0.3">
      <c r="A315" s="2" t="s">
        <v>1394</v>
      </c>
      <c r="B315" s="5">
        <v>46268</v>
      </c>
      <c r="C315" s="2" t="s">
        <v>1395</v>
      </c>
      <c r="D315" s="2" t="s">
        <v>46</v>
      </c>
      <c r="E315" s="2" t="s">
        <v>124</v>
      </c>
      <c r="F315" s="2" t="s">
        <v>22</v>
      </c>
      <c r="G315" s="2" t="s">
        <v>23</v>
      </c>
      <c r="H315" s="2">
        <v>29</v>
      </c>
      <c r="I315" s="7">
        <v>31.22</v>
      </c>
      <c r="J315" s="2">
        <v>15</v>
      </c>
      <c r="K315" s="7">
        <v>769.57</v>
      </c>
      <c r="L315" s="1" t="s">
        <v>2347</v>
      </c>
      <c r="M315" s="2" t="s">
        <v>2364</v>
      </c>
    </row>
    <row r="316" spans="1:13" x14ac:dyDescent="0.3">
      <c r="A316" s="2" t="s">
        <v>1147</v>
      </c>
      <c r="B316" s="5">
        <v>46291</v>
      </c>
      <c r="C316" s="2" t="s">
        <v>1148</v>
      </c>
      <c r="D316" s="2" t="s">
        <v>16</v>
      </c>
      <c r="E316" s="2" t="s">
        <v>91</v>
      </c>
      <c r="F316" s="2" t="s">
        <v>22</v>
      </c>
      <c r="G316" s="2" t="s">
        <v>23</v>
      </c>
      <c r="H316" s="2">
        <v>32</v>
      </c>
      <c r="I316" s="7">
        <v>27.59</v>
      </c>
      <c r="J316" s="2">
        <v>10</v>
      </c>
      <c r="K316" s="7">
        <v>794.59</v>
      </c>
      <c r="L316" s="1" t="s">
        <v>2347</v>
      </c>
      <c r="M316" s="2" t="s">
        <v>2365</v>
      </c>
    </row>
    <row r="317" spans="1:13" x14ac:dyDescent="0.3">
      <c r="A317" s="2" t="s">
        <v>446</v>
      </c>
      <c r="B317" s="5">
        <v>45642</v>
      </c>
      <c r="C317" s="2" t="s">
        <v>447</v>
      </c>
      <c r="D317" s="2" t="s">
        <v>53</v>
      </c>
      <c r="E317" s="2" t="s">
        <v>134</v>
      </c>
      <c r="F317" s="2" t="s">
        <v>22</v>
      </c>
      <c r="G317" s="2" t="s">
        <v>23</v>
      </c>
      <c r="H317" s="2">
        <v>30</v>
      </c>
      <c r="I317" s="7">
        <v>27.49</v>
      </c>
      <c r="J317" s="2">
        <v>0</v>
      </c>
      <c r="K317" s="7">
        <v>824.7</v>
      </c>
      <c r="L317" s="1" t="s">
        <v>2347</v>
      </c>
      <c r="M317" s="2" t="s">
        <v>2364</v>
      </c>
    </row>
    <row r="318" spans="1:13" x14ac:dyDescent="0.3">
      <c r="A318" s="2" t="s">
        <v>1938</v>
      </c>
      <c r="B318" s="5">
        <v>45658</v>
      </c>
      <c r="C318" s="2" t="s">
        <v>1939</v>
      </c>
      <c r="D318" s="2" t="s">
        <v>46</v>
      </c>
      <c r="E318" s="2" t="s">
        <v>47</v>
      </c>
      <c r="F318" s="2" t="s">
        <v>22</v>
      </c>
      <c r="G318" s="2" t="s">
        <v>23</v>
      </c>
      <c r="H318" s="2">
        <v>29</v>
      </c>
      <c r="I318" s="7">
        <v>30.4</v>
      </c>
      <c r="J318" s="2">
        <v>5</v>
      </c>
      <c r="K318" s="7">
        <v>837.52</v>
      </c>
      <c r="L318" s="2" t="s">
        <v>31</v>
      </c>
      <c r="M318" s="2" t="s">
        <v>2364</v>
      </c>
    </row>
    <row r="319" spans="1:13" x14ac:dyDescent="0.3">
      <c r="A319" s="2" t="s">
        <v>272</v>
      </c>
      <c r="B319" s="5">
        <v>45912</v>
      </c>
      <c r="C319" s="2" t="s">
        <v>273</v>
      </c>
      <c r="D319" s="2" t="s">
        <v>53</v>
      </c>
      <c r="E319" s="2" t="s">
        <v>134</v>
      </c>
      <c r="F319" s="2" t="s">
        <v>22</v>
      </c>
      <c r="G319" s="2" t="s">
        <v>23</v>
      </c>
      <c r="H319" s="2">
        <v>41</v>
      </c>
      <c r="I319" s="7">
        <v>26.32</v>
      </c>
      <c r="J319" s="2">
        <v>20</v>
      </c>
      <c r="K319" s="7">
        <v>863.3</v>
      </c>
      <c r="L319" s="2" t="s">
        <v>69</v>
      </c>
      <c r="M319" s="2" t="s">
        <v>2365</v>
      </c>
    </row>
    <row r="320" spans="1:13" x14ac:dyDescent="0.3">
      <c r="A320" s="2" t="s">
        <v>28</v>
      </c>
      <c r="B320" s="5">
        <v>46285</v>
      </c>
      <c r="C320" s="2" t="s">
        <v>29</v>
      </c>
      <c r="D320" s="2" t="s">
        <v>24</v>
      </c>
      <c r="E320" s="2" t="s">
        <v>25</v>
      </c>
      <c r="F320" s="2" t="s">
        <v>22</v>
      </c>
      <c r="G320" s="2" t="s">
        <v>23</v>
      </c>
      <c r="H320" s="2">
        <v>26</v>
      </c>
      <c r="I320" s="7">
        <v>38.75</v>
      </c>
      <c r="J320" s="2">
        <v>10</v>
      </c>
      <c r="K320" s="7">
        <v>906.75</v>
      </c>
      <c r="L320" s="2" t="s">
        <v>31</v>
      </c>
      <c r="M320" s="2" t="s">
        <v>2364</v>
      </c>
    </row>
    <row r="321" spans="1:13" x14ac:dyDescent="0.3">
      <c r="A321" s="2" t="s">
        <v>1617</v>
      </c>
      <c r="B321" s="5">
        <v>45923</v>
      </c>
      <c r="C321" s="2" t="s">
        <v>1618</v>
      </c>
      <c r="D321" s="2" t="s">
        <v>24</v>
      </c>
      <c r="E321" s="2" t="s">
        <v>104</v>
      </c>
      <c r="F321" s="2" t="s">
        <v>22</v>
      </c>
      <c r="G321" s="2" t="s">
        <v>23</v>
      </c>
      <c r="H321" s="2">
        <v>32</v>
      </c>
      <c r="I321" s="7">
        <v>33.56</v>
      </c>
      <c r="J321" s="2">
        <v>15</v>
      </c>
      <c r="K321" s="7">
        <v>912.83</v>
      </c>
      <c r="L321" s="2" t="s">
        <v>27</v>
      </c>
      <c r="M321" s="2" t="s">
        <v>2364</v>
      </c>
    </row>
    <row r="322" spans="1:13" x14ac:dyDescent="0.3">
      <c r="A322" s="2" t="s">
        <v>2191</v>
      </c>
      <c r="B322" s="5">
        <v>46220</v>
      </c>
      <c r="C322" s="2" t="s">
        <v>2192</v>
      </c>
      <c r="D322" s="2" t="s">
        <v>53</v>
      </c>
      <c r="E322" s="2" t="s">
        <v>170</v>
      </c>
      <c r="F322" s="2" t="s">
        <v>22</v>
      </c>
      <c r="G322" s="2" t="s">
        <v>23</v>
      </c>
      <c r="H322" s="2">
        <v>45</v>
      </c>
      <c r="I322" s="7">
        <v>23.1</v>
      </c>
      <c r="J322" s="2">
        <v>10</v>
      </c>
      <c r="K322" s="7">
        <v>935.55</v>
      </c>
      <c r="L322" s="1" t="s">
        <v>2347</v>
      </c>
      <c r="M322" s="2" t="s">
        <v>2364</v>
      </c>
    </row>
    <row r="323" spans="1:13" x14ac:dyDescent="0.3">
      <c r="A323" s="2" t="s">
        <v>1161</v>
      </c>
      <c r="B323" s="5">
        <v>46161</v>
      </c>
      <c r="C323" s="2" t="s">
        <v>1162</v>
      </c>
      <c r="D323" s="2" t="s">
        <v>46</v>
      </c>
      <c r="E323" s="2" t="s">
        <v>124</v>
      </c>
      <c r="F323" s="2" t="s">
        <v>22</v>
      </c>
      <c r="G323" s="2" t="s">
        <v>23</v>
      </c>
      <c r="H323" s="2">
        <v>34</v>
      </c>
      <c r="I323" s="7">
        <v>32.479999999999997</v>
      </c>
      <c r="J323" s="2">
        <v>10</v>
      </c>
      <c r="K323" s="7">
        <v>993.89</v>
      </c>
      <c r="L323" s="1" t="s">
        <v>2347</v>
      </c>
      <c r="M323" s="2" t="s">
        <v>2365</v>
      </c>
    </row>
    <row r="324" spans="1:13" x14ac:dyDescent="0.3">
      <c r="A324" s="2" t="s">
        <v>1101</v>
      </c>
      <c r="B324" s="5">
        <v>46116</v>
      </c>
      <c r="C324" s="2" t="s">
        <v>1102</v>
      </c>
      <c r="D324" s="2" t="s">
        <v>53</v>
      </c>
      <c r="E324" s="2" t="s">
        <v>67</v>
      </c>
      <c r="F324" s="2" t="s">
        <v>22</v>
      </c>
      <c r="G324" s="2" t="s">
        <v>23</v>
      </c>
      <c r="H324" s="2">
        <v>44</v>
      </c>
      <c r="I324" s="7">
        <v>22.69</v>
      </c>
      <c r="J324" s="2">
        <v>0</v>
      </c>
      <c r="K324" s="7">
        <v>998.36</v>
      </c>
      <c r="L324" s="1" t="s">
        <v>2347</v>
      </c>
      <c r="M324" s="2" t="s">
        <v>2364</v>
      </c>
    </row>
    <row r="325" spans="1:13" x14ac:dyDescent="0.3">
      <c r="A325" s="2" t="s">
        <v>1546</v>
      </c>
      <c r="B325" s="5">
        <v>46159</v>
      </c>
      <c r="C325" s="2" t="s">
        <v>241</v>
      </c>
      <c r="D325" s="2" t="s">
        <v>53</v>
      </c>
      <c r="E325" s="2" t="s">
        <v>141</v>
      </c>
      <c r="F325" s="2" t="s">
        <v>22</v>
      </c>
      <c r="G325" s="2" t="s">
        <v>23</v>
      </c>
      <c r="H325" s="2">
        <v>42</v>
      </c>
      <c r="I325" s="7">
        <v>26.06</v>
      </c>
      <c r="J325" s="2">
        <v>0</v>
      </c>
      <c r="K325" s="7">
        <v>1094.52</v>
      </c>
      <c r="L325" s="2" t="s">
        <v>27</v>
      </c>
      <c r="M325" s="2" t="s">
        <v>2364</v>
      </c>
    </row>
    <row r="326" spans="1:13" x14ac:dyDescent="0.3">
      <c r="A326" s="2" t="s">
        <v>990</v>
      </c>
      <c r="B326" s="5">
        <v>45888</v>
      </c>
      <c r="C326" s="2" t="s">
        <v>991</v>
      </c>
      <c r="D326" s="2" t="s">
        <v>16</v>
      </c>
      <c r="E326" s="2" t="s">
        <v>91</v>
      </c>
      <c r="F326" s="2" t="s">
        <v>22</v>
      </c>
      <c r="G326" s="2" t="s">
        <v>23</v>
      </c>
      <c r="H326" s="2">
        <v>39</v>
      </c>
      <c r="I326" s="7">
        <v>29.49</v>
      </c>
      <c r="J326" s="2">
        <v>0</v>
      </c>
      <c r="K326" s="7">
        <v>1150.1099999999999</v>
      </c>
      <c r="L326" s="2" t="s">
        <v>31</v>
      </c>
      <c r="M326" s="2" t="s">
        <v>2365</v>
      </c>
    </row>
    <row r="327" spans="1:13" x14ac:dyDescent="0.3">
      <c r="A327" s="2" t="s">
        <v>667</v>
      </c>
      <c r="B327" s="5">
        <v>45958</v>
      </c>
      <c r="C327" s="2" t="s">
        <v>356</v>
      </c>
      <c r="D327" s="2" t="s">
        <v>24</v>
      </c>
      <c r="E327" s="2" t="s">
        <v>41</v>
      </c>
      <c r="F327" s="2" t="s">
        <v>22</v>
      </c>
      <c r="G327" s="2" t="s">
        <v>23</v>
      </c>
      <c r="H327" s="2">
        <v>35</v>
      </c>
      <c r="I327" s="7">
        <v>38.75</v>
      </c>
      <c r="J327" s="2">
        <v>15</v>
      </c>
      <c r="K327" s="7">
        <v>1152.81</v>
      </c>
      <c r="L327" s="2" t="s">
        <v>31</v>
      </c>
      <c r="M327" s="2" t="s">
        <v>2364</v>
      </c>
    </row>
    <row r="328" spans="1:13" x14ac:dyDescent="0.3">
      <c r="A328" s="2" t="s">
        <v>20</v>
      </c>
      <c r="B328" s="5">
        <v>45926</v>
      </c>
      <c r="C328" s="2" t="s">
        <v>21</v>
      </c>
      <c r="D328" s="2" t="s">
        <v>24</v>
      </c>
      <c r="E328" s="2" t="s">
        <v>25</v>
      </c>
      <c r="F328" s="2" t="s">
        <v>22</v>
      </c>
      <c r="G328" s="2" t="s">
        <v>23</v>
      </c>
      <c r="H328" s="2">
        <v>42</v>
      </c>
      <c r="I328" s="7">
        <v>31.59</v>
      </c>
      <c r="J328" s="2">
        <v>10</v>
      </c>
      <c r="K328" s="7">
        <v>1194.0999999999999</v>
      </c>
      <c r="L328" s="2" t="s">
        <v>27</v>
      </c>
      <c r="M328" s="2" t="s">
        <v>2364</v>
      </c>
    </row>
    <row r="329" spans="1:13" x14ac:dyDescent="0.3">
      <c r="A329" s="2" t="s">
        <v>702</v>
      </c>
      <c r="B329" s="5">
        <v>46259</v>
      </c>
      <c r="C329" s="2" t="s">
        <v>703</v>
      </c>
      <c r="D329" s="2" t="s">
        <v>53</v>
      </c>
      <c r="E329" s="2" t="s">
        <v>54</v>
      </c>
      <c r="F329" s="2" t="s">
        <v>22</v>
      </c>
      <c r="G329" s="2" t="s">
        <v>23</v>
      </c>
      <c r="H329" s="2">
        <v>45</v>
      </c>
      <c r="I329" s="7">
        <v>32.85</v>
      </c>
      <c r="J329" s="2">
        <v>15</v>
      </c>
      <c r="K329" s="7">
        <v>1256.51</v>
      </c>
      <c r="L329" s="2" t="s">
        <v>27</v>
      </c>
      <c r="M329" s="2" t="s">
        <v>2364</v>
      </c>
    </row>
    <row r="330" spans="1:13" x14ac:dyDescent="0.3">
      <c r="A330" s="2" t="s">
        <v>2149</v>
      </c>
      <c r="B330" s="5">
        <v>45630</v>
      </c>
      <c r="C330" s="2" t="s">
        <v>2150</v>
      </c>
      <c r="D330" s="2" t="s">
        <v>24</v>
      </c>
      <c r="E330" s="2" t="s">
        <v>59</v>
      </c>
      <c r="F330" s="2" t="s">
        <v>22</v>
      </c>
      <c r="G330" s="2" t="s">
        <v>23</v>
      </c>
      <c r="H330" s="2">
        <v>43</v>
      </c>
      <c r="I330" s="7">
        <v>32.75</v>
      </c>
      <c r="J330" s="2">
        <v>10</v>
      </c>
      <c r="K330" s="7">
        <v>1267.43</v>
      </c>
      <c r="L330" s="2" t="s">
        <v>69</v>
      </c>
      <c r="M330" s="2" t="s">
        <v>2364</v>
      </c>
    </row>
    <row r="331" spans="1:13" x14ac:dyDescent="0.3">
      <c r="A331" s="2" t="s">
        <v>2057</v>
      </c>
      <c r="B331" s="5">
        <v>46156</v>
      </c>
      <c r="C331" s="2" t="s">
        <v>2058</v>
      </c>
      <c r="D331" s="2" t="s">
        <v>24</v>
      </c>
      <c r="E331" s="2" t="s">
        <v>25</v>
      </c>
      <c r="F331" s="2" t="s">
        <v>22</v>
      </c>
      <c r="G331" s="2" t="s">
        <v>23</v>
      </c>
      <c r="H331" s="2">
        <v>39</v>
      </c>
      <c r="I331" s="7">
        <v>33.869999999999997</v>
      </c>
      <c r="J331" s="2">
        <v>0</v>
      </c>
      <c r="K331" s="7">
        <v>1320.93</v>
      </c>
      <c r="L331" s="2" t="s">
        <v>69</v>
      </c>
      <c r="M331" s="2" t="s">
        <v>2365</v>
      </c>
    </row>
    <row r="332" spans="1:13" x14ac:dyDescent="0.3">
      <c r="A332" s="2" t="s">
        <v>1179</v>
      </c>
      <c r="B332" s="5">
        <v>46015</v>
      </c>
      <c r="C332" s="2" t="s">
        <v>1180</v>
      </c>
      <c r="D332" s="2" t="s">
        <v>46</v>
      </c>
      <c r="E332" s="2" t="s">
        <v>47</v>
      </c>
      <c r="F332" s="2" t="s">
        <v>22</v>
      </c>
      <c r="G332" s="2" t="s">
        <v>23</v>
      </c>
      <c r="H332" s="2">
        <v>45</v>
      </c>
      <c r="I332" s="7">
        <v>31.55</v>
      </c>
      <c r="J332" s="2">
        <v>5</v>
      </c>
      <c r="K332" s="7">
        <v>1348.76</v>
      </c>
      <c r="L332" s="2" t="s">
        <v>27</v>
      </c>
      <c r="M332" s="2" t="s">
        <v>2365</v>
      </c>
    </row>
    <row r="333" spans="1:13" x14ac:dyDescent="0.3">
      <c r="A333" s="2" t="s">
        <v>1449</v>
      </c>
      <c r="B333" s="5">
        <v>45668</v>
      </c>
      <c r="C333" s="2" t="s">
        <v>1450</v>
      </c>
      <c r="D333" s="2" t="s">
        <v>24</v>
      </c>
      <c r="E333" s="2" t="s">
        <v>36</v>
      </c>
      <c r="F333" s="2" t="s">
        <v>22</v>
      </c>
      <c r="G333" s="2" t="s">
        <v>23</v>
      </c>
      <c r="H333" s="2">
        <v>41</v>
      </c>
      <c r="I333" s="7">
        <v>36.520000000000003</v>
      </c>
      <c r="J333" s="2">
        <v>5</v>
      </c>
      <c r="K333" s="7">
        <v>1422.45</v>
      </c>
      <c r="L333" s="2" t="s">
        <v>49</v>
      </c>
      <c r="M333" s="2" t="s">
        <v>2364</v>
      </c>
    </row>
    <row r="334" spans="1:13" x14ac:dyDescent="0.3">
      <c r="A334" s="2" t="s">
        <v>1883</v>
      </c>
      <c r="B334" s="5">
        <v>45631</v>
      </c>
      <c r="C334" s="2" t="s">
        <v>1884</v>
      </c>
      <c r="D334" s="2" t="s">
        <v>16</v>
      </c>
      <c r="E334" s="2" t="s">
        <v>74</v>
      </c>
      <c r="F334" s="2" t="s">
        <v>22</v>
      </c>
      <c r="G334" s="2" t="s">
        <v>23</v>
      </c>
      <c r="H334" s="2">
        <v>45</v>
      </c>
      <c r="I334" s="7">
        <v>31.95</v>
      </c>
      <c r="J334" s="2">
        <v>0</v>
      </c>
      <c r="K334" s="7">
        <v>1437.75</v>
      </c>
      <c r="L334" s="2" t="s">
        <v>27</v>
      </c>
      <c r="M334" s="2" t="s">
        <v>2364</v>
      </c>
    </row>
    <row r="335" spans="1:13" x14ac:dyDescent="0.3">
      <c r="A335" s="2" t="s">
        <v>2187</v>
      </c>
      <c r="B335" s="5">
        <v>46066</v>
      </c>
      <c r="C335" s="2" t="s">
        <v>2000</v>
      </c>
      <c r="D335" s="2" t="s">
        <v>16</v>
      </c>
      <c r="E335" s="2" t="s">
        <v>160</v>
      </c>
      <c r="F335" s="2" t="s">
        <v>95</v>
      </c>
      <c r="G335" s="2" t="s">
        <v>35</v>
      </c>
      <c r="H335" s="2">
        <v>1</v>
      </c>
      <c r="I335" s="7">
        <v>234.69</v>
      </c>
      <c r="J335" s="2">
        <v>5</v>
      </c>
      <c r="K335" s="7">
        <v>222.96</v>
      </c>
      <c r="L335" s="2" t="s">
        <v>27</v>
      </c>
      <c r="M335" s="2" t="s">
        <v>2364</v>
      </c>
    </row>
    <row r="336" spans="1:13" x14ac:dyDescent="0.3">
      <c r="A336" s="2" t="s">
        <v>234</v>
      </c>
      <c r="B336" s="5">
        <v>46096</v>
      </c>
      <c r="C336" s="2" t="s">
        <v>235</v>
      </c>
      <c r="D336" s="2" t="s">
        <v>16</v>
      </c>
      <c r="E336" s="2" t="s">
        <v>111</v>
      </c>
      <c r="F336" s="1" t="s">
        <v>95</v>
      </c>
      <c r="G336" s="2" t="s">
        <v>35</v>
      </c>
      <c r="H336" s="2">
        <v>1</v>
      </c>
      <c r="I336" s="7">
        <v>439</v>
      </c>
      <c r="J336" s="2">
        <v>10</v>
      </c>
      <c r="K336" s="7">
        <v>395.1</v>
      </c>
      <c r="L336" s="2" t="s">
        <v>31</v>
      </c>
      <c r="M336" s="2" t="s">
        <v>2364</v>
      </c>
    </row>
    <row r="337" spans="1:13" x14ac:dyDescent="0.3">
      <c r="A337" s="2" t="s">
        <v>1622</v>
      </c>
      <c r="B337" s="5">
        <v>46083</v>
      </c>
      <c r="C337" s="2" t="s">
        <v>1471</v>
      </c>
      <c r="D337" s="2" t="s">
        <v>53</v>
      </c>
      <c r="E337" s="2" t="s">
        <v>67</v>
      </c>
      <c r="F337" s="2" t="s">
        <v>95</v>
      </c>
      <c r="G337" s="2" t="s">
        <v>35</v>
      </c>
      <c r="H337" s="2">
        <v>2</v>
      </c>
      <c r="I337" s="7">
        <v>255.27</v>
      </c>
      <c r="J337" s="2">
        <v>5</v>
      </c>
      <c r="K337" s="7">
        <v>485.01</v>
      </c>
      <c r="L337" s="2" t="s">
        <v>69</v>
      </c>
      <c r="M337" s="2" t="s">
        <v>2365</v>
      </c>
    </row>
    <row r="338" spans="1:13" x14ac:dyDescent="0.3">
      <c r="A338" s="2" t="s">
        <v>1036</v>
      </c>
      <c r="B338" s="5">
        <v>46222</v>
      </c>
      <c r="C338" s="2" t="s">
        <v>127</v>
      </c>
      <c r="D338" s="2" t="s">
        <v>53</v>
      </c>
      <c r="E338" s="2" t="s">
        <v>67</v>
      </c>
      <c r="F338" s="1" t="s">
        <v>95</v>
      </c>
      <c r="G338" s="2" t="s">
        <v>35</v>
      </c>
      <c r="H338" s="2">
        <v>2</v>
      </c>
      <c r="I338" s="7">
        <v>345.67</v>
      </c>
      <c r="J338" s="2">
        <v>5</v>
      </c>
      <c r="K338" s="7">
        <v>656.77</v>
      </c>
      <c r="L338" s="2" t="s">
        <v>27</v>
      </c>
      <c r="M338" s="2" t="s">
        <v>2364</v>
      </c>
    </row>
    <row r="339" spans="1:13" x14ac:dyDescent="0.3">
      <c r="A339" s="2" t="s">
        <v>323</v>
      </c>
      <c r="B339" s="5">
        <v>46177</v>
      </c>
      <c r="C339" s="2" t="s">
        <v>324</v>
      </c>
      <c r="D339" s="2" t="s">
        <v>24</v>
      </c>
      <c r="E339" s="2" t="s">
        <v>41</v>
      </c>
      <c r="F339" s="1" t="s">
        <v>95</v>
      </c>
      <c r="G339" s="2" t="s">
        <v>35</v>
      </c>
      <c r="H339" s="2">
        <v>3</v>
      </c>
      <c r="I339" s="7">
        <v>224.57</v>
      </c>
      <c r="J339" s="2">
        <v>0</v>
      </c>
      <c r="K339" s="7">
        <v>673.71</v>
      </c>
      <c r="L339" s="1" t="s">
        <v>2347</v>
      </c>
      <c r="M339" s="2" t="s">
        <v>2365</v>
      </c>
    </row>
    <row r="340" spans="1:13" x14ac:dyDescent="0.3">
      <c r="A340" s="2" t="s">
        <v>571</v>
      </c>
      <c r="B340" s="5">
        <v>45958</v>
      </c>
      <c r="C340" s="2" t="s">
        <v>572</v>
      </c>
      <c r="D340" s="2" t="s">
        <v>46</v>
      </c>
      <c r="E340" s="2" t="s">
        <v>47</v>
      </c>
      <c r="F340" s="1" t="s">
        <v>95</v>
      </c>
      <c r="G340" s="2" t="s">
        <v>35</v>
      </c>
      <c r="H340" s="2">
        <v>1</v>
      </c>
      <c r="I340" s="7">
        <v>1136.25</v>
      </c>
      <c r="J340" s="2">
        <v>5</v>
      </c>
      <c r="K340" s="7">
        <v>1079.44</v>
      </c>
      <c r="L340" s="2" t="s">
        <v>27</v>
      </c>
      <c r="M340" s="2" t="s">
        <v>2364</v>
      </c>
    </row>
    <row r="341" spans="1:13" x14ac:dyDescent="0.3">
      <c r="A341" s="2" t="s">
        <v>1723</v>
      </c>
      <c r="B341" s="5">
        <v>46153</v>
      </c>
      <c r="C341" s="2" t="s">
        <v>1724</v>
      </c>
      <c r="D341" s="2" t="s">
        <v>24</v>
      </c>
      <c r="E341" s="2" t="s">
        <v>36</v>
      </c>
      <c r="F341" s="2" t="s">
        <v>95</v>
      </c>
      <c r="G341" s="2" t="s">
        <v>35</v>
      </c>
      <c r="H341" s="2">
        <v>8</v>
      </c>
      <c r="I341" s="7">
        <v>223.8</v>
      </c>
      <c r="J341" s="2">
        <v>0</v>
      </c>
      <c r="K341" s="7">
        <v>1790.4</v>
      </c>
      <c r="L341" s="2" t="s">
        <v>69</v>
      </c>
      <c r="M341" s="2" t="s">
        <v>2364</v>
      </c>
    </row>
    <row r="342" spans="1:13" x14ac:dyDescent="0.3">
      <c r="A342" s="2" t="s">
        <v>1212</v>
      </c>
      <c r="B342" s="5">
        <v>46082</v>
      </c>
      <c r="C342" s="2" t="s">
        <v>1213</v>
      </c>
      <c r="D342" s="2" t="s">
        <v>24</v>
      </c>
      <c r="E342" s="2" t="s">
        <v>104</v>
      </c>
      <c r="F342" s="1" t="s">
        <v>95</v>
      </c>
      <c r="G342" s="2" t="s">
        <v>35</v>
      </c>
      <c r="H342" s="2">
        <v>3</v>
      </c>
      <c r="I342" s="7">
        <v>874.13</v>
      </c>
      <c r="J342" s="2">
        <v>10</v>
      </c>
      <c r="K342" s="7">
        <v>2360.15</v>
      </c>
      <c r="L342" s="2" t="s">
        <v>31</v>
      </c>
      <c r="M342" s="2" t="s">
        <v>2364</v>
      </c>
    </row>
    <row r="343" spans="1:13" x14ac:dyDescent="0.3">
      <c r="A343" s="2" t="s">
        <v>513</v>
      </c>
      <c r="B343" s="5">
        <v>45611</v>
      </c>
      <c r="C343" s="2" t="s">
        <v>514</v>
      </c>
      <c r="D343" s="2" t="s">
        <v>46</v>
      </c>
      <c r="E343" s="2" t="s">
        <v>83</v>
      </c>
      <c r="F343" s="1" t="s">
        <v>95</v>
      </c>
      <c r="G343" s="2" t="s">
        <v>35</v>
      </c>
      <c r="H343" s="2">
        <v>15</v>
      </c>
      <c r="I343" s="7">
        <v>237.76</v>
      </c>
      <c r="J343" s="2">
        <v>5</v>
      </c>
      <c r="K343" s="7">
        <v>3388.08</v>
      </c>
      <c r="L343" s="1" t="s">
        <v>2347</v>
      </c>
      <c r="M343" s="2" t="s">
        <v>2365</v>
      </c>
    </row>
    <row r="344" spans="1:13" x14ac:dyDescent="0.3">
      <c r="A344" s="2" t="s">
        <v>399</v>
      </c>
      <c r="B344" s="5">
        <v>46085</v>
      </c>
      <c r="C344" s="2" t="s">
        <v>400</v>
      </c>
      <c r="D344" s="2" t="s">
        <v>46</v>
      </c>
      <c r="E344" s="2" t="s">
        <v>83</v>
      </c>
      <c r="F344" s="1" t="s">
        <v>95</v>
      </c>
      <c r="G344" s="2" t="s">
        <v>35</v>
      </c>
      <c r="H344" s="2">
        <v>4</v>
      </c>
      <c r="I344" s="7">
        <v>900.7</v>
      </c>
      <c r="J344" s="2">
        <v>5</v>
      </c>
      <c r="K344" s="7">
        <v>3422.66</v>
      </c>
      <c r="L344" s="2" t="s">
        <v>49</v>
      </c>
      <c r="M344" s="2" t="s">
        <v>2364</v>
      </c>
    </row>
    <row r="345" spans="1:13" x14ac:dyDescent="0.3">
      <c r="A345" s="2" t="s">
        <v>1306</v>
      </c>
      <c r="B345" s="5">
        <v>45723</v>
      </c>
      <c r="C345" s="2" t="s">
        <v>1307</v>
      </c>
      <c r="D345" s="2" t="s">
        <v>46</v>
      </c>
      <c r="E345" s="2" t="s">
        <v>78</v>
      </c>
      <c r="F345" s="2" t="s">
        <v>95</v>
      </c>
      <c r="G345" s="2" t="s">
        <v>35</v>
      </c>
      <c r="H345" s="2">
        <v>5</v>
      </c>
      <c r="I345" s="7">
        <v>834.19</v>
      </c>
      <c r="J345" s="2">
        <v>15</v>
      </c>
      <c r="K345" s="7">
        <v>3545.31</v>
      </c>
      <c r="L345" s="2" t="s">
        <v>27</v>
      </c>
      <c r="M345" s="2" t="s">
        <v>2365</v>
      </c>
    </row>
    <row r="346" spans="1:13" x14ac:dyDescent="0.3">
      <c r="A346" s="2" t="s">
        <v>769</v>
      </c>
      <c r="B346" s="5">
        <v>45842</v>
      </c>
      <c r="C346" s="2" t="s">
        <v>770</v>
      </c>
      <c r="D346" s="2" t="s">
        <v>16</v>
      </c>
      <c r="E346" s="2" t="s">
        <v>17</v>
      </c>
      <c r="F346" s="1" t="s">
        <v>95</v>
      </c>
      <c r="G346" s="2" t="s">
        <v>35</v>
      </c>
      <c r="H346" s="2">
        <v>19</v>
      </c>
      <c r="I346" s="7">
        <v>278.63</v>
      </c>
      <c r="J346" s="2">
        <v>15</v>
      </c>
      <c r="K346" s="7">
        <v>4499.87</v>
      </c>
      <c r="L346" s="2" t="s">
        <v>27</v>
      </c>
      <c r="M346" s="2" t="s">
        <v>2364</v>
      </c>
    </row>
    <row r="347" spans="1:13" x14ac:dyDescent="0.3">
      <c r="A347" s="2" t="s">
        <v>2155</v>
      </c>
      <c r="B347" s="5">
        <v>45800</v>
      </c>
      <c r="C347" s="2" t="s">
        <v>705</v>
      </c>
      <c r="D347" s="2" t="s">
        <v>16</v>
      </c>
      <c r="E347" s="2" t="s">
        <v>74</v>
      </c>
      <c r="F347" s="2" t="s">
        <v>95</v>
      </c>
      <c r="G347" s="2" t="s">
        <v>35</v>
      </c>
      <c r="H347" s="2">
        <v>22</v>
      </c>
      <c r="I347" s="7">
        <v>210.7</v>
      </c>
      <c r="J347" s="2">
        <v>0</v>
      </c>
      <c r="K347" s="7">
        <v>4635.3999999999996</v>
      </c>
      <c r="L347" s="2" t="s">
        <v>27</v>
      </c>
      <c r="M347" s="2" t="s">
        <v>2365</v>
      </c>
    </row>
    <row r="348" spans="1:13" x14ac:dyDescent="0.3">
      <c r="A348" s="2" t="s">
        <v>1187</v>
      </c>
      <c r="B348" s="5">
        <v>46136</v>
      </c>
      <c r="C348" s="2" t="s">
        <v>1188</v>
      </c>
      <c r="D348" s="2" t="s">
        <v>24</v>
      </c>
      <c r="E348" s="2" t="s">
        <v>25</v>
      </c>
      <c r="F348" s="1" t="s">
        <v>95</v>
      </c>
      <c r="G348" s="2" t="s">
        <v>35</v>
      </c>
      <c r="H348" s="2">
        <v>20</v>
      </c>
      <c r="I348" s="7">
        <v>274.66000000000003</v>
      </c>
      <c r="J348" s="2">
        <v>10</v>
      </c>
      <c r="K348" s="7">
        <v>4943.88</v>
      </c>
      <c r="L348" s="2" t="s">
        <v>69</v>
      </c>
      <c r="M348" s="2" t="s">
        <v>2364</v>
      </c>
    </row>
    <row r="349" spans="1:13" x14ac:dyDescent="0.3">
      <c r="A349" s="2" t="s">
        <v>1851</v>
      </c>
      <c r="B349" s="5">
        <v>45615</v>
      </c>
      <c r="C349" s="2" t="s">
        <v>1852</v>
      </c>
      <c r="D349" s="2" t="s">
        <v>16</v>
      </c>
      <c r="E349" s="2" t="s">
        <v>91</v>
      </c>
      <c r="F349" s="2" t="s">
        <v>95</v>
      </c>
      <c r="G349" s="2" t="s">
        <v>35</v>
      </c>
      <c r="H349" s="2">
        <v>14</v>
      </c>
      <c r="I349" s="7">
        <v>355.43</v>
      </c>
      <c r="J349" s="2">
        <v>0</v>
      </c>
      <c r="K349" s="7">
        <v>4976.0200000000004</v>
      </c>
      <c r="L349" s="1" t="s">
        <v>2347</v>
      </c>
      <c r="M349" s="2" t="s">
        <v>2365</v>
      </c>
    </row>
    <row r="350" spans="1:13" x14ac:dyDescent="0.3">
      <c r="A350" s="2" t="s">
        <v>1034</v>
      </c>
      <c r="B350" s="5">
        <v>45940</v>
      </c>
      <c r="C350" s="2" t="s">
        <v>1035</v>
      </c>
      <c r="D350" s="2" t="s">
        <v>24</v>
      </c>
      <c r="E350" s="2" t="s">
        <v>104</v>
      </c>
      <c r="F350" s="1" t="s">
        <v>95</v>
      </c>
      <c r="G350" s="2" t="s">
        <v>35</v>
      </c>
      <c r="H350" s="2">
        <v>12</v>
      </c>
      <c r="I350" s="7">
        <v>455.31</v>
      </c>
      <c r="J350" s="2">
        <v>5</v>
      </c>
      <c r="K350" s="7">
        <v>5190.53</v>
      </c>
      <c r="L350" s="2" t="s">
        <v>27</v>
      </c>
      <c r="M350" s="2" t="s">
        <v>2364</v>
      </c>
    </row>
    <row r="351" spans="1:13" x14ac:dyDescent="0.3">
      <c r="A351" s="2" t="s">
        <v>1858</v>
      </c>
      <c r="B351" s="5">
        <v>45716</v>
      </c>
      <c r="C351" s="2" t="s">
        <v>552</v>
      </c>
      <c r="D351" s="2" t="s">
        <v>46</v>
      </c>
      <c r="E351" s="2" t="s">
        <v>83</v>
      </c>
      <c r="F351" s="2" t="s">
        <v>95</v>
      </c>
      <c r="G351" s="2" t="s">
        <v>35</v>
      </c>
      <c r="H351" s="2">
        <v>22</v>
      </c>
      <c r="I351" s="7">
        <v>248.74</v>
      </c>
      <c r="J351" s="2">
        <v>5</v>
      </c>
      <c r="K351" s="7">
        <v>5198.67</v>
      </c>
      <c r="L351" s="2" t="s">
        <v>69</v>
      </c>
      <c r="M351" s="2" t="s">
        <v>2364</v>
      </c>
    </row>
    <row r="352" spans="1:13" x14ac:dyDescent="0.3">
      <c r="A352" s="2" t="s">
        <v>1599</v>
      </c>
      <c r="B352" s="5">
        <v>46015</v>
      </c>
      <c r="C352" s="2" t="s">
        <v>250</v>
      </c>
      <c r="D352" s="2" t="s">
        <v>53</v>
      </c>
      <c r="E352" s="2" t="s">
        <v>67</v>
      </c>
      <c r="F352" s="2" t="s">
        <v>95</v>
      </c>
      <c r="G352" s="2" t="s">
        <v>35</v>
      </c>
      <c r="H352" s="2">
        <v>6</v>
      </c>
      <c r="I352" s="7">
        <v>891.81</v>
      </c>
      <c r="J352" s="2">
        <v>0</v>
      </c>
      <c r="K352" s="7">
        <v>5350.86</v>
      </c>
      <c r="L352" s="2" t="s">
        <v>27</v>
      </c>
      <c r="M352" s="2" t="s">
        <v>2365</v>
      </c>
    </row>
    <row r="353" spans="1:13" x14ac:dyDescent="0.3">
      <c r="A353" s="2" t="s">
        <v>175</v>
      </c>
      <c r="B353" s="5">
        <v>46026</v>
      </c>
      <c r="C353" s="2" t="s">
        <v>176</v>
      </c>
      <c r="D353" s="2" t="s">
        <v>53</v>
      </c>
      <c r="E353" s="2" t="s">
        <v>54</v>
      </c>
      <c r="F353" s="1" t="s">
        <v>95</v>
      </c>
      <c r="G353" s="2" t="s">
        <v>35</v>
      </c>
      <c r="H353" s="2">
        <v>22</v>
      </c>
      <c r="I353" s="7">
        <v>276.88</v>
      </c>
      <c r="J353" s="2">
        <v>10</v>
      </c>
      <c r="K353" s="7">
        <v>5482.22</v>
      </c>
      <c r="L353" s="2" t="s">
        <v>31</v>
      </c>
      <c r="M353" s="2" t="s">
        <v>2364</v>
      </c>
    </row>
    <row r="354" spans="1:13" x14ac:dyDescent="0.3">
      <c r="A354" s="2" t="s">
        <v>936</v>
      </c>
      <c r="B354" s="5">
        <v>46197</v>
      </c>
      <c r="C354" s="2" t="s">
        <v>166</v>
      </c>
      <c r="D354" s="2" t="s">
        <v>16</v>
      </c>
      <c r="E354" s="2" t="s">
        <v>111</v>
      </c>
      <c r="F354" s="1" t="s">
        <v>95</v>
      </c>
      <c r="G354" s="2" t="s">
        <v>35</v>
      </c>
      <c r="H354" s="2">
        <v>22</v>
      </c>
      <c r="I354" s="7">
        <v>283.44</v>
      </c>
      <c r="J354" s="2">
        <v>10</v>
      </c>
      <c r="K354" s="7">
        <v>5612.11</v>
      </c>
      <c r="L354" s="2" t="s">
        <v>31</v>
      </c>
      <c r="M354" s="2" t="s">
        <v>2364</v>
      </c>
    </row>
    <row r="355" spans="1:13" x14ac:dyDescent="0.3">
      <c r="A355" s="2" t="s">
        <v>2134</v>
      </c>
      <c r="B355" s="5">
        <v>46153</v>
      </c>
      <c r="C355" s="2" t="s">
        <v>339</v>
      </c>
      <c r="D355" s="2" t="s">
        <v>53</v>
      </c>
      <c r="E355" s="2" t="s">
        <v>54</v>
      </c>
      <c r="F355" s="2" t="s">
        <v>95</v>
      </c>
      <c r="G355" s="2" t="s">
        <v>35</v>
      </c>
      <c r="H355" s="2">
        <v>6</v>
      </c>
      <c r="I355" s="7">
        <v>1186.19</v>
      </c>
      <c r="J355" s="2">
        <v>20</v>
      </c>
      <c r="K355" s="7">
        <v>5693.71</v>
      </c>
      <c r="L355" s="2" t="s">
        <v>49</v>
      </c>
      <c r="M355" s="2" t="s">
        <v>2365</v>
      </c>
    </row>
    <row r="356" spans="1:13" x14ac:dyDescent="0.3">
      <c r="A356" s="2" t="s">
        <v>2083</v>
      </c>
      <c r="B356" s="5">
        <v>46276</v>
      </c>
      <c r="C356" s="2" t="s">
        <v>2084</v>
      </c>
      <c r="D356" s="2" t="s">
        <v>53</v>
      </c>
      <c r="E356" s="2" t="s">
        <v>67</v>
      </c>
      <c r="F356" s="2" t="s">
        <v>95</v>
      </c>
      <c r="G356" s="2" t="s">
        <v>35</v>
      </c>
      <c r="H356" s="2">
        <v>29</v>
      </c>
      <c r="I356" s="7">
        <v>212.47</v>
      </c>
      <c r="J356" s="2">
        <v>5</v>
      </c>
      <c r="K356" s="7">
        <v>5853.55</v>
      </c>
      <c r="L356" s="1" t="s">
        <v>2347</v>
      </c>
      <c r="M356" s="2" t="s">
        <v>2364</v>
      </c>
    </row>
    <row r="357" spans="1:13" x14ac:dyDescent="0.3">
      <c r="A357" s="2" t="s">
        <v>2275</v>
      </c>
      <c r="B357" s="5">
        <v>45808</v>
      </c>
      <c r="C357" s="2" t="s">
        <v>1159</v>
      </c>
      <c r="D357" s="2" t="s">
        <v>46</v>
      </c>
      <c r="E357" s="2" t="s">
        <v>47</v>
      </c>
      <c r="F357" s="2" t="s">
        <v>95</v>
      </c>
      <c r="G357" s="2" t="s">
        <v>35</v>
      </c>
      <c r="H357" s="2">
        <v>22</v>
      </c>
      <c r="I357" s="7">
        <v>336.63</v>
      </c>
      <c r="J357" s="2">
        <v>20</v>
      </c>
      <c r="K357" s="7">
        <v>5924.69</v>
      </c>
      <c r="L357" s="2" t="s">
        <v>27</v>
      </c>
      <c r="M357" s="2" t="s">
        <v>2364</v>
      </c>
    </row>
    <row r="358" spans="1:13" x14ac:dyDescent="0.3">
      <c r="A358" s="2" t="s">
        <v>498</v>
      </c>
      <c r="B358" s="5">
        <v>45778</v>
      </c>
      <c r="C358" s="2" t="s">
        <v>499</v>
      </c>
      <c r="D358" s="2" t="s">
        <v>46</v>
      </c>
      <c r="E358" s="2" t="s">
        <v>83</v>
      </c>
      <c r="F358" s="1" t="s">
        <v>95</v>
      </c>
      <c r="G358" s="2" t="s">
        <v>35</v>
      </c>
      <c r="H358" s="2">
        <v>15</v>
      </c>
      <c r="I358" s="7">
        <v>426.15</v>
      </c>
      <c r="J358" s="2">
        <v>5</v>
      </c>
      <c r="K358" s="7">
        <v>6072.64</v>
      </c>
      <c r="L358" s="2" t="s">
        <v>31</v>
      </c>
      <c r="M358" s="2" t="s">
        <v>2364</v>
      </c>
    </row>
    <row r="359" spans="1:13" x14ac:dyDescent="0.3">
      <c r="A359" s="2" t="s">
        <v>1242</v>
      </c>
      <c r="B359" s="5">
        <v>45810</v>
      </c>
      <c r="C359" s="2" t="s">
        <v>1243</v>
      </c>
      <c r="D359" s="2" t="s">
        <v>46</v>
      </c>
      <c r="E359" s="2" t="s">
        <v>83</v>
      </c>
      <c r="F359" s="1" t="s">
        <v>95</v>
      </c>
      <c r="G359" s="2" t="s">
        <v>35</v>
      </c>
      <c r="H359" s="2">
        <v>23</v>
      </c>
      <c r="I359" s="7">
        <v>265.18</v>
      </c>
      <c r="J359" s="2">
        <v>0</v>
      </c>
      <c r="K359" s="7">
        <v>6099.14</v>
      </c>
      <c r="L359" s="2" t="s">
        <v>49</v>
      </c>
      <c r="M359" s="2" t="s">
        <v>2364</v>
      </c>
    </row>
    <row r="360" spans="1:13" x14ac:dyDescent="0.3">
      <c r="A360" s="2" t="s">
        <v>2056</v>
      </c>
      <c r="B360" s="5">
        <v>45857</v>
      </c>
      <c r="C360" s="2" t="s">
        <v>279</v>
      </c>
      <c r="D360" s="2" t="s">
        <v>53</v>
      </c>
      <c r="E360" s="2" t="s">
        <v>134</v>
      </c>
      <c r="F360" s="2" t="s">
        <v>95</v>
      </c>
      <c r="G360" s="2" t="s">
        <v>35</v>
      </c>
      <c r="H360" s="2">
        <v>31</v>
      </c>
      <c r="I360" s="7">
        <v>200.29</v>
      </c>
      <c r="J360" s="2">
        <v>0</v>
      </c>
      <c r="K360" s="7">
        <v>6208.99</v>
      </c>
      <c r="L360" s="2" t="s">
        <v>69</v>
      </c>
      <c r="M360" s="2" t="s">
        <v>2365</v>
      </c>
    </row>
    <row r="361" spans="1:13" x14ac:dyDescent="0.3">
      <c r="A361" s="2" t="s">
        <v>2211</v>
      </c>
      <c r="B361" s="5">
        <v>45816</v>
      </c>
      <c r="C361" s="2" t="s">
        <v>2143</v>
      </c>
      <c r="D361" s="2" t="s">
        <v>16</v>
      </c>
      <c r="E361" s="2" t="s">
        <v>111</v>
      </c>
      <c r="F361" s="2" t="s">
        <v>95</v>
      </c>
      <c r="G361" s="2" t="s">
        <v>35</v>
      </c>
      <c r="H361" s="2">
        <v>7</v>
      </c>
      <c r="I361" s="7">
        <v>1155.47</v>
      </c>
      <c r="J361" s="2">
        <v>20</v>
      </c>
      <c r="K361" s="7">
        <v>6470.63</v>
      </c>
      <c r="L361" s="1" t="s">
        <v>2347</v>
      </c>
      <c r="M361" s="2" t="s">
        <v>2364</v>
      </c>
    </row>
    <row r="362" spans="1:13" x14ac:dyDescent="0.3">
      <c r="A362" s="2" t="s">
        <v>796</v>
      </c>
      <c r="B362" s="5">
        <v>46214</v>
      </c>
      <c r="C362" s="2" t="s">
        <v>797</v>
      </c>
      <c r="D362" s="2" t="s">
        <v>16</v>
      </c>
      <c r="E362" s="2" t="s">
        <v>111</v>
      </c>
      <c r="F362" s="1" t="s">
        <v>95</v>
      </c>
      <c r="G362" s="2" t="s">
        <v>35</v>
      </c>
      <c r="H362" s="2">
        <v>16</v>
      </c>
      <c r="I362" s="7">
        <v>442.42</v>
      </c>
      <c r="J362" s="2">
        <v>5</v>
      </c>
      <c r="K362" s="7">
        <v>6724.78</v>
      </c>
      <c r="L362" s="2" t="s">
        <v>27</v>
      </c>
      <c r="M362" s="2" t="s">
        <v>2365</v>
      </c>
    </row>
    <row r="363" spans="1:13" x14ac:dyDescent="0.3">
      <c r="A363" s="2" t="s">
        <v>743</v>
      </c>
      <c r="B363" s="5">
        <v>45612</v>
      </c>
      <c r="C363" s="2" t="s">
        <v>744</v>
      </c>
      <c r="D363" s="2" t="s">
        <v>53</v>
      </c>
      <c r="E363" s="2" t="s">
        <v>67</v>
      </c>
      <c r="F363" s="1" t="s">
        <v>95</v>
      </c>
      <c r="G363" s="2" t="s">
        <v>35</v>
      </c>
      <c r="H363" s="2">
        <v>26</v>
      </c>
      <c r="I363" s="7">
        <v>289.13</v>
      </c>
      <c r="J363" s="2">
        <v>10</v>
      </c>
      <c r="K363" s="7">
        <v>6765.64</v>
      </c>
      <c r="L363" s="1" t="s">
        <v>2347</v>
      </c>
      <c r="M363" s="2" t="s">
        <v>2365</v>
      </c>
    </row>
    <row r="364" spans="1:13" x14ac:dyDescent="0.3">
      <c r="A364" s="2" t="s">
        <v>1071</v>
      </c>
      <c r="B364" s="5">
        <v>45665</v>
      </c>
      <c r="C364" s="2" t="s">
        <v>1072</v>
      </c>
      <c r="D364" s="2" t="s">
        <v>24</v>
      </c>
      <c r="E364" s="2" t="s">
        <v>36</v>
      </c>
      <c r="F364" s="1" t="s">
        <v>95</v>
      </c>
      <c r="G364" s="2" t="s">
        <v>35</v>
      </c>
      <c r="H364" s="2">
        <v>32</v>
      </c>
      <c r="I364" s="7">
        <v>235.61</v>
      </c>
      <c r="J364" s="2">
        <v>10</v>
      </c>
      <c r="K364" s="7">
        <v>6785.57</v>
      </c>
      <c r="L364" s="2" t="s">
        <v>31</v>
      </c>
      <c r="M364" s="2" t="s">
        <v>2365</v>
      </c>
    </row>
    <row r="365" spans="1:13" x14ac:dyDescent="0.3">
      <c r="A365" s="2" t="s">
        <v>1327</v>
      </c>
      <c r="B365" s="5">
        <v>45748</v>
      </c>
      <c r="C365" s="2" t="s">
        <v>1328</v>
      </c>
      <c r="D365" s="2" t="s">
        <v>16</v>
      </c>
      <c r="E365" s="2" t="s">
        <v>74</v>
      </c>
      <c r="F365" s="2" t="s">
        <v>95</v>
      </c>
      <c r="G365" s="2" t="s">
        <v>35</v>
      </c>
      <c r="H365" s="2">
        <v>21</v>
      </c>
      <c r="I365" s="7">
        <v>326.62</v>
      </c>
      <c r="J365" s="2">
        <v>0</v>
      </c>
      <c r="K365" s="7">
        <v>6859.02</v>
      </c>
      <c r="L365" s="2" t="s">
        <v>49</v>
      </c>
      <c r="M365" s="2" t="s">
        <v>2365</v>
      </c>
    </row>
    <row r="366" spans="1:13" x14ac:dyDescent="0.3">
      <c r="A366" s="2" t="s">
        <v>2217</v>
      </c>
      <c r="B366" s="5">
        <v>46165</v>
      </c>
      <c r="C366" s="2" t="s">
        <v>2218</v>
      </c>
      <c r="D366" s="2" t="s">
        <v>53</v>
      </c>
      <c r="E366" s="2" t="s">
        <v>134</v>
      </c>
      <c r="F366" s="2" t="s">
        <v>95</v>
      </c>
      <c r="G366" s="2" t="s">
        <v>35</v>
      </c>
      <c r="H366" s="2">
        <v>40</v>
      </c>
      <c r="I366" s="7">
        <v>207.72</v>
      </c>
      <c r="J366" s="2">
        <v>15</v>
      </c>
      <c r="K366" s="7">
        <v>7062.48</v>
      </c>
      <c r="L366" s="2" t="s">
        <v>31</v>
      </c>
      <c r="M366" s="2" t="s">
        <v>2364</v>
      </c>
    </row>
    <row r="367" spans="1:13" x14ac:dyDescent="0.3">
      <c r="A367" s="2" t="s">
        <v>1771</v>
      </c>
      <c r="B367" s="5">
        <v>45669</v>
      </c>
      <c r="C367" s="2" t="s">
        <v>1772</v>
      </c>
      <c r="D367" s="2" t="s">
        <v>53</v>
      </c>
      <c r="E367" s="2" t="s">
        <v>54</v>
      </c>
      <c r="F367" s="2" t="s">
        <v>95</v>
      </c>
      <c r="G367" s="2" t="s">
        <v>35</v>
      </c>
      <c r="H367" s="2">
        <v>34</v>
      </c>
      <c r="I367" s="7">
        <v>248.44</v>
      </c>
      <c r="J367" s="2">
        <v>10</v>
      </c>
      <c r="K367" s="7">
        <v>7602.26</v>
      </c>
      <c r="L367" s="2" t="s">
        <v>31</v>
      </c>
      <c r="M367" s="2" t="s">
        <v>2364</v>
      </c>
    </row>
    <row r="368" spans="1:13" x14ac:dyDescent="0.3">
      <c r="A368" s="2" t="s">
        <v>638</v>
      </c>
      <c r="B368" s="5">
        <v>46214</v>
      </c>
      <c r="C368" s="2" t="s">
        <v>44</v>
      </c>
      <c r="D368" s="2" t="s">
        <v>24</v>
      </c>
      <c r="E368" s="2" t="s">
        <v>59</v>
      </c>
      <c r="F368" s="1" t="s">
        <v>95</v>
      </c>
      <c r="G368" s="2" t="s">
        <v>35</v>
      </c>
      <c r="H368" s="2">
        <v>21</v>
      </c>
      <c r="I368" s="7">
        <v>412.1</v>
      </c>
      <c r="J368" s="2">
        <v>10</v>
      </c>
      <c r="K368" s="7">
        <v>7788.69</v>
      </c>
      <c r="L368" s="2" t="s">
        <v>49</v>
      </c>
      <c r="M368" s="2" t="s">
        <v>2365</v>
      </c>
    </row>
    <row r="369" spans="1:13" x14ac:dyDescent="0.3">
      <c r="A369" s="2" t="s">
        <v>846</v>
      </c>
      <c r="B369" s="5">
        <v>46027</v>
      </c>
      <c r="C369" s="2" t="s">
        <v>847</v>
      </c>
      <c r="D369" s="2" t="s">
        <v>24</v>
      </c>
      <c r="E369" s="2" t="s">
        <v>25</v>
      </c>
      <c r="F369" s="1" t="s">
        <v>95</v>
      </c>
      <c r="G369" s="2" t="s">
        <v>35</v>
      </c>
      <c r="H369" s="2">
        <v>8</v>
      </c>
      <c r="I369" s="7">
        <v>1174.54</v>
      </c>
      <c r="J369" s="2">
        <v>15</v>
      </c>
      <c r="K369" s="7">
        <v>7986.87</v>
      </c>
      <c r="L369" s="2" t="s">
        <v>31</v>
      </c>
      <c r="M369" s="2" t="s">
        <v>2364</v>
      </c>
    </row>
    <row r="370" spans="1:13" x14ac:dyDescent="0.3">
      <c r="A370" s="2" t="s">
        <v>1439</v>
      </c>
      <c r="B370" s="5">
        <v>46277</v>
      </c>
      <c r="C370" s="2" t="s">
        <v>1440</v>
      </c>
      <c r="D370" s="2" t="s">
        <v>53</v>
      </c>
      <c r="E370" s="2" t="s">
        <v>134</v>
      </c>
      <c r="F370" s="2" t="s">
        <v>95</v>
      </c>
      <c r="G370" s="2" t="s">
        <v>35</v>
      </c>
      <c r="H370" s="2">
        <v>41</v>
      </c>
      <c r="I370" s="7">
        <v>218.12</v>
      </c>
      <c r="J370" s="2">
        <v>10</v>
      </c>
      <c r="K370" s="7">
        <v>8048.63</v>
      </c>
      <c r="L370" s="2" t="s">
        <v>27</v>
      </c>
      <c r="M370" s="2" t="s">
        <v>2365</v>
      </c>
    </row>
    <row r="371" spans="1:13" x14ac:dyDescent="0.3">
      <c r="A371" s="2" t="s">
        <v>1909</v>
      </c>
      <c r="B371" s="5">
        <v>45746</v>
      </c>
      <c r="C371" s="2" t="s">
        <v>1910</v>
      </c>
      <c r="D371" s="2" t="s">
        <v>16</v>
      </c>
      <c r="E371" s="2" t="s">
        <v>160</v>
      </c>
      <c r="F371" s="2" t="s">
        <v>95</v>
      </c>
      <c r="G371" s="2" t="s">
        <v>35</v>
      </c>
      <c r="H371" s="2">
        <v>8</v>
      </c>
      <c r="I371" s="7">
        <v>1049.79</v>
      </c>
      <c r="J371" s="2">
        <v>0</v>
      </c>
      <c r="K371" s="7">
        <v>8398.32</v>
      </c>
      <c r="L371" s="2" t="s">
        <v>31</v>
      </c>
      <c r="M371" s="2" t="s">
        <v>2365</v>
      </c>
    </row>
    <row r="372" spans="1:13" x14ac:dyDescent="0.3">
      <c r="A372" s="2" t="s">
        <v>443</v>
      </c>
      <c r="B372" s="5">
        <v>46244</v>
      </c>
      <c r="C372" s="2" t="s">
        <v>444</v>
      </c>
      <c r="D372" s="2" t="s">
        <v>46</v>
      </c>
      <c r="E372" s="2" t="s">
        <v>83</v>
      </c>
      <c r="F372" s="1" t="s">
        <v>95</v>
      </c>
      <c r="G372" s="2" t="s">
        <v>35</v>
      </c>
      <c r="H372" s="2">
        <v>33</v>
      </c>
      <c r="I372" s="7">
        <v>287.77999999999997</v>
      </c>
      <c r="J372" s="2">
        <v>10</v>
      </c>
      <c r="K372" s="7">
        <v>8547.07</v>
      </c>
      <c r="L372" s="2" t="s">
        <v>31</v>
      </c>
      <c r="M372" s="2" t="s">
        <v>2364</v>
      </c>
    </row>
    <row r="373" spans="1:13" x14ac:dyDescent="0.3">
      <c r="A373" s="2" t="s">
        <v>387</v>
      </c>
      <c r="B373" s="5">
        <v>45957</v>
      </c>
      <c r="C373" s="2" t="s">
        <v>388</v>
      </c>
      <c r="D373" s="2" t="s">
        <v>46</v>
      </c>
      <c r="E373" s="2" t="s">
        <v>47</v>
      </c>
      <c r="F373" s="1" t="s">
        <v>95</v>
      </c>
      <c r="G373" s="2" t="s">
        <v>35</v>
      </c>
      <c r="H373" s="2">
        <v>44</v>
      </c>
      <c r="I373" s="7">
        <v>206.66</v>
      </c>
      <c r="J373" s="2">
        <v>5</v>
      </c>
      <c r="K373" s="7">
        <v>8638.39</v>
      </c>
      <c r="L373" s="2" t="s">
        <v>31</v>
      </c>
      <c r="M373" s="2" t="s">
        <v>2364</v>
      </c>
    </row>
    <row r="374" spans="1:13" x14ac:dyDescent="0.3">
      <c r="A374" s="2" t="s">
        <v>178</v>
      </c>
      <c r="B374" s="5">
        <v>46111</v>
      </c>
      <c r="C374" s="2" t="s">
        <v>179</v>
      </c>
      <c r="D374" s="2" t="s">
        <v>16</v>
      </c>
      <c r="E374" s="2" t="s">
        <v>17</v>
      </c>
      <c r="F374" s="1" t="s">
        <v>95</v>
      </c>
      <c r="G374" s="2" t="s">
        <v>35</v>
      </c>
      <c r="H374" s="2">
        <v>21</v>
      </c>
      <c r="I374" s="7">
        <v>412.43</v>
      </c>
      <c r="J374" s="2">
        <v>0</v>
      </c>
      <c r="K374" s="7">
        <v>8661.0300000000007</v>
      </c>
      <c r="L374" s="2" t="s">
        <v>27</v>
      </c>
      <c r="M374" s="2" t="s">
        <v>2365</v>
      </c>
    </row>
    <row r="375" spans="1:13" x14ac:dyDescent="0.3">
      <c r="A375" s="2" t="s">
        <v>2001</v>
      </c>
      <c r="B375" s="5">
        <v>45854</v>
      </c>
      <c r="C375" s="2" t="s">
        <v>1688</v>
      </c>
      <c r="D375" s="2" t="s">
        <v>16</v>
      </c>
      <c r="E375" s="2" t="s">
        <v>111</v>
      </c>
      <c r="F375" s="2" t="s">
        <v>95</v>
      </c>
      <c r="G375" s="2" t="s">
        <v>35</v>
      </c>
      <c r="H375" s="2">
        <v>20</v>
      </c>
      <c r="I375" s="7">
        <v>492.45</v>
      </c>
      <c r="J375" s="2">
        <v>10</v>
      </c>
      <c r="K375" s="7">
        <v>8864.1</v>
      </c>
      <c r="L375" s="1" t="s">
        <v>2347</v>
      </c>
      <c r="M375" s="2" t="s">
        <v>2364</v>
      </c>
    </row>
    <row r="376" spans="1:13" x14ac:dyDescent="0.3">
      <c r="A376" s="2" t="s">
        <v>1167</v>
      </c>
      <c r="B376" s="5">
        <v>45826</v>
      </c>
      <c r="C376" s="2" t="s">
        <v>1168</v>
      </c>
      <c r="D376" s="2" t="s">
        <v>46</v>
      </c>
      <c r="E376" s="2" t="s">
        <v>244</v>
      </c>
      <c r="F376" s="1" t="s">
        <v>95</v>
      </c>
      <c r="G376" s="2" t="s">
        <v>35</v>
      </c>
      <c r="H376" s="2">
        <v>27</v>
      </c>
      <c r="I376" s="7">
        <v>345.71</v>
      </c>
      <c r="J376" s="2">
        <v>5</v>
      </c>
      <c r="K376" s="7">
        <v>8867.4599999999991</v>
      </c>
      <c r="L376" s="2" t="s">
        <v>49</v>
      </c>
      <c r="M376" s="2" t="s">
        <v>2364</v>
      </c>
    </row>
    <row r="377" spans="1:13" x14ac:dyDescent="0.3">
      <c r="A377" s="2" t="s">
        <v>1887</v>
      </c>
      <c r="B377" s="5">
        <v>45584</v>
      </c>
      <c r="C377" s="2" t="s">
        <v>1888</v>
      </c>
      <c r="D377" s="2" t="s">
        <v>16</v>
      </c>
      <c r="E377" s="2" t="s">
        <v>74</v>
      </c>
      <c r="F377" s="2" t="s">
        <v>95</v>
      </c>
      <c r="G377" s="2" t="s">
        <v>35</v>
      </c>
      <c r="H377" s="2">
        <v>10</v>
      </c>
      <c r="I377" s="7">
        <v>1113.58</v>
      </c>
      <c r="J377" s="2">
        <v>20</v>
      </c>
      <c r="K377" s="7">
        <v>8908.64</v>
      </c>
      <c r="L377" s="2" t="s">
        <v>69</v>
      </c>
      <c r="M377" s="2" t="s">
        <v>2364</v>
      </c>
    </row>
    <row r="378" spans="1:13" x14ac:dyDescent="0.3">
      <c r="A378" s="2" t="s">
        <v>1294</v>
      </c>
      <c r="B378" s="5">
        <v>45616</v>
      </c>
      <c r="C378" s="2" t="s">
        <v>1295</v>
      </c>
      <c r="D378" s="2" t="s">
        <v>24</v>
      </c>
      <c r="E378" s="2" t="s">
        <v>41</v>
      </c>
      <c r="F378" s="2" t="s">
        <v>95</v>
      </c>
      <c r="G378" s="2" t="s">
        <v>35</v>
      </c>
      <c r="H378" s="2">
        <v>8</v>
      </c>
      <c r="I378" s="7">
        <v>1196.98</v>
      </c>
      <c r="J378" s="2">
        <v>5</v>
      </c>
      <c r="K378" s="7">
        <v>9097.0499999999993</v>
      </c>
      <c r="L378" s="2" t="s">
        <v>27</v>
      </c>
      <c r="M378" s="2" t="s">
        <v>2365</v>
      </c>
    </row>
    <row r="379" spans="1:13" x14ac:dyDescent="0.3">
      <c r="A379" s="2" t="s">
        <v>609</v>
      </c>
      <c r="B379" s="5">
        <v>45799</v>
      </c>
      <c r="C379" s="2" t="s">
        <v>610</v>
      </c>
      <c r="D379" s="2" t="s">
        <v>53</v>
      </c>
      <c r="E379" s="2" t="s">
        <v>141</v>
      </c>
      <c r="F379" s="1" t="s">
        <v>95</v>
      </c>
      <c r="G379" s="2" t="s">
        <v>35</v>
      </c>
      <c r="H379" s="2">
        <v>27</v>
      </c>
      <c r="I379" s="7">
        <v>339.73</v>
      </c>
      <c r="J379" s="2">
        <v>0</v>
      </c>
      <c r="K379" s="7">
        <v>9172.7099999999991</v>
      </c>
      <c r="L379" s="2" t="s">
        <v>27</v>
      </c>
      <c r="M379" s="2" t="s">
        <v>2364</v>
      </c>
    </row>
    <row r="380" spans="1:13" x14ac:dyDescent="0.3">
      <c r="A380" s="2" t="s">
        <v>979</v>
      </c>
      <c r="B380" s="5">
        <v>45883</v>
      </c>
      <c r="C380" s="2" t="s">
        <v>980</v>
      </c>
      <c r="D380" s="2" t="s">
        <v>46</v>
      </c>
      <c r="E380" s="2" t="s">
        <v>124</v>
      </c>
      <c r="F380" s="1" t="s">
        <v>95</v>
      </c>
      <c r="G380" s="2" t="s">
        <v>35</v>
      </c>
      <c r="H380" s="2">
        <v>10</v>
      </c>
      <c r="I380" s="7">
        <v>1124</v>
      </c>
      <c r="J380" s="2">
        <v>10</v>
      </c>
      <c r="K380" s="7">
        <v>10116</v>
      </c>
      <c r="L380" s="2" t="s">
        <v>69</v>
      </c>
      <c r="M380" s="2" t="s">
        <v>2364</v>
      </c>
    </row>
    <row r="381" spans="1:13" x14ac:dyDescent="0.3">
      <c r="A381" s="2" t="s">
        <v>1069</v>
      </c>
      <c r="B381" s="5">
        <v>45670</v>
      </c>
      <c r="C381" s="2" t="s">
        <v>1070</v>
      </c>
      <c r="D381" s="2" t="s">
        <v>16</v>
      </c>
      <c r="E381" s="2" t="s">
        <v>91</v>
      </c>
      <c r="F381" s="1" t="s">
        <v>95</v>
      </c>
      <c r="G381" s="2" t="s">
        <v>35</v>
      </c>
      <c r="H381" s="2">
        <v>14</v>
      </c>
      <c r="I381" s="7">
        <v>812.74</v>
      </c>
      <c r="J381" s="2">
        <v>10</v>
      </c>
      <c r="K381" s="7">
        <v>10240.52</v>
      </c>
      <c r="L381" s="1" t="s">
        <v>2347</v>
      </c>
      <c r="M381" s="2" t="s">
        <v>2364</v>
      </c>
    </row>
    <row r="382" spans="1:13" x14ac:dyDescent="0.3">
      <c r="A382" s="2" t="s">
        <v>2223</v>
      </c>
      <c r="B382" s="5">
        <v>45651</v>
      </c>
      <c r="C382" s="2" t="s">
        <v>1652</v>
      </c>
      <c r="D382" s="2" t="s">
        <v>16</v>
      </c>
      <c r="E382" s="2" t="s">
        <v>17</v>
      </c>
      <c r="F382" s="2" t="s">
        <v>95</v>
      </c>
      <c r="G382" s="2" t="s">
        <v>35</v>
      </c>
      <c r="H382" s="2">
        <v>10</v>
      </c>
      <c r="I382" s="7">
        <v>1025.49</v>
      </c>
      <c r="J382" s="2">
        <v>0</v>
      </c>
      <c r="K382" s="7">
        <v>10254.9</v>
      </c>
      <c r="L382" s="2" t="s">
        <v>31</v>
      </c>
      <c r="M382" s="2" t="s">
        <v>2364</v>
      </c>
    </row>
    <row r="383" spans="1:13" x14ac:dyDescent="0.3">
      <c r="A383" s="2" t="s">
        <v>874</v>
      </c>
      <c r="B383" s="5">
        <v>45804</v>
      </c>
      <c r="C383" s="2" t="s">
        <v>875</v>
      </c>
      <c r="D383" s="2" t="s">
        <v>46</v>
      </c>
      <c r="E383" s="2" t="s">
        <v>124</v>
      </c>
      <c r="F383" s="1" t="s">
        <v>95</v>
      </c>
      <c r="G383" s="2" t="s">
        <v>35</v>
      </c>
      <c r="H383" s="2">
        <v>32</v>
      </c>
      <c r="I383" s="7">
        <v>320.99</v>
      </c>
      <c r="J383" s="2">
        <v>0</v>
      </c>
      <c r="K383" s="7">
        <v>10271.68</v>
      </c>
      <c r="L383" s="2" t="s">
        <v>27</v>
      </c>
      <c r="M383" s="2" t="s">
        <v>2364</v>
      </c>
    </row>
    <row r="384" spans="1:13" x14ac:dyDescent="0.3">
      <c r="A384" s="2" t="s">
        <v>816</v>
      </c>
      <c r="B384" s="5">
        <v>45692</v>
      </c>
      <c r="C384" s="2" t="s">
        <v>680</v>
      </c>
      <c r="D384" s="2" t="s">
        <v>53</v>
      </c>
      <c r="E384" s="2" t="s">
        <v>134</v>
      </c>
      <c r="F384" s="1" t="s">
        <v>95</v>
      </c>
      <c r="G384" s="2" t="s">
        <v>35</v>
      </c>
      <c r="H384" s="2">
        <v>47</v>
      </c>
      <c r="I384" s="7">
        <v>238.87</v>
      </c>
      <c r="J384" s="2">
        <v>5</v>
      </c>
      <c r="K384" s="7">
        <v>10665.55</v>
      </c>
      <c r="L384" s="2" t="s">
        <v>31</v>
      </c>
      <c r="M384" s="2" t="s">
        <v>2364</v>
      </c>
    </row>
    <row r="385" spans="1:13" x14ac:dyDescent="0.3">
      <c r="A385" s="2" t="s">
        <v>462</v>
      </c>
      <c r="B385" s="5">
        <v>45879</v>
      </c>
      <c r="C385" s="2" t="s">
        <v>463</v>
      </c>
      <c r="D385" s="2" t="s">
        <v>24</v>
      </c>
      <c r="E385" s="2" t="s">
        <v>25</v>
      </c>
      <c r="F385" s="1" t="s">
        <v>95</v>
      </c>
      <c r="G385" s="2" t="s">
        <v>35</v>
      </c>
      <c r="H385" s="2">
        <v>32</v>
      </c>
      <c r="I385" s="7">
        <v>355.11</v>
      </c>
      <c r="J385" s="2">
        <v>5</v>
      </c>
      <c r="K385" s="7">
        <v>10795.34</v>
      </c>
      <c r="L385" s="2" t="s">
        <v>31</v>
      </c>
      <c r="M385" s="2" t="s">
        <v>2365</v>
      </c>
    </row>
    <row r="386" spans="1:13" x14ac:dyDescent="0.3">
      <c r="A386" s="2" t="s">
        <v>1837</v>
      </c>
      <c r="B386" s="5">
        <v>45602</v>
      </c>
      <c r="C386" s="2" t="s">
        <v>1838</v>
      </c>
      <c r="D386" s="2" t="s">
        <v>16</v>
      </c>
      <c r="E386" s="2" t="s">
        <v>74</v>
      </c>
      <c r="F386" s="2" t="s">
        <v>95</v>
      </c>
      <c r="G386" s="2" t="s">
        <v>35</v>
      </c>
      <c r="H386" s="2">
        <v>11</v>
      </c>
      <c r="I386" s="7">
        <v>1155.76</v>
      </c>
      <c r="J386" s="2">
        <v>15</v>
      </c>
      <c r="K386" s="7">
        <v>10806.36</v>
      </c>
      <c r="L386" s="2" t="s">
        <v>27</v>
      </c>
      <c r="M386" s="2" t="s">
        <v>2365</v>
      </c>
    </row>
    <row r="387" spans="1:13" x14ac:dyDescent="0.3">
      <c r="A387" s="2" t="s">
        <v>1171</v>
      </c>
      <c r="B387" s="5">
        <v>45819</v>
      </c>
      <c r="C387" s="2" t="s">
        <v>176</v>
      </c>
      <c r="D387" s="2" t="s">
        <v>16</v>
      </c>
      <c r="E387" s="2" t="s">
        <v>160</v>
      </c>
      <c r="F387" s="1" t="s">
        <v>95</v>
      </c>
      <c r="G387" s="2" t="s">
        <v>35</v>
      </c>
      <c r="H387" s="2">
        <v>14</v>
      </c>
      <c r="I387" s="7">
        <v>922.37</v>
      </c>
      <c r="J387" s="2">
        <v>15</v>
      </c>
      <c r="K387" s="7">
        <v>10976.2</v>
      </c>
      <c r="L387" s="2" t="s">
        <v>27</v>
      </c>
      <c r="M387" s="2" t="s">
        <v>2364</v>
      </c>
    </row>
    <row r="388" spans="1:13" x14ac:dyDescent="0.3">
      <c r="A388" s="2" t="s">
        <v>2265</v>
      </c>
      <c r="B388" s="5">
        <v>46159</v>
      </c>
      <c r="C388" s="2" t="s">
        <v>2266</v>
      </c>
      <c r="D388" s="2" t="s">
        <v>24</v>
      </c>
      <c r="E388" s="2" t="s">
        <v>36</v>
      </c>
      <c r="F388" s="2" t="s">
        <v>95</v>
      </c>
      <c r="G388" s="2" t="s">
        <v>35</v>
      </c>
      <c r="H388" s="2">
        <v>30</v>
      </c>
      <c r="I388" s="7">
        <v>376.34</v>
      </c>
      <c r="J388" s="2">
        <v>0</v>
      </c>
      <c r="K388" s="7">
        <v>11290.2</v>
      </c>
      <c r="L388" s="2" t="s">
        <v>27</v>
      </c>
      <c r="M388" s="2" t="s">
        <v>2365</v>
      </c>
    </row>
    <row r="389" spans="1:13" x14ac:dyDescent="0.3">
      <c r="A389" s="2" t="s">
        <v>1046</v>
      </c>
      <c r="B389" s="5">
        <v>45997</v>
      </c>
      <c r="C389" s="2" t="s">
        <v>1047</v>
      </c>
      <c r="D389" s="2" t="s">
        <v>16</v>
      </c>
      <c r="E389" s="2" t="s">
        <v>74</v>
      </c>
      <c r="F389" s="1" t="s">
        <v>95</v>
      </c>
      <c r="G389" s="2" t="s">
        <v>35</v>
      </c>
      <c r="H389" s="2">
        <v>11</v>
      </c>
      <c r="I389" s="7">
        <v>1097.1300000000001</v>
      </c>
      <c r="J389" s="2">
        <v>5</v>
      </c>
      <c r="K389" s="7">
        <v>11465.01</v>
      </c>
      <c r="L389" s="2" t="s">
        <v>27</v>
      </c>
      <c r="M389" s="2" t="s">
        <v>2364</v>
      </c>
    </row>
    <row r="390" spans="1:13" x14ac:dyDescent="0.3">
      <c r="A390" s="2" t="s">
        <v>1890</v>
      </c>
      <c r="B390" s="5">
        <v>46007</v>
      </c>
      <c r="C390" s="2" t="s">
        <v>1891</v>
      </c>
      <c r="D390" s="2" t="s">
        <v>16</v>
      </c>
      <c r="E390" s="2" t="s">
        <v>160</v>
      </c>
      <c r="F390" s="2" t="s">
        <v>95</v>
      </c>
      <c r="G390" s="2" t="s">
        <v>35</v>
      </c>
      <c r="H390" s="2">
        <v>49</v>
      </c>
      <c r="I390" s="7">
        <v>260.95</v>
      </c>
      <c r="J390" s="2">
        <v>10</v>
      </c>
      <c r="K390" s="7">
        <v>11507.9</v>
      </c>
      <c r="L390" s="2" t="s">
        <v>49</v>
      </c>
      <c r="M390" s="2" t="s">
        <v>2364</v>
      </c>
    </row>
    <row r="391" spans="1:13" x14ac:dyDescent="0.3">
      <c r="A391" s="2" t="s">
        <v>2065</v>
      </c>
      <c r="B391" s="5">
        <v>46226</v>
      </c>
      <c r="C391" s="2" t="s">
        <v>2066</v>
      </c>
      <c r="D391" s="2" t="s">
        <v>53</v>
      </c>
      <c r="E391" s="2" t="s">
        <v>170</v>
      </c>
      <c r="F391" s="2" t="s">
        <v>95</v>
      </c>
      <c r="G391" s="2" t="s">
        <v>35</v>
      </c>
      <c r="H391" s="2">
        <v>41</v>
      </c>
      <c r="I391" s="7">
        <v>297.73</v>
      </c>
      <c r="J391" s="2">
        <v>5</v>
      </c>
      <c r="K391" s="7">
        <v>11596.58</v>
      </c>
      <c r="L391" s="2" t="s">
        <v>49</v>
      </c>
      <c r="M391" s="2" t="s">
        <v>2364</v>
      </c>
    </row>
    <row r="392" spans="1:13" x14ac:dyDescent="0.3">
      <c r="A392" s="2" t="s">
        <v>1513</v>
      </c>
      <c r="B392" s="5">
        <v>46302</v>
      </c>
      <c r="C392" s="2" t="s">
        <v>1514</v>
      </c>
      <c r="D392" s="2" t="s">
        <v>53</v>
      </c>
      <c r="E392" s="2" t="s">
        <v>67</v>
      </c>
      <c r="F392" s="2" t="s">
        <v>95</v>
      </c>
      <c r="G392" s="2" t="s">
        <v>35</v>
      </c>
      <c r="H392" s="2">
        <v>40</v>
      </c>
      <c r="I392" s="7">
        <v>291.51</v>
      </c>
      <c r="J392" s="2">
        <v>0</v>
      </c>
      <c r="K392" s="7">
        <v>11660.4</v>
      </c>
      <c r="L392" s="2" t="s">
        <v>69</v>
      </c>
      <c r="M392" s="2" t="s">
        <v>2364</v>
      </c>
    </row>
    <row r="393" spans="1:13" x14ac:dyDescent="0.3">
      <c r="A393" s="2" t="s">
        <v>1713</v>
      </c>
      <c r="B393" s="5">
        <v>46245</v>
      </c>
      <c r="C393" s="2" t="s">
        <v>1714</v>
      </c>
      <c r="D393" s="2" t="s">
        <v>24</v>
      </c>
      <c r="E393" s="2" t="s">
        <v>36</v>
      </c>
      <c r="F393" s="2" t="s">
        <v>95</v>
      </c>
      <c r="G393" s="2" t="s">
        <v>35</v>
      </c>
      <c r="H393" s="2">
        <v>27</v>
      </c>
      <c r="I393" s="7">
        <v>438.77</v>
      </c>
      <c r="J393" s="2">
        <v>0</v>
      </c>
      <c r="K393" s="7">
        <v>11846.79</v>
      </c>
      <c r="L393" s="2" t="s">
        <v>27</v>
      </c>
      <c r="M393" s="2" t="s">
        <v>2364</v>
      </c>
    </row>
    <row r="394" spans="1:13" x14ac:dyDescent="0.3">
      <c r="A394" s="2" t="s">
        <v>372</v>
      </c>
      <c r="B394" s="5">
        <v>46270</v>
      </c>
      <c r="C394" s="2" t="s">
        <v>373</v>
      </c>
      <c r="D394" s="2" t="s">
        <v>46</v>
      </c>
      <c r="E394" s="2" t="s">
        <v>47</v>
      </c>
      <c r="F394" s="1" t="s">
        <v>95</v>
      </c>
      <c r="G394" s="2" t="s">
        <v>35</v>
      </c>
      <c r="H394" s="2">
        <v>25</v>
      </c>
      <c r="I394" s="7">
        <v>482.13</v>
      </c>
      <c r="J394" s="2">
        <v>0</v>
      </c>
      <c r="K394" s="7">
        <v>12053.25</v>
      </c>
      <c r="L394" s="2" t="s">
        <v>31</v>
      </c>
      <c r="M394" s="2" t="s">
        <v>2364</v>
      </c>
    </row>
    <row r="395" spans="1:13" x14ac:dyDescent="0.3">
      <c r="A395" s="2" t="s">
        <v>1701</v>
      </c>
      <c r="B395" s="5">
        <v>45663</v>
      </c>
      <c r="C395" s="2" t="s">
        <v>1144</v>
      </c>
      <c r="D395" s="2" t="s">
        <v>46</v>
      </c>
      <c r="E395" s="2" t="s">
        <v>83</v>
      </c>
      <c r="F395" s="2" t="s">
        <v>95</v>
      </c>
      <c r="G395" s="2" t="s">
        <v>35</v>
      </c>
      <c r="H395" s="2">
        <v>29</v>
      </c>
      <c r="I395" s="7">
        <v>441.88</v>
      </c>
      <c r="J395" s="2">
        <v>5</v>
      </c>
      <c r="K395" s="7">
        <v>12173.79</v>
      </c>
      <c r="L395" s="1" t="s">
        <v>2347</v>
      </c>
      <c r="M395" s="2" t="s">
        <v>2364</v>
      </c>
    </row>
    <row r="396" spans="1:13" x14ac:dyDescent="0.3">
      <c r="A396" s="2" t="s">
        <v>2256</v>
      </c>
      <c r="B396" s="5">
        <v>45667</v>
      </c>
      <c r="C396" s="2" t="s">
        <v>1347</v>
      </c>
      <c r="D396" s="2" t="s">
        <v>46</v>
      </c>
      <c r="E396" s="2" t="s">
        <v>83</v>
      </c>
      <c r="F396" s="2" t="s">
        <v>95</v>
      </c>
      <c r="G396" s="2" t="s">
        <v>35</v>
      </c>
      <c r="H396" s="2">
        <v>15</v>
      </c>
      <c r="I396" s="7">
        <v>857.48</v>
      </c>
      <c r="J396" s="2">
        <v>5</v>
      </c>
      <c r="K396" s="7">
        <v>12219.09</v>
      </c>
      <c r="L396" s="2" t="s">
        <v>69</v>
      </c>
      <c r="M396" s="2" t="s">
        <v>2364</v>
      </c>
    </row>
    <row r="397" spans="1:13" x14ac:dyDescent="0.3">
      <c r="A397" s="2" t="s">
        <v>1474</v>
      </c>
      <c r="B397" s="5">
        <v>45765</v>
      </c>
      <c r="C397" s="2" t="s">
        <v>391</v>
      </c>
      <c r="D397" s="2" t="s">
        <v>24</v>
      </c>
      <c r="E397" s="2" t="s">
        <v>41</v>
      </c>
      <c r="F397" s="2" t="s">
        <v>95</v>
      </c>
      <c r="G397" s="2" t="s">
        <v>35</v>
      </c>
      <c r="H397" s="2">
        <v>42</v>
      </c>
      <c r="I397" s="7">
        <v>352.01</v>
      </c>
      <c r="J397" s="2">
        <v>15</v>
      </c>
      <c r="K397" s="7">
        <v>12566.76</v>
      </c>
      <c r="L397" s="2" t="s">
        <v>49</v>
      </c>
      <c r="M397" s="2" t="s">
        <v>2364</v>
      </c>
    </row>
    <row r="398" spans="1:13" x14ac:dyDescent="0.3">
      <c r="A398" s="2" t="s">
        <v>1578</v>
      </c>
      <c r="B398" s="5">
        <v>45707</v>
      </c>
      <c r="C398" s="2" t="s">
        <v>223</v>
      </c>
      <c r="D398" s="2" t="s">
        <v>46</v>
      </c>
      <c r="E398" s="2" t="s">
        <v>47</v>
      </c>
      <c r="F398" s="2" t="s">
        <v>95</v>
      </c>
      <c r="G398" s="2" t="s">
        <v>35</v>
      </c>
      <c r="H398" s="2">
        <v>13</v>
      </c>
      <c r="I398" s="7">
        <v>969.26</v>
      </c>
      <c r="J398" s="2">
        <v>0</v>
      </c>
      <c r="K398" s="7">
        <v>12600.38</v>
      </c>
      <c r="L398" s="2" t="s">
        <v>31</v>
      </c>
      <c r="M398" s="2" t="s">
        <v>2365</v>
      </c>
    </row>
    <row r="399" spans="1:13" x14ac:dyDescent="0.3">
      <c r="A399" s="2" t="s">
        <v>471</v>
      </c>
      <c r="B399" s="5">
        <v>46261</v>
      </c>
      <c r="C399" s="2" t="s">
        <v>472</v>
      </c>
      <c r="D399" s="2" t="s">
        <v>16</v>
      </c>
      <c r="E399" s="2" t="s">
        <v>91</v>
      </c>
      <c r="F399" s="1" t="s">
        <v>95</v>
      </c>
      <c r="G399" s="2" t="s">
        <v>35</v>
      </c>
      <c r="H399" s="2">
        <v>12</v>
      </c>
      <c r="I399" s="7">
        <v>1069.95</v>
      </c>
      <c r="J399" s="2">
        <v>0</v>
      </c>
      <c r="K399" s="7">
        <v>12839.4</v>
      </c>
      <c r="L399" s="2" t="s">
        <v>49</v>
      </c>
      <c r="M399" s="2" t="s">
        <v>2364</v>
      </c>
    </row>
    <row r="400" spans="1:13" x14ac:dyDescent="0.3">
      <c r="A400" s="2" t="s">
        <v>600</v>
      </c>
      <c r="B400" s="5">
        <v>45784</v>
      </c>
      <c r="C400" s="2" t="s">
        <v>601</v>
      </c>
      <c r="D400" s="2" t="s">
        <v>53</v>
      </c>
      <c r="E400" s="2" t="s">
        <v>54</v>
      </c>
      <c r="F400" s="1" t="s">
        <v>95</v>
      </c>
      <c r="G400" s="2" t="s">
        <v>35</v>
      </c>
      <c r="H400" s="2">
        <v>44</v>
      </c>
      <c r="I400" s="7">
        <v>298.56</v>
      </c>
      <c r="J400" s="2">
        <v>0</v>
      </c>
      <c r="K400" s="7">
        <v>13136.64</v>
      </c>
      <c r="L400" s="2" t="s">
        <v>27</v>
      </c>
      <c r="M400" s="2" t="s">
        <v>2364</v>
      </c>
    </row>
    <row r="401" spans="1:13" x14ac:dyDescent="0.3">
      <c r="A401" s="2" t="s">
        <v>1374</v>
      </c>
      <c r="B401" s="5">
        <v>45868</v>
      </c>
      <c r="C401" s="2" t="s">
        <v>820</v>
      </c>
      <c r="D401" s="2" t="s">
        <v>16</v>
      </c>
      <c r="E401" s="2" t="s">
        <v>74</v>
      </c>
      <c r="F401" s="2" t="s">
        <v>95</v>
      </c>
      <c r="G401" s="2" t="s">
        <v>35</v>
      </c>
      <c r="H401" s="2">
        <v>16</v>
      </c>
      <c r="I401" s="7">
        <v>980.68</v>
      </c>
      <c r="J401" s="2">
        <v>15</v>
      </c>
      <c r="K401" s="7">
        <v>13337.25</v>
      </c>
      <c r="L401" s="1" t="s">
        <v>2347</v>
      </c>
      <c r="M401" s="2" t="s">
        <v>2364</v>
      </c>
    </row>
    <row r="402" spans="1:13" x14ac:dyDescent="0.3">
      <c r="A402" s="2" t="s">
        <v>1297</v>
      </c>
      <c r="B402" s="5">
        <v>45600</v>
      </c>
      <c r="C402" s="2" t="s">
        <v>1298</v>
      </c>
      <c r="D402" s="2" t="s">
        <v>16</v>
      </c>
      <c r="E402" s="2" t="s">
        <v>17</v>
      </c>
      <c r="F402" s="2" t="s">
        <v>95</v>
      </c>
      <c r="G402" s="2" t="s">
        <v>35</v>
      </c>
      <c r="H402" s="2">
        <v>43</v>
      </c>
      <c r="I402" s="7">
        <v>332.79</v>
      </c>
      <c r="J402" s="2">
        <v>5</v>
      </c>
      <c r="K402" s="7">
        <v>13594.47</v>
      </c>
      <c r="L402" s="1" t="s">
        <v>2347</v>
      </c>
      <c r="M402" s="2" t="s">
        <v>2364</v>
      </c>
    </row>
    <row r="403" spans="1:13" x14ac:dyDescent="0.3">
      <c r="A403" s="2" t="s">
        <v>1190</v>
      </c>
      <c r="B403" s="5">
        <v>45898</v>
      </c>
      <c r="C403" s="2" t="s">
        <v>1191</v>
      </c>
      <c r="D403" s="2" t="s">
        <v>53</v>
      </c>
      <c r="E403" s="2" t="s">
        <v>170</v>
      </c>
      <c r="F403" s="1" t="s">
        <v>95</v>
      </c>
      <c r="G403" s="2" t="s">
        <v>35</v>
      </c>
      <c r="H403" s="2">
        <v>12</v>
      </c>
      <c r="I403" s="7">
        <v>1144.19</v>
      </c>
      <c r="J403" s="2">
        <v>0</v>
      </c>
      <c r="K403" s="7">
        <v>13730.28</v>
      </c>
      <c r="L403" s="2" t="s">
        <v>31</v>
      </c>
      <c r="M403" s="2" t="s">
        <v>2364</v>
      </c>
    </row>
    <row r="404" spans="1:13" x14ac:dyDescent="0.3">
      <c r="A404" s="2" t="s">
        <v>2012</v>
      </c>
      <c r="B404" s="5">
        <v>45719</v>
      </c>
      <c r="C404" s="2" t="s">
        <v>2013</v>
      </c>
      <c r="D404" s="2" t="s">
        <v>46</v>
      </c>
      <c r="E404" s="2" t="s">
        <v>124</v>
      </c>
      <c r="F404" s="2" t="s">
        <v>95</v>
      </c>
      <c r="G404" s="2" t="s">
        <v>35</v>
      </c>
      <c r="H404" s="2">
        <v>46</v>
      </c>
      <c r="I404" s="7">
        <v>303.42</v>
      </c>
      <c r="J404" s="2">
        <v>0</v>
      </c>
      <c r="K404" s="7">
        <v>13957.32</v>
      </c>
      <c r="L404" s="2" t="s">
        <v>49</v>
      </c>
      <c r="M404" s="2" t="s">
        <v>2364</v>
      </c>
    </row>
    <row r="405" spans="1:13" x14ac:dyDescent="0.3">
      <c r="A405" s="2" t="s">
        <v>1586</v>
      </c>
      <c r="B405" s="5">
        <v>45906</v>
      </c>
      <c r="C405" s="2" t="s">
        <v>1587</v>
      </c>
      <c r="D405" s="2" t="s">
        <v>53</v>
      </c>
      <c r="E405" s="2" t="s">
        <v>54</v>
      </c>
      <c r="F405" s="2" t="s">
        <v>95</v>
      </c>
      <c r="G405" s="2" t="s">
        <v>35</v>
      </c>
      <c r="H405" s="2">
        <v>13</v>
      </c>
      <c r="I405" s="7">
        <v>1134.18</v>
      </c>
      <c r="J405" s="2">
        <v>5</v>
      </c>
      <c r="K405" s="7">
        <v>14007.12</v>
      </c>
      <c r="L405" s="2" t="s">
        <v>69</v>
      </c>
      <c r="M405" s="2" t="s">
        <v>2365</v>
      </c>
    </row>
    <row r="406" spans="1:13" x14ac:dyDescent="0.3">
      <c r="A406" s="2" t="s">
        <v>2100</v>
      </c>
      <c r="B406" s="5">
        <v>45796</v>
      </c>
      <c r="C406" s="2" t="s">
        <v>2009</v>
      </c>
      <c r="D406" s="2" t="s">
        <v>16</v>
      </c>
      <c r="E406" s="2" t="s">
        <v>91</v>
      </c>
      <c r="F406" s="2" t="s">
        <v>95</v>
      </c>
      <c r="G406" s="2" t="s">
        <v>35</v>
      </c>
      <c r="H406" s="2">
        <v>39</v>
      </c>
      <c r="I406" s="7">
        <v>368.17</v>
      </c>
      <c r="J406" s="2">
        <v>0</v>
      </c>
      <c r="K406" s="7">
        <v>14358.63</v>
      </c>
      <c r="L406" s="2" t="s">
        <v>31</v>
      </c>
      <c r="M406" s="2" t="s">
        <v>2365</v>
      </c>
    </row>
    <row r="407" spans="1:13" x14ac:dyDescent="0.3">
      <c r="A407" s="2" t="s">
        <v>1451</v>
      </c>
      <c r="B407" s="5">
        <v>45597</v>
      </c>
      <c r="C407" s="2" t="s">
        <v>1452</v>
      </c>
      <c r="D407" s="2" t="s">
        <v>24</v>
      </c>
      <c r="E407" s="2" t="s">
        <v>41</v>
      </c>
      <c r="F407" s="2" t="s">
        <v>95</v>
      </c>
      <c r="G407" s="2" t="s">
        <v>35</v>
      </c>
      <c r="H407" s="2">
        <v>38</v>
      </c>
      <c r="I407" s="7">
        <v>425.59</v>
      </c>
      <c r="J407" s="2">
        <v>10</v>
      </c>
      <c r="K407" s="7">
        <v>14555.18</v>
      </c>
      <c r="L407" s="2" t="s">
        <v>69</v>
      </c>
      <c r="M407" s="2" t="s">
        <v>2364</v>
      </c>
    </row>
    <row r="408" spans="1:13" x14ac:dyDescent="0.3">
      <c r="A408" s="2" t="s">
        <v>1193</v>
      </c>
      <c r="B408" s="5">
        <v>46078</v>
      </c>
      <c r="C408" s="2" t="s">
        <v>1003</v>
      </c>
      <c r="D408" s="2" t="s">
        <v>24</v>
      </c>
      <c r="E408" s="2" t="s">
        <v>41</v>
      </c>
      <c r="F408" s="1" t="s">
        <v>95</v>
      </c>
      <c r="G408" s="2" t="s">
        <v>35</v>
      </c>
      <c r="H408" s="2">
        <v>17</v>
      </c>
      <c r="I408" s="7">
        <v>867.67</v>
      </c>
      <c r="J408" s="2">
        <v>0</v>
      </c>
      <c r="K408" s="7">
        <v>14750.39</v>
      </c>
      <c r="L408" s="2" t="s">
        <v>31</v>
      </c>
      <c r="M408" s="2" t="s">
        <v>2365</v>
      </c>
    </row>
    <row r="409" spans="1:13" x14ac:dyDescent="0.3">
      <c r="A409" s="2" t="s">
        <v>1337</v>
      </c>
      <c r="B409" s="5">
        <v>46216</v>
      </c>
      <c r="C409" s="2" t="s">
        <v>1338</v>
      </c>
      <c r="D409" s="2" t="s">
        <v>24</v>
      </c>
      <c r="E409" s="2" t="s">
        <v>104</v>
      </c>
      <c r="F409" s="2" t="s">
        <v>95</v>
      </c>
      <c r="G409" s="2" t="s">
        <v>35</v>
      </c>
      <c r="H409" s="2">
        <v>14</v>
      </c>
      <c r="I409" s="7">
        <v>1059.8599999999999</v>
      </c>
      <c r="J409" s="2">
        <v>0</v>
      </c>
      <c r="K409" s="7">
        <v>14838.04</v>
      </c>
      <c r="L409" s="2" t="s">
        <v>27</v>
      </c>
      <c r="M409" s="2" t="s">
        <v>2364</v>
      </c>
    </row>
    <row r="410" spans="1:13" x14ac:dyDescent="0.3">
      <c r="A410" s="2" t="s">
        <v>1970</v>
      </c>
      <c r="B410" s="5">
        <v>46088</v>
      </c>
      <c r="C410" s="2" t="s">
        <v>1971</v>
      </c>
      <c r="D410" s="2" t="s">
        <v>46</v>
      </c>
      <c r="E410" s="2" t="s">
        <v>124</v>
      </c>
      <c r="F410" s="2" t="s">
        <v>95</v>
      </c>
      <c r="G410" s="2" t="s">
        <v>35</v>
      </c>
      <c r="H410" s="2">
        <v>32</v>
      </c>
      <c r="I410" s="7">
        <v>493.64</v>
      </c>
      <c r="J410" s="2">
        <v>5</v>
      </c>
      <c r="K410" s="7">
        <v>15006.66</v>
      </c>
      <c r="L410" s="2" t="s">
        <v>49</v>
      </c>
      <c r="M410" s="2" t="s">
        <v>2364</v>
      </c>
    </row>
    <row r="411" spans="1:13" x14ac:dyDescent="0.3">
      <c r="A411" s="2" t="s">
        <v>956</v>
      </c>
      <c r="B411" s="5">
        <v>46043</v>
      </c>
      <c r="C411" s="2" t="s">
        <v>957</v>
      </c>
      <c r="D411" s="2" t="s">
        <v>16</v>
      </c>
      <c r="E411" s="2" t="s">
        <v>17</v>
      </c>
      <c r="F411" s="1" t="s">
        <v>95</v>
      </c>
      <c r="G411" s="2" t="s">
        <v>35</v>
      </c>
      <c r="H411" s="2">
        <v>17</v>
      </c>
      <c r="I411" s="7">
        <v>939.17</v>
      </c>
      <c r="J411" s="2">
        <v>5</v>
      </c>
      <c r="K411" s="7">
        <v>15167.6</v>
      </c>
      <c r="L411" s="2" t="s">
        <v>31</v>
      </c>
      <c r="M411" s="2" t="s">
        <v>2364</v>
      </c>
    </row>
    <row r="412" spans="1:13" x14ac:dyDescent="0.3">
      <c r="A412" s="2" t="s">
        <v>1152</v>
      </c>
      <c r="B412" s="5">
        <v>45756</v>
      </c>
      <c r="C412" s="2" t="s">
        <v>1153</v>
      </c>
      <c r="D412" s="2" t="s">
        <v>24</v>
      </c>
      <c r="E412" s="2" t="s">
        <v>59</v>
      </c>
      <c r="F412" s="1" t="s">
        <v>95</v>
      </c>
      <c r="G412" s="2" t="s">
        <v>35</v>
      </c>
      <c r="H412" s="2">
        <v>42</v>
      </c>
      <c r="I412" s="7">
        <v>386.63</v>
      </c>
      <c r="J412" s="2">
        <v>5</v>
      </c>
      <c r="K412" s="7">
        <v>15426.54</v>
      </c>
      <c r="L412" s="2" t="s">
        <v>69</v>
      </c>
      <c r="M412" s="2" t="s">
        <v>2365</v>
      </c>
    </row>
    <row r="413" spans="1:13" x14ac:dyDescent="0.3">
      <c r="A413" s="2" t="s">
        <v>352</v>
      </c>
      <c r="B413" s="5">
        <v>45810</v>
      </c>
      <c r="C413" s="2" t="s">
        <v>353</v>
      </c>
      <c r="D413" s="2" t="s">
        <v>53</v>
      </c>
      <c r="E413" s="2" t="s">
        <v>54</v>
      </c>
      <c r="F413" s="1" t="s">
        <v>95</v>
      </c>
      <c r="G413" s="2" t="s">
        <v>35</v>
      </c>
      <c r="H413" s="2">
        <v>18</v>
      </c>
      <c r="I413" s="7">
        <v>863.31</v>
      </c>
      <c r="J413" s="2">
        <v>0</v>
      </c>
      <c r="K413" s="7">
        <v>15539.58</v>
      </c>
      <c r="L413" s="2" t="s">
        <v>69</v>
      </c>
      <c r="M413" s="2" t="s">
        <v>2364</v>
      </c>
    </row>
    <row r="414" spans="1:13" x14ac:dyDescent="0.3">
      <c r="A414" s="2" t="s">
        <v>1276</v>
      </c>
      <c r="B414" s="5">
        <v>45679</v>
      </c>
      <c r="C414" s="2" t="s">
        <v>1277</v>
      </c>
      <c r="D414" s="2" t="s">
        <v>24</v>
      </c>
      <c r="E414" s="2" t="s">
        <v>59</v>
      </c>
      <c r="F414" s="2" t="s">
        <v>95</v>
      </c>
      <c r="G414" s="2" t="s">
        <v>35</v>
      </c>
      <c r="H414" s="2">
        <v>19</v>
      </c>
      <c r="I414" s="7">
        <v>862.05</v>
      </c>
      <c r="J414" s="2">
        <v>5</v>
      </c>
      <c r="K414" s="7">
        <v>15560</v>
      </c>
      <c r="L414" s="2" t="s">
        <v>27</v>
      </c>
      <c r="M414" s="2" t="s">
        <v>2364</v>
      </c>
    </row>
    <row r="415" spans="1:13" x14ac:dyDescent="0.3">
      <c r="A415" s="2" t="s">
        <v>772</v>
      </c>
      <c r="B415" s="5">
        <v>45612</v>
      </c>
      <c r="C415" s="2" t="s">
        <v>773</v>
      </c>
      <c r="D415" s="2" t="s">
        <v>16</v>
      </c>
      <c r="E415" s="2" t="s">
        <v>160</v>
      </c>
      <c r="F415" s="1" t="s">
        <v>95</v>
      </c>
      <c r="G415" s="2" t="s">
        <v>35</v>
      </c>
      <c r="H415" s="2">
        <v>38</v>
      </c>
      <c r="I415" s="7">
        <v>423.76</v>
      </c>
      <c r="J415" s="2">
        <v>0</v>
      </c>
      <c r="K415" s="7">
        <v>16102.88</v>
      </c>
      <c r="L415" s="1" t="s">
        <v>2347</v>
      </c>
      <c r="M415" s="2" t="s">
        <v>2364</v>
      </c>
    </row>
    <row r="416" spans="1:13" x14ac:dyDescent="0.3">
      <c r="A416" s="2" t="s">
        <v>477</v>
      </c>
      <c r="B416" s="5">
        <v>46040</v>
      </c>
      <c r="C416" s="2" t="s">
        <v>478</v>
      </c>
      <c r="D416" s="2" t="s">
        <v>16</v>
      </c>
      <c r="E416" s="2" t="s">
        <v>111</v>
      </c>
      <c r="F416" s="1" t="s">
        <v>95</v>
      </c>
      <c r="G416" s="2" t="s">
        <v>35</v>
      </c>
      <c r="H416" s="2">
        <v>16</v>
      </c>
      <c r="I416" s="7">
        <v>1009.59</v>
      </c>
      <c r="J416" s="2">
        <v>0</v>
      </c>
      <c r="K416" s="7">
        <v>16153.44</v>
      </c>
      <c r="L416" s="2" t="s">
        <v>31</v>
      </c>
      <c r="M416" s="2" t="s">
        <v>2364</v>
      </c>
    </row>
    <row r="417" spans="1:13" x14ac:dyDescent="0.3">
      <c r="A417" s="2" t="s">
        <v>791</v>
      </c>
      <c r="B417" s="5">
        <v>46030</v>
      </c>
      <c r="C417" s="2" t="s">
        <v>514</v>
      </c>
      <c r="D417" s="2" t="s">
        <v>53</v>
      </c>
      <c r="E417" s="2" t="s">
        <v>134</v>
      </c>
      <c r="F417" s="1" t="s">
        <v>95</v>
      </c>
      <c r="G417" s="2" t="s">
        <v>35</v>
      </c>
      <c r="H417" s="2">
        <v>22</v>
      </c>
      <c r="I417" s="7">
        <v>918.39</v>
      </c>
      <c r="J417" s="2">
        <v>20</v>
      </c>
      <c r="K417" s="7">
        <v>16163.66</v>
      </c>
      <c r="L417" s="2" t="s">
        <v>27</v>
      </c>
      <c r="M417" s="2" t="s">
        <v>2364</v>
      </c>
    </row>
    <row r="418" spans="1:13" x14ac:dyDescent="0.3">
      <c r="A418" s="2" t="s">
        <v>1761</v>
      </c>
      <c r="B418" s="5">
        <v>46243</v>
      </c>
      <c r="C418" s="2" t="s">
        <v>1762</v>
      </c>
      <c r="D418" s="2" t="s">
        <v>46</v>
      </c>
      <c r="E418" s="2" t="s">
        <v>124</v>
      </c>
      <c r="F418" s="2" t="s">
        <v>95</v>
      </c>
      <c r="G418" s="2" t="s">
        <v>35</v>
      </c>
      <c r="H418" s="2">
        <v>33</v>
      </c>
      <c r="I418" s="7">
        <v>495.95</v>
      </c>
      <c r="J418" s="2">
        <v>0</v>
      </c>
      <c r="K418" s="7">
        <v>16366.35</v>
      </c>
      <c r="L418" s="2" t="s">
        <v>49</v>
      </c>
      <c r="M418" s="2" t="s">
        <v>2365</v>
      </c>
    </row>
    <row r="419" spans="1:13" x14ac:dyDescent="0.3">
      <c r="A419" s="2" t="s">
        <v>1447</v>
      </c>
      <c r="B419" s="5">
        <v>45794</v>
      </c>
      <c r="C419" s="2" t="s">
        <v>1448</v>
      </c>
      <c r="D419" s="2" t="s">
        <v>46</v>
      </c>
      <c r="E419" s="2" t="s">
        <v>78</v>
      </c>
      <c r="F419" s="2" t="s">
        <v>95</v>
      </c>
      <c r="G419" s="2" t="s">
        <v>35</v>
      </c>
      <c r="H419" s="2">
        <v>42</v>
      </c>
      <c r="I419" s="7">
        <v>433.28</v>
      </c>
      <c r="J419" s="2">
        <v>10</v>
      </c>
      <c r="K419" s="7">
        <v>16377.98</v>
      </c>
      <c r="L419" s="2" t="s">
        <v>31</v>
      </c>
      <c r="M419" s="2" t="s">
        <v>2365</v>
      </c>
    </row>
    <row r="420" spans="1:13" x14ac:dyDescent="0.3">
      <c r="A420" s="2" t="s">
        <v>56</v>
      </c>
      <c r="B420" s="5">
        <v>45940</v>
      </c>
      <c r="C420" s="2" t="s">
        <v>57</v>
      </c>
      <c r="D420" s="2" t="s">
        <v>24</v>
      </c>
      <c r="E420" s="2" t="s">
        <v>59</v>
      </c>
      <c r="F420" s="1" t="s">
        <v>95</v>
      </c>
      <c r="G420" s="2" t="s">
        <v>35</v>
      </c>
      <c r="H420" s="2">
        <v>40</v>
      </c>
      <c r="I420" s="7">
        <v>433.18</v>
      </c>
      <c r="J420" s="2">
        <v>5</v>
      </c>
      <c r="K420" s="7">
        <v>16460.84</v>
      </c>
      <c r="L420" s="1" t="s">
        <v>2347</v>
      </c>
      <c r="M420" s="2" t="s">
        <v>2364</v>
      </c>
    </row>
    <row r="421" spans="1:13" x14ac:dyDescent="0.3">
      <c r="A421" s="2" t="s">
        <v>2220</v>
      </c>
      <c r="B421" s="5">
        <v>45651</v>
      </c>
      <c r="C421" s="2" t="s">
        <v>1693</v>
      </c>
      <c r="D421" s="2" t="s">
        <v>16</v>
      </c>
      <c r="E421" s="2" t="s">
        <v>74</v>
      </c>
      <c r="F421" s="2" t="s">
        <v>95</v>
      </c>
      <c r="G421" s="2" t="s">
        <v>35</v>
      </c>
      <c r="H421" s="2">
        <v>48</v>
      </c>
      <c r="I421" s="7">
        <v>376.64</v>
      </c>
      <c r="J421" s="2">
        <v>5</v>
      </c>
      <c r="K421" s="7">
        <v>17174.78</v>
      </c>
      <c r="L421" s="2" t="s">
        <v>49</v>
      </c>
      <c r="M421" s="2" t="s">
        <v>2364</v>
      </c>
    </row>
    <row r="422" spans="1:13" x14ac:dyDescent="0.3">
      <c r="A422" s="2" t="s">
        <v>313</v>
      </c>
      <c r="B422" s="5">
        <v>46134</v>
      </c>
      <c r="C422" s="2" t="s">
        <v>264</v>
      </c>
      <c r="D422" s="2" t="s">
        <v>24</v>
      </c>
      <c r="E422" s="2" t="s">
        <v>36</v>
      </c>
      <c r="F422" s="1" t="s">
        <v>95</v>
      </c>
      <c r="G422" s="2" t="s">
        <v>35</v>
      </c>
      <c r="H422" s="2">
        <v>19</v>
      </c>
      <c r="I422" s="7">
        <v>961.2</v>
      </c>
      <c r="J422" s="2">
        <v>5</v>
      </c>
      <c r="K422" s="7">
        <v>17349.66</v>
      </c>
      <c r="L422" s="1" t="s">
        <v>2347</v>
      </c>
      <c r="M422" s="2" t="s">
        <v>2364</v>
      </c>
    </row>
    <row r="423" spans="1:13" x14ac:dyDescent="0.3">
      <c r="A423" s="2" t="s">
        <v>2147</v>
      </c>
      <c r="B423" s="5">
        <v>45977</v>
      </c>
      <c r="C423" s="2" t="s">
        <v>2148</v>
      </c>
      <c r="D423" s="2" t="s">
        <v>16</v>
      </c>
      <c r="E423" s="2" t="s">
        <v>17</v>
      </c>
      <c r="F423" s="2" t="s">
        <v>95</v>
      </c>
      <c r="G423" s="2" t="s">
        <v>35</v>
      </c>
      <c r="H423" s="2">
        <v>19</v>
      </c>
      <c r="I423" s="7">
        <v>917.25</v>
      </c>
      <c r="J423" s="2">
        <v>0</v>
      </c>
      <c r="K423" s="7">
        <v>17427.75</v>
      </c>
      <c r="L423" s="1" t="s">
        <v>2347</v>
      </c>
      <c r="M423" s="2" t="s">
        <v>2364</v>
      </c>
    </row>
    <row r="424" spans="1:13" x14ac:dyDescent="0.3">
      <c r="A424" s="2" t="s">
        <v>467</v>
      </c>
      <c r="B424" s="5">
        <v>46020</v>
      </c>
      <c r="C424" s="2" t="s">
        <v>291</v>
      </c>
      <c r="D424" s="2" t="s">
        <v>53</v>
      </c>
      <c r="E424" s="2" t="s">
        <v>141</v>
      </c>
      <c r="F424" s="1" t="s">
        <v>95</v>
      </c>
      <c r="G424" s="2" t="s">
        <v>35</v>
      </c>
      <c r="H424" s="2">
        <v>46</v>
      </c>
      <c r="I424" s="7">
        <v>424.79</v>
      </c>
      <c r="J424" s="2">
        <v>10</v>
      </c>
      <c r="K424" s="7">
        <v>17586.310000000001</v>
      </c>
      <c r="L424" s="2" t="s">
        <v>49</v>
      </c>
      <c r="M424" s="2" t="s">
        <v>2364</v>
      </c>
    </row>
    <row r="425" spans="1:13" x14ac:dyDescent="0.3">
      <c r="A425" s="2" t="s">
        <v>1085</v>
      </c>
      <c r="B425" s="5">
        <v>46249</v>
      </c>
      <c r="C425" s="2" t="s">
        <v>1086</v>
      </c>
      <c r="D425" s="2" t="s">
        <v>53</v>
      </c>
      <c r="E425" s="2" t="s">
        <v>134</v>
      </c>
      <c r="F425" s="1" t="s">
        <v>95</v>
      </c>
      <c r="G425" s="2" t="s">
        <v>35</v>
      </c>
      <c r="H425" s="2">
        <v>21</v>
      </c>
      <c r="I425" s="7">
        <v>1068.08</v>
      </c>
      <c r="J425" s="2">
        <v>20</v>
      </c>
      <c r="K425" s="7">
        <v>17943.740000000002</v>
      </c>
      <c r="L425" s="2" t="s">
        <v>31</v>
      </c>
      <c r="M425" s="2" t="s">
        <v>2365</v>
      </c>
    </row>
    <row r="426" spans="1:13" x14ac:dyDescent="0.3">
      <c r="A426" s="2" t="s">
        <v>1777</v>
      </c>
      <c r="B426" s="5">
        <v>45678</v>
      </c>
      <c r="C426" s="2" t="s">
        <v>1778</v>
      </c>
      <c r="D426" s="2" t="s">
        <v>46</v>
      </c>
      <c r="E426" s="2" t="s">
        <v>244</v>
      </c>
      <c r="F426" s="2" t="s">
        <v>95</v>
      </c>
      <c r="G426" s="2" t="s">
        <v>35</v>
      </c>
      <c r="H426" s="2">
        <v>23</v>
      </c>
      <c r="I426" s="7">
        <v>882.01</v>
      </c>
      <c r="J426" s="2">
        <v>10</v>
      </c>
      <c r="K426" s="7">
        <v>18257.61</v>
      </c>
      <c r="L426" s="2" t="s">
        <v>69</v>
      </c>
      <c r="M426" s="2" t="s">
        <v>2364</v>
      </c>
    </row>
    <row r="427" spans="1:13" x14ac:dyDescent="0.3">
      <c r="A427" s="2" t="s">
        <v>780</v>
      </c>
      <c r="B427" s="5">
        <v>46302</v>
      </c>
      <c r="C427" s="2" t="s">
        <v>781</v>
      </c>
      <c r="D427" s="2" t="s">
        <v>16</v>
      </c>
      <c r="E427" s="2" t="s">
        <v>17</v>
      </c>
      <c r="F427" s="1" t="s">
        <v>95</v>
      </c>
      <c r="G427" s="2" t="s">
        <v>35</v>
      </c>
      <c r="H427" s="2">
        <v>46</v>
      </c>
      <c r="I427" s="7">
        <v>496.41</v>
      </c>
      <c r="J427" s="2">
        <v>20</v>
      </c>
      <c r="K427" s="7">
        <v>18267.89</v>
      </c>
      <c r="L427" s="2" t="s">
        <v>31</v>
      </c>
      <c r="M427" s="2" t="s">
        <v>2365</v>
      </c>
    </row>
    <row r="428" spans="1:13" x14ac:dyDescent="0.3">
      <c r="A428" s="2" t="s">
        <v>284</v>
      </c>
      <c r="B428" s="5">
        <v>45727</v>
      </c>
      <c r="C428" s="2" t="s">
        <v>285</v>
      </c>
      <c r="D428" s="2" t="s">
        <v>24</v>
      </c>
      <c r="E428" s="2" t="s">
        <v>104</v>
      </c>
      <c r="F428" s="1" t="s">
        <v>95</v>
      </c>
      <c r="G428" s="2" t="s">
        <v>35</v>
      </c>
      <c r="H428" s="2">
        <v>20</v>
      </c>
      <c r="I428" s="7">
        <v>931.39</v>
      </c>
      <c r="J428" s="2">
        <v>0</v>
      </c>
      <c r="K428" s="7">
        <v>18627.8</v>
      </c>
      <c r="L428" s="1" t="s">
        <v>2347</v>
      </c>
      <c r="M428" s="2" t="s">
        <v>2364</v>
      </c>
    </row>
    <row r="429" spans="1:13" x14ac:dyDescent="0.3">
      <c r="A429" s="2" t="s">
        <v>1796</v>
      </c>
      <c r="B429" s="5">
        <v>45680</v>
      </c>
      <c r="C429" s="2" t="s">
        <v>1797</v>
      </c>
      <c r="D429" s="2" t="s">
        <v>16</v>
      </c>
      <c r="E429" s="2" t="s">
        <v>74</v>
      </c>
      <c r="F429" s="2" t="s">
        <v>95</v>
      </c>
      <c r="G429" s="2" t="s">
        <v>35</v>
      </c>
      <c r="H429" s="2">
        <v>46</v>
      </c>
      <c r="I429" s="7">
        <v>447.59</v>
      </c>
      <c r="J429" s="2">
        <v>5</v>
      </c>
      <c r="K429" s="7">
        <v>19559.68</v>
      </c>
      <c r="L429" s="2" t="s">
        <v>31</v>
      </c>
      <c r="M429" s="2" t="s">
        <v>2364</v>
      </c>
    </row>
    <row r="430" spans="1:13" x14ac:dyDescent="0.3">
      <c r="A430" s="2" t="s">
        <v>1007</v>
      </c>
      <c r="B430" s="5">
        <v>46040</v>
      </c>
      <c r="C430" s="2" t="s">
        <v>1008</v>
      </c>
      <c r="D430" s="2" t="s">
        <v>24</v>
      </c>
      <c r="E430" s="2" t="s">
        <v>59</v>
      </c>
      <c r="F430" s="1" t="s">
        <v>95</v>
      </c>
      <c r="G430" s="2" t="s">
        <v>35</v>
      </c>
      <c r="H430" s="2">
        <v>20</v>
      </c>
      <c r="I430" s="7">
        <v>1060.94</v>
      </c>
      <c r="J430" s="2">
        <v>0</v>
      </c>
      <c r="K430" s="7">
        <v>21218.799999999999</v>
      </c>
      <c r="L430" s="2" t="s">
        <v>31</v>
      </c>
      <c r="M430" s="2" t="s">
        <v>2364</v>
      </c>
    </row>
    <row r="431" spans="1:13" x14ac:dyDescent="0.3">
      <c r="A431" s="2" t="s">
        <v>968</v>
      </c>
      <c r="B431" s="5">
        <v>45599</v>
      </c>
      <c r="C431" s="2" t="s">
        <v>969</v>
      </c>
      <c r="D431" s="2" t="s">
        <v>16</v>
      </c>
      <c r="E431" s="2" t="s">
        <v>111</v>
      </c>
      <c r="F431" s="1" t="s">
        <v>95</v>
      </c>
      <c r="G431" s="2" t="s">
        <v>35</v>
      </c>
      <c r="H431" s="2">
        <v>46</v>
      </c>
      <c r="I431" s="7">
        <v>493.25</v>
      </c>
      <c r="J431" s="2">
        <v>5</v>
      </c>
      <c r="K431" s="7">
        <v>21555.03</v>
      </c>
      <c r="L431" s="1" t="s">
        <v>2347</v>
      </c>
      <c r="M431" s="2" t="s">
        <v>2364</v>
      </c>
    </row>
    <row r="432" spans="1:13" x14ac:dyDescent="0.3">
      <c r="A432" s="2" t="s">
        <v>2332</v>
      </c>
      <c r="B432" s="5">
        <v>45677</v>
      </c>
      <c r="C432" s="2" t="s">
        <v>1759</v>
      </c>
      <c r="D432" s="2" t="s">
        <v>46</v>
      </c>
      <c r="E432" s="2" t="s">
        <v>47</v>
      </c>
      <c r="F432" s="2" t="s">
        <v>95</v>
      </c>
      <c r="G432" s="2" t="s">
        <v>35</v>
      </c>
      <c r="H432" s="2">
        <v>49</v>
      </c>
      <c r="I432" s="7">
        <v>492.54</v>
      </c>
      <c r="J432" s="2">
        <v>10</v>
      </c>
      <c r="K432" s="7">
        <v>21721.01</v>
      </c>
      <c r="L432" s="2" t="s">
        <v>49</v>
      </c>
      <c r="M432" s="2" t="s">
        <v>2365</v>
      </c>
    </row>
    <row r="433" spans="1:13" x14ac:dyDescent="0.3">
      <c r="A433" s="2" t="s">
        <v>2251</v>
      </c>
      <c r="B433" s="5">
        <v>45580</v>
      </c>
      <c r="C433" s="2" t="s">
        <v>2252</v>
      </c>
      <c r="D433" s="2" t="s">
        <v>53</v>
      </c>
      <c r="E433" s="2" t="s">
        <v>54</v>
      </c>
      <c r="F433" s="2" t="s">
        <v>95</v>
      </c>
      <c r="G433" s="2" t="s">
        <v>35</v>
      </c>
      <c r="H433" s="2">
        <v>30</v>
      </c>
      <c r="I433" s="7">
        <v>866.74</v>
      </c>
      <c r="J433" s="2">
        <v>15</v>
      </c>
      <c r="K433" s="7">
        <v>22101.87</v>
      </c>
      <c r="L433" s="1" t="s">
        <v>2347</v>
      </c>
      <c r="M433" s="2" t="s">
        <v>2365</v>
      </c>
    </row>
    <row r="434" spans="1:13" x14ac:dyDescent="0.3">
      <c r="A434" s="2" t="s">
        <v>2321</v>
      </c>
      <c r="B434" s="5">
        <v>45749</v>
      </c>
      <c r="C434" s="2" t="s">
        <v>2322</v>
      </c>
      <c r="D434" s="2" t="s">
        <v>46</v>
      </c>
      <c r="E434" s="2" t="s">
        <v>47</v>
      </c>
      <c r="F434" s="2" t="s">
        <v>95</v>
      </c>
      <c r="G434" s="2" t="s">
        <v>35</v>
      </c>
      <c r="H434" s="2">
        <v>27</v>
      </c>
      <c r="I434" s="7">
        <v>820.61</v>
      </c>
      <c r="J434" s="2">
        <v>0</v>
      </c>
      <c r="K434" s="7">
        <v>22156.47</v>
      </c>
      <c r="L434" s="2" t="s">
        <v>69</v>
      </c>
      <c r="M434" s="2" t="s">
        <v>2365</v>
      </c>
    </row>
    <row r="435" spans="1:13" x14ac:dyDescent="0.3">
      <c r="A435" s="2" t="s">
        <v>290</v>
      </c>
      <c r="B435" s="5">
        <v>45804</v>
      </c>
      <c r="C435" s="2" t="s">
        <v>291</v>
      </c>
      <c r="D435" s="2" t="s">
        <v>46</v>
      </c>
      <c r="E435" s="2" t="s">
        <v>83</v>
      </c>
      <c r="F435" s="1" t="s">
        <v>95</v>
      </c>
      <c r="G435" s="2" t="s">
        <v>35</v>
      </c>
      <c r="H435" s="2">
        <v>29</v>
      </c>
      <c r="I435" s="7">
        <v>911.27</v>
      </c>
      <c r="J435" s="2">
        <v>15</v>
      </c>
      <c r="K435" s="7">
        <v>22462.81</v>
      </c>
      <c r="L435" s="2" t="s">
        <v>27</v>
      </c>
      <c r="M435" s="2" t="s">
        <v>2364</v>
      </c>
    </row>
    <row r="436" spans="1:13" x14ac:dyDescent="0.3">
      <c r="A436" s="2" t="s">
        <v>1743</v>
      </c>
      <c r="B436" s="5">
        <v>46133</v>
      </c>
      <c r="C436" s="2" t="s">
        <v>1102</v>
      </c>
      <c r="D436" s="2" t="s">
        <v>24</v>
      </c>
      <c r="E436" s="2" t="s">
        <v>59</v>
      </c>
      <c r="F436" s="2" t="s">
        <v>95</v>
      </c>
      <c r="G436" s="2" t="s">
        <v>35</v>
      </c>
      <c r="H436" s="2">
        <v>22</v>
      </c>
      <c r="I436" s="7">
        <v>1060.18</v>
      </c>
      <c r="J436" s="2">
        <v>0</v>
      </c>
      <c r="K436" s="7">
        <v>23323.96</v>
      </c>
      <c r="L436" s="2" t="s">
        <v>31</v>
      </c>
      <c r="M436" s="2" t="s">
        <v>2364</v>
      </c>
    </row>
    <row r="437" spans="1:13" x14ac:dyDescent="0.3">
      <c r="A437" s="2" t="s">
        <v>1591</v>
      </c>
      <c r="B437" s="5">
        <v>45628</v>
      </c>
      <c r="C437" s="2" t="s">
        <v>1592</v>
      </c>
      <c r="D437" s="2" t="s">
        <v>24</v>
      </c>
      <c r="E437" s="2" t="s">
        <v>59</v>
      </c>
      <c r="F437" s="2" t="s">
        <v>95</v>
      </c>
      <c r="G437" s="2" t="s">
        <v>35</v>
      </c>
      <c r="H437" s="2">
        <v>23</v>
      </c>
      <c r="I437" s="7">
        <v>1067.8900000000001</v>
      </c>
      <c r="J437" s="2">
        <v>5</v>
      </c>
      <c r="K437" s="7">
        <v>23333.4</v>
      </c>
      <c r="L437" s="2" t="s">
        <v>27</v>
      </c>
      <c r="M437" s="2" t="s">
        <v>2365</v>
      </c>
    </row>
    <row r="438" spans="1:13" x14ac:dyDescent="0.3">
      <c r="A438" s="2" t="s">
        <v>1062</v>
      </c>
      <c r="B438" s="5">
        <v>45949</v>
      </c>
      <c r="C438" s="2" t="s">
        <v>147</v>
      </c>
      <c r="D438" s="2" t="s">
        <v>24</v>
      </c>
      <c r="E438" s="2" t="s">
        <v>104</v>
      </c>
      <c r="F438" s="1" t="s">
        <v>95</v>
      </c>
      <c r="G438" s="2" t="s">
        <v>35</v>
      </c>
      <c r="H438" s="2">
        <v>28</v>
      </c>
      <c r="I438" s="7">
        <v>837.68</v>
      </c>
      <c r="J438" s="2">
        <v>0</v>
      </c>
      <c r="K438" s="7">
        <v>23455.040000000001</v>
      </c>
      <c r="L438" s="2" t="s">
        <v>27</v>
      </c>
      <c r="M438" s="2" t="s">
        <v>2364</v>
      </c>
    </row>
    <row r="439" spans="1:13" x14ac:dyDescent="0.3">
      <c r="A439" s="2" t="s">
        <v>724</v>
      </c>
      <c r="B439" s="5">
        <v>45831</v>
      </c>
      <c r="C439" s="2" t="s">
        <v>725</v>
      </c>
      <c r="D439" s="2" t="s">
        <v>24</v>
      </c>
      <c r="E439" s="2" t="s">
        <v>36</v>
      </c>
      <c r="F439" s="1" t="s">
        <v>95</v>
      </c>
      <c r="G439" s="2" t="s">
        <v>35</v>
      </c>
      <c r="H439" s="2">
        <v>23</v>
      </c>
      <c r="I439" s="7">
        <v>1098.1500000000001</v>
      </c>
      <c r="J439" s="2">
        <v>5</v>
      </c>
      <c r="K439" s="7">
        <v>23994.58</v>
      </c>
      <c r="L439" s="2" t="s">
        <v>27</v>
      </c>
      <c r="M439" s="2" t="s">
        <v>2364</v>
      </c>
    </row>
    <row r="440" spans="1:13" x14ac:dyDescent="0.3">
      <c r="A440" s="2" t="s">
        <v>1535</v>
      </c>
      <c r="B440" s="5">
        <v>45658</v>
      </c>
      <c r="C440" s="2" t="s">
        <v>900</v>
      </c>
      <c r="D440" s="2" t="s">
        <v>24</v>
      </c>
      <c r="E440" s="2" t="s">
        <v>41</v>
      </c>
      <c r="F440" s="2" t="s">
        <v>95</v>
      </c>
      <c r="G440" s="2" t="s">
        <v>35</v>
      </c>
      <c r="H440" s="2">
        <v>29</v>
      </c>
      <c r="I440" s="7">
        <v>888.38</v>
      </c>
      <c r="J440" s="2">
        <v>0</v>
      </c>
      <c r="K440" s="7">
        <v>25763.02</v>
      </c>
      <c r="L440" s="2" t="s">
        <v>69</v>
      </c>
      <c r="M440" s="2" t="s">
        <v>2364</v>
      </c>
    </row>
    <row r="441" spans="1:13" x14ac:dyDescent="0.3">
      <c r="A441" s="2" t="s">
        <v>93</v>
      </c>
      <c r="B441" s="5">
        <v>45715</v>
      </c>
      <c r="C441" s="2" t="s">
        <v>94</v>
      </c>
      <c r="D441" s="2" t="s">
        <v>46</v>
      </c>
      <c r="E441" s="2" t="s">
        <v>78</v>
      </c>
      <c r="F441" s="1" t="s">
        <v>95</v>
      </c>
      <c r="G441" s="2" t="s">
        <v>35</v>
      </c>
      <c r="H441" s="2">
        <v>27</v>
      </c>
      <c r="I441" s="7">
        <v>981.57</v>
      </c>
      <c r="J441" s="2">
        <v>0</v>
      </c>
      <c r="K441" s="7">
        <v>26502.39</v>
      </c>
      <c r="L441" s="2" t="s">
        <v>49</v>
      </c>
      <c r="M441" s="2" t="s">
        <v>2365</v>
      </c>
    </row>
    <row r="442" spans="1:13" x14ac:dyDescent="0.3">
      <c r="A442" s="2" t="s">
        <v>2095</v>
      </c>
      <c r="B442" s="5">
        <v>46255</v>
      </c>
      <c r="C442" s="2" t="s">
        <v>659</v>
      </c>
      <c r="D442" s="2" t="s">
        <v>46</v>
      </c>
      <c r="E442" s="2" t="s">
        <v>47</v>
      </c>
      <c r="F442" s="2" t="s">
        <v>95</v>
      </c>
      <c r="G442" s="2" t="s">
        <v>35</v>
      </c>
      <c r="H442" s="2">
        <v>32</v>
      </c>
      <c r="I442" s="7">
        <v>1071.22</v>
      </c>
      <c r="J442" s="2">
        <v>20</v>
      </c>
      <c r="K442" s="7">
        <v>27423.23</v>
      </c>
      <c r="L442" s="2" t="s">
        <v>49</v>
      </c>
      <c r="M442" s="2" t="s">
        <v>2365</v>
      </c>
    </row>
    <row r="443" spans="1:13" x14ac:dyDescent="0.3">
      <c r="A443" s="2" t="s">
        <v>2113</v>
      </c>
      <c r="B443" s="5">
        <v>46194</v>
      </c>
      <c r="C443" s="2" t="s">
        <v>2114</v>
      </c>
      <c r="D443" s="2" t="s">
        <v>46</v>
      </c>
      <c r="E443" s="2" t="s">
        <v>124</v>
      </c>
      <c r="F443" s="2" t="s">
        <v>95</v>
      </c>
      <c r="G443" s="2" t="s">
        <v>35</v>
      </c>
      <c r="H443" s="2">
        <v>37</v>
      </c>
      <c r="I443" s="7">
        <v>946.14</v>
      </c>
      <c r="J443" s="2">
        <v>20</v>
      </c>
      <c r="K443" s="7">
        <v>28005.74</v>
      </c>
      <c r="L443" s="2" t="s">
        <v>69</v>
      </c>
      <c r="M443" s="2" t="s">
        <v>2365</v>
      </c>
    </row>
    <row r="444" spans="1:13" x14ac:dyDescent="0.3">
      <c r="A444" s="2" t="s">
        <v>1258</v>
      </c>
      <c r="B444" s="5">
        <v>45835</v>
      </c>
      <c r="C444" s="2" t="s">
        <v>1259</v>
      </c>
      <c r="D444" s="2" t="s">
        <v>16</v>
      </c>
      <c r="E444" s="2" t="s">
        <v>74</v>
      </c>
      <c r="F444" s="1" t="s">
        <v>95</v>
      </c>
      <c r="G444" s="2" t="s">
        <v>35</v>
      </c>
      <c r="H444" s="2">
        <v>31</v>
      </c>
      <c r="I444" s="7">
        <v>1173.43</v>
      </c>
      <c r="J444" s="2">
        <v>20</v>
      </c>
      <c r="K444" s="7">
        <v>29101.06</v>
      </c>
      <c r="L444" s="2" t="s">
        <v>69</v>
      </c>
      <c r="M444" s="2" t="s">
        <v>2364</v>
      </c>
    </row>
    <row r="445" spans="1:13" x14ac:dyDescent="0.3">
      <c r="A445" s="2" t="s">
        <v>981</v>
      </c>
      <c r="B445" s="5">
        <v>45723</v>
      </c>
      <c r="C445" s="2" t="s">
        <v>982</v>
      </c>
      <c r="D445" s="2" t="s">
        <v>53</v>
      </c>
      <c r="E445" s="2" t="s">
        <v>141</v>
      </c>
      <c r="F445" s="1" t="s">
        <v>95</v>
      </c>
      <c r="G445" s="2" t="s">
        <v>35</v>
      </c>
      <c r="H445" s="2">
        <v>32</v>
      </c>
      <c r="I445" s="7">
        <v>1124.83</v>
      </c>
      <c r="J445" s="2">
        <v>15</v>
      </c>
      <c r="K445" s="7">
        <v>30595.38</v>
      </c>
      <c r="L445" s="1" t="s">
        <v>2347</v>
      </c>
      <c r="M445" s="2" t="s">
        <v>2364</v>
      </c>
    </row>
    <row r="446" spans="1:13" x14ac:dyDescent="0.3">
      <c r="A446" s="2" t="s">
        <v>266</v>
      </c>
      <c r="B446" s="5">
        <v>46232</v>
      </c>
      <c r="C446" s="2" t="s">
        <v>267</v>
      </c>
      <c r="D446" s="2" t="s">
        <v>16</v>
      </c>
      <c r="E446" s="2" t="s">
        <v>17</v>
      </c>
      <c r="F446" s="1" t="s">
        <v>95</v>
      </c>
      <c r="G446" s="2" t="s">
        <v>35</v>
      </c>
      <c r="H446" s="2">
        <v>36</v>
      </c>
      <c r="I446" s="7">
        <v>1022.56</v>
      </c>
      <c r="J446" s="2">
        <v>15</v>
      </c>
      <c r="K446" s="7">
        <v>31290.34</v>
      </c>
      <c r="L446" s="2" t="s">
        <v>27</v>
      </c>
      <c r="M446" s="2" t="s">
        <v>2364</v>
      </c>
    </row>
    <row r="447" spans="1:13" x14ac:dyDescent="0.3">
      <c r="A447" s="2" t="s">
        <v>2171</v>
      </c>
      <c r="B447" s="5">
        <v>46298</v>
      </c>
      <c r="C447" s="2" t="s">
        <v>2172</v>
      </c>
      <c r="D447" s="2" t="s">
        <v>24</v>
      </c>
      <c r="E447" s="2" t="s">
        <v>104</v>
      </c>
      <c r="F447" s="2" t="s">
        <v>95</v>
      </c>
      <c r="G447" s="2" t="s">
        <v>35</v>
      </c>
      <c r="H447" s="2">
        <v>45</v>
      </c>
      <c r="I447" s="7">
        <v>825.24</v>
      </c>
      <c r="J447" s="2">
        <v>15</v>
      </c>
      <c r="K447" s="7">
        <v>31565.43</v>
      </c>
      <c r="L447" s="2" t="s">
        <v>49</v>
      </c>
      <c r="M447" s="2" t="s">
        <v>2364</v>
      </c>
    </row>
    <row r="448" spans="1:13" x14ac:dyDescent="0.3">
      <c r="A448" s="2" t="s">
        <v>214</v>
      </c>
      <c r="B448" s="5">
        <v>46095</v>
      </c>
      <c r="C448" s="2" t="s">
        <v>120</v>
      </c>
      <c r="D448" s="2" t="s">
        <v>24</v>
      </c>
      <c r="E448" s="2" t="s">
        <v>104</v>
      </c>
      <c r="F448" s="1" t="s">
        <v>95</v>
      </c>
      <c r="G448" s="2" t="s">
        <v>35</v>
      </c>
      <c r="H448" s="2">
        <v>44</v>
      </c>
      <c r="I448" s="7">
        <v>903.71</v>
      </c>
      <c r="J448" s="2">
        <v>20</v>
      </c>
      <c r="K448" s="7">
        <v>31810.59</v>
      </c>
      <c r="L448" s="2" t="s">
        <v>49</v>
      </c>
      <c r="M448" s="2" t="s">
        <v>2364</v>
      </c>
    </row>
    <row r="449" spans="1:13" x14ac:dyDescent="0.3">
      <c r="A449" s="2" t="s">
        <v>2059</v>
      </c>
      <c r="B449" s="5">
        <v>45728</v>
      </c>
      <c r="C449" s="2" t="s">
        <v>2060</v>
      </c>
      <c r="D449" s="2" t="s">
        <v>16</v>
      </c>
      <c r="E449" s="2" t="s">
        <v>17</v>
      </c>
      <c r="F449" s="2" t="s">
        <v>95</v>
      </c>
      <c r="G449" s="2" t="s">
        <v>35</v>
      </c>
      <c r="H449" s="2">
        <v>30</v>
      </c>
      <c r="I449" s="7">
        <v>1190.69</v>
      </c>
      <c r="J449" s="2">
        <v>10</v>
      </c>
      <c r="K449" s="7">
        <v>32148.63</v>
      </c>
      <c r="L449" s="2" t="s">
        <v>69</v>
      </c>
      <c r="M449" s="2" t="s">
        <v>2365</v>
      </c>
    </row>
    <row r="450" spans="1:13" x14ac:dyDescent="0.3">
      <c r="A450" s="2" t="s">
        <v>1346</v>
      </c>
      <c r="B450" s="5">
        <v>45714</v>
      </c>
      <c r="C450" s="2" t="s">
        <v>1347</v>
      </c>
      <c r="D450" s="2" t="s">
        <v>16</v>
      </c>
      <c r="E450" s="2" t="s">
        <v>160</v>
      </c>
      <c r="F450" s="2" t="s">
        <v>95</v>
      </c>
      <c r="G450" s="2" t="s">
        <v>35</v>
      </c>
      <c r="H450" s="2">
        <v>40</v>
      </c>
      <c r="I450" s="7">
        <v>868.09</v>
      </c>
      <c r="J450" s="2">
        <v>5</v>
      </c>
      <c r="K450" s="7">
        <v>32987.42</v>
      </c>
      <c r="L450" s="2" t="s">
        <v>49</v>
      </c>
      <c r="M450" s="2" t="s">
        <v>2364</v>
      </c>
    </row>
    <row r="451" spans="1:13" x14ac:dyDescent="0.3">
      <c r="A451" s="2" t="s">
        <v>2017</v>
      </c>
      <c r="B451" s="5">
        <v>45814</v>
      </c>
      <c r="C451" s="2" t="s">
        <v>2018</v>
      </c>
      <c r="D451" s="2" t="s">
        <v>24</v>
      </c>
      <c r="E451" s="2" t="s">
        <v>36</v>
      </c>
      <c r="F451" s="2" t="s">
        <v>95</v>
      </c>
      <c r="G451" s="2" t="s">
        <v>35</v>
      </c>
      <c r="H451" s="2">
        <v>38</v>
      </c>
      <c r="I451" s="7">
        <v>1072.3499999999999</v>
      </c>
      <c r="J451" s="2">
        <v>10</v>
      </c>
      <c r="K451" s="7">
        <v>36674.370000000003</v>
      </c>
      <c r="L451" s="2" t="s">
        <v>49</v>
      </c>
      <c r="M451" s="2" t="s">
        <v>2364</v>
      </c>
    </row>
    <row r="452" spans="1:13" x14ac:dyDescent="0.3">
      <c r="A452" s="2" t="s">
        <v>1426</v>
      </c>
      <c r="B452" s="5">
        <v>45763</v>
      </c>
      <c r="C452" s="2" t="s">
        <v>1427</v>
      </c>
      <c r="D452" s="2" t="s">
        <v>24</v>
      </c>
      <c r="E452" s="2" t="s">
        <v>104</v>
      </c>
      <c r="F452" s="2" t="s">
        <v>95</v>
      </c>
      <c r="G452" s="2" t="s">
        <v>35</v>
      </c>
      <c r="H452" s="2">
        <v>38</v>
      </c>
      <c r="I452" s="7">
        <v>996.33</v>
      </c>
      <c r="J452" s="2">
        <v>0</v>
      </c>
      <c r="K452" s="7">
        <v>37860.54</v>
      </c>
      <c r="L452" s="2" t="s">
        <v>27</v>
      </c>
      <c r="M452" s="2" t="s">
        <v>2364</v>
      </c>
    </row>
    <row r="453" spans="1:13" x14ac:dyDescent="0.3">
      <c r="A453" s="2" t="s">
        <v>1925</v>
      </c>
      <c r="B453" s="5">
        <v>46169</v>
      </c>
      <c r="C453" s="2" t="s">
        <v>1926</v>
      </c>
      <c r="D453" s="2" t="s">
        <v>46</v>
      </c>
      <c r="E453" s="2" t="s">
        <v>78</v>
      </c>
      <c r="F453" s="2" t="s">
        <v>95</v>
      </c>
      <c r="G453" s="2" t="s">
        <v>35</v>
      </c>
      <c r="H453" s="2">
        <v>41</v>
      </c>
      <c r="I453" s="7">
        <v>1135.24</v>
      </c>
      <c r="J453" s="2">
        <v>15</v>
      </c>
      <c r="K453" s="7">
        <v>39563.11</v>
      </c>
      <c r="L453" s="2" t="s">
        <v>69</v>
      </c>
      <c r="M453" s="2" t="s">
        <v>2364</v>
      </c>
    </row>
    <row r="454" spans="1:13" x14ac:dyDescent="0.3">
      <c r="A454" s="2" t="s">
        <v>1872</v>
      </c>
      <c r="B454" s="5">
        <v>45815</v>
      </c>
      <c r="C454" s="2" t="s">
        <v>1088</v>
      </c>
      <c r="D454" s="2" t="s">
        <v>16</v>
      </c>
      <c r="E454" s="2" t="s">
        <v>160</v>
      </c>
      <c r="F454" s="2" t="s">
        <v>95</v>
      </c>
      <c r="G454" s="2" t="s">
        <v>35</v>
      </c>
      <c r="H454" s="2">
        <v>43</v>
      </c>
      <c r="I454" s="7">
        <v>962.73</v>
      </c>
      <c r="J454" s="2">
        <v>0</v>
      </c>
      <c r="K454" s="7">
        <v>41397.39</v>
      </c>
      <c r="L454" s="2" t="s">
        <v>31</v>
      </c>
      <c r="M454" s="2" t="s">
        <v>2365</v>
      </c>
    </row>
    <row r="455" spans="1:13" x14ac:dyDescent="0.3">
      <c r="A455" s="2" t="s">
        <v>2002</v>
      </c>
      <c r="B455" s="5">
        <v>45996</v>
      </c>
      <c r="C455" s="2" t="s">
        <v>2003</v>
      </c>
      <c r="D455" s="2" t="s">
        <v>24</v>
      </c>
      <c r="E455" s="2" t="s">
        <v>36</v>
      </c>
      <c r="F455" s="2" t="s">
        <v>95</v>
      </c>
      <c r="G455" s="2" t="s">
        <v>35</v>
      </c>
      <c r="H455" s="2">
        <v>38</v>
      </c>
      <c r="I455" s="7">
        <v>1136.42</v>
      </c>
      <c r="J455" s="2">
        <v>0</v>
      </c>
      <c r="K455" s="7">
        <v>43183.96</v>
      </c>
      <c r="L455" s="2" t="s">
        <v>69</v>
      </c>
      <c r="M455" s="2" t="s">
        <v>2364</v>
      </c>
    </row>
    <row r="456" spans="1:13" x14ac:dyDescent="0.3">
      <c r="A456" s="2" t="s">
        <v>858</v>
      </c>
      <c r="B456" s="5">
        <v>46274</v>
      </c>
      <c r="C456" s="2" t="s">
        <v>859</v>
      </c>
      <c r="D456" s="2" t="s">
        <v>46</v>
      </c>
      <c r="E456" s="2" t="s">
        <v>78</v>
      </c>
      <c r="F456" s="1" t="s">
        <v>95</v>
      </c>
      <c r="G456" s="2" t="s">
        <v>35</v>
      </c>
      <c r="H456" s="2">
        <v>48</v>
      </c>
      <c r="I456" s="7">
        <v>1072.57</v>
      </c>
      <c r="J456" s="2">
        <v>15</v>
      </c>
      <c r="K456" s="7">
        <v>43760.86</v>
      </c>
      <c r="L456" s="1" t="s">
        <v>2347</v>
      </c>
      <c r="M456" s="2" t="s">
        <v>2365</v>
      </c>
    </row>
    <row r="457" spans="1:13" x14ac:dyDescent="0.3">
      <c r="A457" s="2" t="s">
        <v>603</v>
      </c>
      <c r="B457" s="5">
        <v>45755</v>
      </c>
      <c r="C457" s="2" t="s">
        <v>604</v>
      </c>
      <c r="D457" s="2" t="s">
        <v>46</v>
      </c>
      <c r="E457" s="2" t="s">
        <v>244</v>
      </c>
      <c r="F457" s="1" t="s">
        <v>95</v>
      </c>
      <c r="G457" s="2" t="s">
        <v>35</v>
      </c>
      <c r="H457" s="2">
        <v>49</v>
      </c>
      <c r="I457" s="7">
        <v>1057.0999999999999</v>
      </c>
      <c r="J457" s="2">
        <v>15</v>
      </c>
      <c r="K457" s="7">
        <v>44028.22</v>
      </c>
      <c r="L457" s="2" t="s">
        <v>27</v>
      </c>
      <c r="M457" s="2" t="s">
        <v>2364</v>
      </c>
    </row>
    <row r="458" spans="1:13" x14ac:dyDescent="0.3">
      <c r="A458" s="2" t="s">
        <v>2183</v>
      </c>
      <c r="B458" s="5">
        <v>46085</v>
      </c>
      <c r="C458" s="2" t="s">
        <v>2184</v>
      </c>
      <c r="D458" s="2" t="s">
        <v>46</v>
      </c>
      <c r="E458" s="2" t="s">
        <v>83</v>
      </c>
      <c r="F458" s="2" t="s">
        <v>95</v>
      </c>
      <c r="G458" s="2" t="s">
        <v>35</v>
      </c>
      <c r="H458" s="2">
        <v>50</v>
      </c>
      <c r="I458" s="7">
        <v>903.41</v>
      </c>
      <c r="J458" s="2">
        <v>0</v>
      </c>
      <c r="K458" s="7">
        <v>45170.5</v>
      </c>
      <c r="L458" s="2" t="s">
        <v>49</v>
      </c>
      <c r="M458" s="2" t="s">
        <v>2364</v>
      </c>
    </row>
    <row r="459" spans="1:13" x14ac:dyDescent="0.3">
      <c r="A459" s="2" t="s">
        <v>852</v>
      </c>
      <c r="B459" s="5">
        <v>46208</v>
      </c>
      <c r="C459" s="2" t="s">
        <v>853</v>
      </c>
      <c r="D459" s="2" t="s">
        <v>16</v>
      </c>
      <c r="E459" s="2" t="s">
        <v>74</v>
      </c>
      <c r="F459" s="1" t="s">
        <v>95</v>
      </c>
      <c r="G459" s="2" t="s">
        <v>35</v>
      </c>
      <c r="H459" s="2">
        <v>41</v>
      </c>
      <c r="I459" s="7">
        <v>1104.3599999999999</v>
      </c>
      <c r="J459" s="2">
        <v>0</v>
      </c>
      <c r="K459" s="7">
        <v>45278.76</v>
      </c>
      <c r="L459" s="1" t="s">
        <v>2347</v>
      </c>
      <c r="M459" s="2" t="s">
        <v>2364</v>
      </c>
    </row>
    <row r="460" spans="1:13" x14ac:dyDescent="0.3">
      <c r="A460" s="2" t="s">
        <v>1690</v>
      </c>
      <c r="B460" s="5">
        <v>45912</v>
      </c>
      <c r="C460" s="2" t="s">
        <v>1691</v>
      </c>
      <c r="D460" s="2" t="s">
        <v>24</v>
      </c>
      <c r="E460" s="2" t="s">
        <v>41</v>
      </c>
      <c r="F460" s="2" t="s">
        <v>95</v>
      </c>
      <c r="G460" s="2" t="s">
        <v>35</v>
      </c>
      <c r="H460" s="2">
        <v>47</v>
      </c>
      <c r="I460" s="7">
        <v>963.71</v>
      </c>
      <c r="J460" s="2">
        <v>0</v>
      </c>
      <c r="K460" s="7">
        <v>45294.37</v>
      </c>
      <c r="L460" s="2" t="s">
        <v>27</v>
      </c>
      <c r="M460" s="2" t="s">
        <v>2364</v>
      </c>
    </row>
    <row r="461" spans="1:13" x14ac:dyDescent="0.3">
      <c r="A461" s="2" t="s">
        <v>132</v>
      </c>
      <c r="B461" s="5">
        <v>45804</v>
      </c>
      <c r="C461" s="2" t="s">
        <v>133</v>
      </c>
      <c r="D461" s="2" t="s">
        <v>53</v>
      </c>
      <c r="E461" s="2" t="s">
        <v>134</v>
      </c>
      <c r="F461" s="1" t="s">
        <v>95</v>
      </c>
      <c r="G461" s="2" t="s">
        <v>35</v>
      </c>
      <c r="H461" s="2">
        <v>50</v>
      </c>
      <c r="I461" s="7">
        <v>1158.33</v>
      </c>
      <c r="J461" s="2">
        <v>20</v>
      </c>
      <c r="K461" s="7">
        <v>46333.2</v>
      </c>
      <c r="L461" s="1" t="s">
        <v>2347</v>
      </c>
      <c r="M461" s="2" t="s">
        <v>2365</v>
      </c>
    </row>
    <row r="462" spans="1:13" x14ac:dyDescent="0.3">
      <c r="A462" s="2" t="s">
        <v>504</v>
      </c>
      <c r="B462" s="5">
        <v>45950</v>
      </c>
      <c r="C462" s="2" t="s">
        <v>505</v>
      </c>
      <c r="D462" s="2" t="s">
        <v>24</v>
      </c>
      <c r="E462" s="2" t="s">
        <v>41</v>
      </c>
      <c r="F462" s="1" t="s">
        <v>95</v>
      </c>
      <c r="G462" s="2" t="s">
        <v>35</v>
      </c>
      <c r="H462" s="2">
        <v>49</v>
      </c>
      <c r="I462" s="7">
        <v>1031.46</v>
      </c>
      <c r="J462" s="2">
        <v>5</v>
      </c>
      <c r="K462" s="7">
        <v>48014.46</v>
      </c>
      <c r="L462" s="2" t="s">
        <v>69</v>
      </c>
      <c r="M462" s="2" t="s">
        <v>2365</v>
      </c>
    </row>
    <row r="463" spans="1:13" x14ac:dyDescent="0.3">
      <c r="A463" s="2" t="s">
        <v>165</v>
      </c>
      <c r="B463" s="5">
        <v>45857</v>
      </c>
      <c r="C463" s="2" t="s">
        <v>166</v>
      </c>
      <c r="D463" s="2" t="s">
        <v>24</v>
      </c>
      <c r="E463" s="2" t="s">
        <v>104</v>
      </c>
      <c r="F463" s="1" t="s">
        <v>95</v>
      </c>
      <c r="G463" s="2" t="s">
        <v>35</v>
      </c>
      <c r="H463" s="2">
        <v>48</v>
      </c>
      <c r="I463" s="7">
        <v>1106.83</v>
      </c>
      <c r="J463" s="2">
        <v>0</v>
      </c>
      <c r="K463" s="7">
        <v>53127.839999999997</v>
      </c>
      <c r="L463" s="2" t="s">
        <v>49</v>
      </c>
      <c r="M463" s="2" t="s">
        <v>2364</v>
      </c>
    </row>
    <row r="464" spans="1:13" x14ac:dyDescent="0.3">
      <c r="A464" s="2" t="s">
        <v>1879</v>
      </c>
      <c r="B464" s="5">
        <v>45950</v>
      </c>
      <c r="C464" s="2" t="s">
        <v>1880</v>
      </c>
      <c r="D464" s="2" t="s">
        <v>46</v>
      </c>
      <c r="E464" s="2" t="s">
        <v>124</v>
      </c>
      <c r="F464" s="2" t="s">
        <v>95</v>
      </c>
      <c r="G464" s="2" t="s">
        <v>35</v>
      </c>
      <c r="H464" s="2">
        <v>49</v>
      </c>
      <c r="I464" s="7">
        <v>1146.6400000000001</v>
      </c>
      <c r="J464" s="2">
        <v>5</v>
      </c>
      <c r="K464" s="7">
        <v>53376.09</v>
      </c>
      <c r="L464" s="2" t="s">
        <v>31</v>
      </c>
      <c r="M464" s="2" t="s">
        <v>2364</v>
      </c>
    </row>
    <row r="465" spans="1:13" x14ac:dyDescent="0.3">
      <c r="A465" s="2" t="s">
        <v>1957</v>
      </c>
      <c r="B465" s="5">
        <v>46129</v>
      </c>
      <c r="C465" s="2" t="s">
        <v>1958</v>
      </c>
      <c r="D465" s="2" t="s">
        <v>24</v>
      </c>
      <c r="E465" s="2" t="s">
        <v>59</v>
      </c>
      <c r="F465" s="2" t="s">
        <v>52</v>
      </c>
      <c r="G465" s="2" t="s">
        <v>35</v>
      </c>
      <c r="H465" s="2">
        <v>4</v>
      </c>
      <c r="I465" s="7">
        <v>106.11</v>
      </c>
      <c r="J465" s="2">
        <v>0</v>
      </c>
      <c r="K465" s="7">
        <v>424.44</v>
      </c>
      <c r="L465" s="1" t="s">
        <v>2347</v>
      </c>
      <c r="M465" s="2" t="s">
        <v>2365</v>
      </c>
    </row>
    <row r="466" spans="1:13" x14ac:dyDescent="0.3">
      <c r="A466" s="2" t="s">
        <v>1810</v>
      </c>
      <c r="B466" s="5">
        <v>45841</v>
      </c>
      <c r="C466" s="2" t="s">
        <v>1454</v>
      </c>
      <c r="D466" s="2" t="s">
        <v>46</v>
      </c>
      <c r="E466" s="2" t="s">
        <v>83</v>
      </c>
      <c r="F466" s="2" t="s">
        <v>52</v>
      </c>
      <c r="G466" s="2" t="s">
        <v>35</v>
      </c>
      <c r="H466" s="2">
        <v>5</v>
      </c>
      <c r="I466" s="7">
        <v>104.09</v>
      </c>
      <c r="J466" s="2">
        <v>0</v>
      </c>
      <c r="K466" s="7">
        <v>520.45000000000005</v>
      </c>
      <c r="L466" s="2" t="s">
        <v>31</v>
      </c>
      <c r="M466" s="2" t="s">
        <v>2365</v>
      </c>
    </row>
    <row r="467" spans="1:13" x14ac:dyDescent="0.3">
      <c r="A467" s="2" t="s">
        <v>50</v>
      </c>
      <c r="B467" s="5">
        <v>45879</v>
      </c>
      <c r="C467" s="2" t="s">
        <v>51</v>
      </c>
      <c r="D467" s="2" t="s">
        <v>53</v>
      </c>
      <c r="E467" s="2" t="s">
        <v>54</v>
      </c>
      <c r="F467" s="2" t="s">
        <v>52</v>
      </c>
      <c r="G467" s="2" t="s">
        <v>35</v>
      </c>
      <c r="H467" s="2">
        <v>8</v>
      </c>
      <c r="I467" s="7">
        <v>127.72</v>
      </c>
      <c r="J467" s="2">
        <v>10</v>
      </c>
      <c r="K467" s="7">
        <v>919.58</v>
      </c>
      <c r="L467" s="2" t="s">
        <v>49</v>
      </c>
      <c r="M467" s="2" t="s">
        <v>2364</v>
      </c>
    </row>
    <row r="468" spans="1:13" x14ac:dyDescent="0.3">
      <c r="A468" s="2" t="s">
        <v>320</v>
      </c>
      <c r="B468" s="5">
        <v>46094</v>
      </c>
      <c r="C468" s="2" t="s">
        <v>321</v>
      </c>
      <c r="D468" s="2" t="s">
        <v>46</v>
      </c>
      <c r="E468" s="2" t="s">
        <v>78</v>
      </c>
      <c r="F468" s="2" t="s">
        <v>52</v>
      </c>
      <c r="G468" s="2" t="s">
        <v>35</v>
      </c>
      <c r="H468" s="2">
        <v>8</v>
      </c>
      <c r="I468" s="7">
        <v>162.71</v>
      </c>
      <c r="J468" s="2">
        <v>0</v>
      </c>
      <c r="K468" s="7">
        <v>1301.68</v>
      </c>
      <c r="L468" s="2" t="s">
        <v>49</v>
      </c>
      <c r="M468" s="2" t="s">
        <v>2364</v>
      </c>
    </row>
    <row r="469" spans="1:13" x14ac:dyDescent="0.3">
      <c r="A469" s="2" t="s">
        <v>826</v>
      </c>
      <c r="B469" s="5">
        <v>46021</v>
      </c>
      <c r="C469" s="2" t="s">
        <v>827</v>
      </c>
      <c r="D469" s="2" t="s">
        <v>24</v>
      </c>
      <c r="E469" s="2" t="s">
        <v>104</v>
      </c>
      <c r="F469" s="2" t="s">
        <v>52</v>
      </c>
      <c r="G469" s="2" t="s">
        <v>35</v>
      </c>
      <c r="H469" s="2">
        <v>7</v>
      </c>
      <c r="I469" s="7">
        <v>254.45</v>
      </c>
      <c r="J469" s="2">
        <v>5</v>
      </c>
      <c r="K469" s="7">
        <v>1692.09</v>
      </c>
      <c r="L469" s="2" t="s">
        <v>31</v>
      </c>
      <c r="M469" s="2" t="s">
        <v>2365</v>
      </c>
    </row>
    <row r="470" spans="1:13" x14ac:dyDescent="0.3">
      <c r="A470" s="2" t="s">
        <v>129</v>
      </c>
      <c r="B470" s="5">
        <v>45586</v>
      </c>
      <c r="C470" s="2" t="s">
        <v>130</v>
      </c>
      <c r="D470" s="2" t="s">
        <v>16</v>
      </c>
      <c r="E470" s="2" t="s">
        <v>91</v>
      </c>
      <c r="F470" s="2" t="s">
        <v>52</v>
      </c>
      <c r="G470" s="2" t="s">
        <v>35</v>
      </c>
      <c r="H470" s="2">
        <v>7</v>
      </c>
      <c r="I470" s="7">
        <v>285.07</v>
      </c>
      <c r="J470" s="2">
        <v>10</v>
      </c>
      <c r="K470" s="7">
        <v>1795.94</v>
      </c>
      <c r="L470" s="1" t="s">
        <v>2347</v>
      </c>
      <c r="M470" s="2" t="s">
        <v>2364</v>
      </c>
    </row>
    <row r="471" spans="1:13" x14ac:dyDescent="0.3">
      <c r="A471" s="2" t="s">
        <v>1429</v>
      </c>
      <c r="B471" s="5">
        <v>45660</v>
      </c>
      <c r="C471" s="2" t="s">
        <v>1430</v>
      </c>
      <c r="D471" s="2" t="s">
        <v>53</v>
      </c>
      <c r="E471" s="2" t="s">
        <v>170</v>
      </c>
      <c r="F471" s="2" t="s">
        <v>52</v>
      </c>
      <c r="G471" s="2" t="s">
        <v>35</v>
      </c>
      <c r="H471" s="2">
        <v>10</v>
      </c>
      <c r="I471" s="7">
        <v>235.56</v>
      </c>
      <c r="J471" s="2">
        <v>20</v>
      </c>
      <c r="K471" s="7">
        <v>1884.48</v>
      </c>
      <c r="L471" s="1" t="s">
        <v>2347</v>
      </c>
      <c r="M471" s="2" t="s">
        <v>2364</v>
      </c>
    </row>
    <row r="472" spans="1:13" x14ac:dyDescent="0.3">
      <c r="A472" s="2" t="s">
        <v>1233</v>
      </c>
      <c r="B472" s="5">
        <v>46128</v>
      </c>
      <c r="C472" s="2" t="s">
        <v>270</v>
      </c>
      <c r="D472" s="2" t="s">
        <v>53</v>
      </c>
      <c r="E472" s="2" t="s">
        <v>170</v>
      </c>
      <c r="F472" s="2" t="s">
        <v>52</v>
      </c>
      <c r="G472" s="2" t="s">
        <v>35</v>
      </c>
      <c r="H472" s="2">
        <v>19</v>
      </c>
      <c r="I472" s="7">
        <v>121.28</v>
      </c>
      <c r="J472" s="2">
        <v>5</v>
      </c>
      <c r="K472" s="7">
        <v>2189.1</v>
      </c>
      <c r="L472" s="2" t="s">
        <v>27</v>
      </c>
      <c r="M472" s="2" t="s">
        <v>2365</v>
      </c>
    </row>
    <row r="473" spans="1:13" x14ac:dyDescent="0.3">
      <c r="A473" s="2" t="s">
        <v>1805</v>
      </c>
      <c r="B473" s="5">
        <v>46106</v>
      </c>
      <c r="C473" s="2" t="s">
        <v>1177</v>
      </c>
      <c r="D473" s="2" t="s">
        <v>24</v>
      </c>
      <c r="E473" s="2" t="s">
        <v>25</v>
      </c>
      <c r="F473" s="2" t="s">
        <v>52</v>
      </c>
      <c r="G473" s="2" t="s">
        <v>35</v>
      </c>
      <c r="H473" s="2">
        <v>8</v>
      </c>
      <c r="I473" s="7">
        <v>308.27</v>
      </c>
      <c r="J473" s="2">
        <v>10</v>
      </c>
      <c r="K473" s="7">
        <v>2219.54</v>
      </c>
      <c r="L473" s="1" t="s">
        <v>2347</v>
      </c>
      <c r="M473" s="2" t="s">
        <v>2364</v>
      </c>
    </row>
    <row r="474" spans="1:13" x14ac:dyDescent="0.3">
      <c r="A474" s="2" t="s">
        <v>492</v>
      </c>
      <c r="B474" s="5">
        <v>46283</v>
      </c>
      <c r="C474" s="2" t="s">
        <v>493</v>
      </c>
      <c r="D474" s="2" t="s">
        <v>16</v>
      </c>
      <c r="E474" s="2" t="s">
        <v>111</v>
      </c>
      <c r="F474" s="2" t="s">
        <v>52</v>
      </c>
      <c r="G474" s="2" t="s">
        <v>35</v>
      </c>
      <c r="H474" s="2">
        <v>16</v>
      </c>
      <c r="I474" s="7">
        <v>145.46</v>
      </c>
      <c r="J474" s="2">
        <v>0</v>
      </c>
      <c r="K474" s="7">
        <v>2327.36</v>
      </c>
      <c r="L474" s="2" t="s">
        <v>69</v>
      </c>
      <c r="M474" s="2" t="s">
        <v>2364</v>
      </c>
    </row>
    <row r="475" spans="1:13" x14ac:dyDescent="0.3">
      <c r="A475" s="2" t="s">
        <v>85</v>
      </c>
      <c r="B475" s="5">
        <v>45858</v>
      </c>
      <c r="C475" s="2" t="s">
        <v>86</v>
      </c>
      <c r="D475" s="2" t="s">
        <v>24</v>
      </c>
      <c r="E475" s="2" t="s">
        <v>25</v>
      </c>
      <c r="F475" s="2" t="s">
        <v>52</v>
      </c>
      <c r="G475" s="2" t="s">
        <v>35</v>
      </c>
      <c r="H475" s="2">
        <v>21</v>
      </c>
      <c r="I475" s="7">
        <v>110.99</v>
      </c>
      <c r="J475" s="2">
        <v>0</v>
      </c>
      <c r="K475" s="7">
        <v>2330.79</v>
      </c>
      <c r="L475" s="2" t="s">
        <v>49</v>
      </c>
      <c r="M475" s="2" t="s">
        <v>2365</v>
      </c>
    </row>
    <row r="476" spans="1:13" x14ac:dyDescent="0.3">
      <c r="A476" s="2" t="s">
        <v>1040</v>
      </c>
      <c r="B476" s="5">
        <v>45661</v>
      </c>
      <c r="C476" s="2" t="s">
        <v>1041</v>
      </c>
      <c r="D476" s="2" t="s">
        <v>16</v>
      </c>
      <c r="E476" s="2" t="s">
        <v>17</v>
      </c>
      <c r="F476" s="2" t="s">
        <v>52</v>
      </c>
      <c r="G476" s="2" t="s">
        <v>35</v>
      </c>
      <c r="H476" s="2">
        <v>28</v>
      </c>
      <c r="I476" s="7">
        <v>107.44</v>
      </c>
      <c r="J476" s="2">
        <v>20</v>
      </c>
      <c r="K476" s="7">
        <v>2406.66</v>
      </c>
      <c r="L476" s="2" t="s">
        <v>69</v>
      </c>
      <c r="M476" s="2" t="s">
        <v>2365</v>
      </c>
    </row>
    <row r="477" spans="1:13" x14ac:dyDescent="0.3">
      <c r="A477" s="2" t="s">
        <v>1302</v>
      </c>
      <c r="B477" s="5">
        <v>46146</v>
      </c>
      <c r="C477" s="2" t="s">
        <v>1303</v>
      </c>
      <c r="D477" s="2" t="s">
        <v>46</v>
      </c>
      <c r="E477" s="2" t="s">
        <v>124</v>
      </c>
      <c r="F477" s="2" t="s">
        <v>52</v>
      </c>
      <c r="G477" s="2" t="s">
        <v>35</v>
      </c>
      <c r="H477" s="2">
        <v>10</v>
      </c>
      <c r="I477" s="7">
        <v>296.54000000000002</v>
      </c>
      <c r="J477" s="2">
        <v>10</v>
      </c>
      <c r="K477" s="7">
        <v>2668.86</v>
      </c>
      <c r="L477" s="1" t="s">
        <v>2347</v>
      </c>
      <c r="M477" s="2" t="s">
        <v>2365</v>
      </c>
    </row>
    <row r="478" spans="1:13" x14ac:dyDescent="0.3">
      <c r="A478" s="2" t="s">
        <v>1004</v>
      </c>
      <c r="B478" s="5">
        <v>45593</v>
      </c>
      <c r="C478" s="2" t="s">
        <v>1005</v>
      </c>
      <c r="D478" s="2" t="s">
        <v>16</v>
      </c>
      <c r="E478" s="2" t="s">
        <v>91</v>
      </c>
      <c r="F478" s="2" t="s">
        <v>52</v>
      </c>
      <c r="G478" s="2" t="s">
        <v>35</v>
      </c>
      <c r="H478" s="2">
        <v>22</v>
      </c>
      <c r="I478" s="7">
        <v>138.44999999999999</v>
      </c>
      <c r="J478" s="2">
        <v>10</v>
      </c>
      <c r="K478" s="7">
        <v>2741.31</v>
      </c>
      <c r="L478" s="2" t="s">
        <v>31</v>
      </c>
      <c r="M478" s="2" t="s">
        <v>2364</v>
      </c>
    </row>
    <row r="479" spans="1:13" x14ac:dyDescent="0.3">
      <c r="A479" s="2" t="s">
        <v>1783</v>
      </c>
      <c r="B479" s="5">
        <v>46086</v>
      </c>
      <c r="C479" s="2" t="s">
        <v>1784</v>
      </c>
      <c r="D479" s="2" t="s">
        <v>24</v>
      </c>
      <c r="E479" s="2" t="s">
        <v>59</v>
      </c>
      <c r="F479" s="2" t="s">
        <v>52</v>
      </c>
      <c r="G479" s="2" t="s">
        <v>35</v>
      </c>
      <c r="H479" s="2">
        <v>19</v>
      </c>
      <c r="I479" s="7">
        <v>144.79</v>
      </c>
      <c r="J479" s="2">
        <v>0</v>
      </c>
      <c r="K479" s="7">
        <v>2751.01</v>
      </c>
      <c r="L479" s="2" t="s">
        <v>31</v>
      </c>
      <c r="M479" s="2" t="s">
        <v>2364</v>
      </c>
    </row>
    <row r="480" spans="1:13" x14ac:dyDescent="0.3">
      <c r="A480" s="2" t="s">
        <v>65</v>
      </c>
      <c r="B480" s="5">
        <v>45963</v>
      </c>
      <c r="C480" s="2" t="s">
        <v>66</v>
      </c>
      <c r="D480" s="2" t="s">
        <v>53</v>
      </c>
      <c r="E480" s="2" t="s">
        <v>67</v>
      </c>
      <c r="F480" s="2" t="s">
        <v>52</v>
      </c>
      <c r="G480" s="2" t="s">
        <v>35</v>
      </c>
      <c r="H480" s="2">
        <v>22</v>
      </c>
      <c r="I480" s="7">
        <v>160.16999999999999</v>
      </c>
      <c r="J480" s="2">
        <v>15</v>
      </c>
      <c r="K480" s="7">
        <v>2995.18</v>
      </c>
      <c r="L480" s="2" t="s">
        <v>69</v>
      </c>
      <c r="M480" s="2" t="s">
        <v>2365</v>
      </c>
    </row>
    <row r="481" spans="1:13" x14ac:dyDescent="0.3">
      <c r="A481" s="2" t="s">
        <v>921</v>
      </c>
      <c r="B481" s="5">
        <v>45808</v>
      </c>
      <c r="C481" s="2" t="s">
        <v>922</v>
      </c>
      <c r="D481" s="2" t="s">
        <v>16</v>
      </c>
      <c r="E481" s="2" t="s">
        <v>74</v>
      </c>
      <c r="F481" s="2" t="s">
        <v>52</v>
      </c>
      <c r="G481" s="2" t="s">
        <v>35</v>
      </c>
      <c r="H481" s="2">
        <v>12</v>
      </c>
      <c r="I481" s="7">
        <v>289.37</v>
      </c>
      <c r="J481" s="2">
        <v>10</v>
      </c>
      <c r="K481" s="7">
        <v>3125.2</v>
      </c>
      <c r="L481" s="2" t="s">
        <v>49</v>
      </c>
      <c r="M481" s="2" t="s">
        <v>2364</v>
      </c>
    </row>
    <row r="482" spans="1:13" x14ac:dyDescent="0.3">
      <c r="A482" s="2" t="s">
        <v>501</v>
      </c>
      <c r="B482" s="5">
        <v>45983</v>
      </c>
      <c r="C482" s="2" t="s">
        <v>502</v>
      </c>
      <c r="D482" s="2" t="s">
        <v>46</v>
      </c>
      <c r="E482" s="2" t="s">
        <v>78</v>
      </c>
      <c r="F482" s="2" t="s">
        <v>52</v>
      </c>
      <c r="G482" s="2" t="s">
        <v>35</v>
      </c>
      <c r="H482" s="2">
        <v>22</v>
      </c>
      <c r="I482" s="7">
        <v>172.23</v>
      </c>
      <c r="J482" s="2">
        <v>15</v>
      </c>
      <c r="K482" s="7">
        <v>3220.7</v>
      </c>
      <c r="L482" s="1" t="s">
        <v>2347</v>
      </c>
      <c r="M482" s="2" t="s">
        <v>2364</v>
      </c>
    </row>
    <row r="483" spans="1:13" x14ac:dyDescent="0.3">
      <c r="A483" s="2" t="s">
        <v>242</v>
      </c>
      <c r="B483" s="5">
        <v>45871</v>
      </c>
      <c r="C483" s="2" t="s">
        <v>243</v>
      </c>
      <c r="D483" s="2" t="s">
        <v>46</v>
      </c>
      <c r="E483" s="2" t="s">
        <v>244</v>
      </c>
      <c r="F483" s="2" t="s">
        <v>52</v>
      </c>
      <c r="G483" s="2" t="s">
        <v>35</v>
      </c>
      <c r="H483" s="2">
        <v>12</v>
      </c>
      <c r="I483" s="7">
        <v>298.70999999999998</v>
      </c>
      <c r="J483" s="2">
        <v>10</v>
      </c>
      <c r="K483" s="7">
        <v>3226.07</v>
      </c>
      <c r="L483" s="2" t="s">
        <v>49</v>
      </c>
      <c r="M483" s="2" t="s">
        <v>2364</v>
      </c>
    </row>
    <row r="484" spans="1:13" x14ac:dyDescent="0.3">
      <c r="A484" s="2" t="s">
        <v>1155</v>
      </c>
      <c r="B484" s="5">
        <v>46087</v>
      </c>
      <c r="C484" s="2" t="s">
        <v>1156</v>
      </c>
      <c r="D484" s="2" t="s">
        <v>24</v>
      </c>
      <c r="E484" s="2" t="s">
        <v>25</v>
      </c>
      <c r="F484" s="2" t="s">
        <v>52</v>
      </c>
      <c r="G484" s="2" t="s">
        <v>35</v>
      </c>
      <c r="H484" s="2">
        <v>15</v>
      </c>
      <c r="I484" s="7">
        <v>229.27</v>
      </c>
      <c r="J484" s="2">
        <v>0</v>
      </c>
      <c r="K484" s="7">
        <v>3439.05</v>
      </c>
      <c r="L484" s="2" t="s">
        <v>69</v>
      </c>
      <c r="M484" s="2" t="s">
        <v>2364</v>
      </c>
    </row>
    <row r="485" spans="1:13" x14ac:dyDescent="0.3">
      <c r="A485" s="2" t="s">
        <v>1390</v>
      </c>
      <c r="B485" s="5">
        <v>45811</v>
      </c>
      <c r="C485" s="2" t="s">
        <v>1391</v>
      </c>
      <c r="D485" s="2" t="s">
        <v>53</v>
      </c>
      <c r="E485" s="2" t="s">
        <v>141</v>
      </c>
      <c r="F485" s="2" t="s">
        <v>52</v>
      </c>
      <c r="G485" s="2" t="s">
        <v>35</v>
      </c>
      <c r="H485" s="2">
        <v>16</v>
      </c>
      <c r="I485" s="7">
        <v>216.47</v>
      </c>
      <c r="J485" s="2">
        <v>0</v>
      </c>
      <c r="K485" s="7">
        <v>3463.52</v>
      </c>
      <c r="L485" s="2" t="s">
        <v>49</v>
      </c>
      <c r="M485" s="2" t="s">
        <v>2364</v>
      </c>
    </row>
    <row r="486" spans="1:13" x14ac:dyDescent="0.3">
      <c r="A486" s="2" t="s">
        <v>2312</v>
      </c>
      <c r="B486" s="5">
        <v>45670</v>
      </c>
      <c r="C486" s="2" t="s">
        <v>1915</v>
      </c>
      <c r="D486" s="2" t="s">
        <v>46</v>
      </c>
      <c r="E486" s="2" t="s">
        <v>47</v>
      </c>
      <c r="F486" s="2" t="s">
        <v>52</v>
      </c>
      <c r="G486" s="2" t="s">
        <v>35</v>
      </c>
      <c r="H486" s="2">
        <v>28</v>
      </c>
      <c r="I486" s="7">
        <v>135.91</v>
      </c>
      <c r="J486" s="2">
        <v>5</v>
      </c>
      <c r="K486" s="7">
        <v>3615.21</v>
      </c>
      <c r="L486" s="2" t="s">
        <v>49</v>
      </c>
      <c r="M486" s="2" t="s">
        <v>2365</v>
      </c>
    </row>
    <row r="487" spans="1:13" x14ac:dyDescent="0.3">
      <c r="A487" s="2" t="s">
        <v>635</v>
      </c>
      <c r="B487" s="5">
        <v>46221</v>
      </c>
      <c r="C487" s="2" t="s">
        <v>636</v>
      </c>
      <c r="D487" s="2" t="s">
        <v>53</v>
      </c>
      <c r="E487" s="2" t="s">
        <v>67</v>
      </c>
      <c r="F487" s="2" t="s">
        <v>52</v>
      </c>
      <c r="G487" s="2" t="s">
        <v>35</v>
      </c>
      <c r="H487" s="2">
        <v>14</v>
      </c>
      <c r="I487" s="7">
        <v>329.22</v>
      </c>
      <c r="J487" s="2">
        <v>20</v>
      </c>
      <c r="K487" s="7">
        <v>3687.26</v>
      </c>
      <c r="L487" s="2" t="s">
        <v>49</v>
      </c>
      <c r="M487" s="2" t="s">
        <v>2364</v>
      </c>
    </row>
    <row r="488" spans="1:13" x14ac:dyDescent="0.3">
      <c r="A488" s="2" t="s">
        <v>2021</v>
      </c>
      <c r="B488" s="5">
        <v>45964</v>
      </c>
      <c r="C488" s="2" t="s">
        <v>2022</v>
      </c>
      <c r="D488" s="2" t="s">
        <v>53</v>
      </c>
      <c r="E488" s="2" t="s">
        <v>134</v>
      </c>
      <c r="F488" s="2" t="s">
        <v>52</v>
      </c>
      <c r="G488" s="2" t="s">
        <v>35</v>
      </c>
      <c r="H488" s="2">
        <v>14</v>
      </c>
      <c r="I488" s="7">
        <v>267.83</v>
      </c>
      <c r="J488" s="2">
        <v>0</v>
      </c>
      <c r="K488" s="7">
        <v>3749.62</v>
      </c>
      <c r="L488" s="2" t="s">
        <v>27</v>
      </c>
      <c r="M488" s="2" t="s">
        <v>2364</v>
      </c>
    </row>
    <row r="489" spans="1:13" x14ac:dyDescent="0.3">
      <c r="A489" s="2" t="s">
        <v>1311</v>
      </c>
      <c r="B489" s="5">
        <v>45777</v>
      </c>
      <c r="C489" s="2" t="s">
        <v>1312</v>
      </c>
      <c r="D489" s="2" t="s">
        <v>53</v>
      </c>
      <c r="E489" s="2" t="s">
        <v>67</v>
      </c>
      <c r="F489" s="2" t="s">
        <v>52</v>
      </c>
      <c r="G489" s="2" t="s">
        <v>35</v>
      </c>
      <c r="H489" s="2">
        <v>38</v>
      </c>
      <c r="I489" s="7">
        <v>109.79</v>
      </c>
      <c r="J489" s="2">
        <v>10</v>
      </c>
      <c r="K489" s="7">
        <v>3754.82</v>
      </c>
      <c r="L489" s="2" t="s">
        <v>49</v>
      </c>
      <c r="M489" s="2" t="s">
        <v>2364</v>
      </c>
    </row>
    <row r="490" spans="1:13" x14ac:dyDescent="0.3">
      <c r="A490" s="2" t="s">
        <v>2248</v>
      </c>
      <c r="B490" s="5">
        <v>45699</v>
      </c>
      <c r="C490" s="2" t="s">
        <v>549</v>
      </c>
      <c r="D490" s="2" t="s">
        <v>24</v>
      </c>
      <c r="E490" s="2" t="s">
        <v>25</v>
      </c>
      <c r="F490" s="2" t="s">
        <v>52</v>
      </c>
      <c r="G490" s="2" t="s">
        <v>35</v>
      </c>
      <c r="H490" s="2">
        <v>34</v>
      </c>
      <c r="I490" s="7">
        <v>111.61</v>
      </c>
      <c r="J490" s="2">
        <v>0</v>
      </c>
      <c r="K490" s="7">
        <v>3794.74</v>
      </c>
      <c r="L490" s="2" t="s">
        <v>49</v>
      </c>
      <c r="M490" s="2" t="s">
        <v>2365</v>
      </c>
    </row>
    <row r="491" spans="1:13" x14ac:dyDescent="0.3">
      <c r="A491" s="2" t="s">
        <v>1368</v>
      </c>
      <c r="B491" s="5">
        <v>46183</v>
      </c>
      <c r="C491" s="2" t="s">
        <v>1369</v>
      </c>
      <c r="D491" s="2" t="s">
        <v>16</v>
      </c>
      <c r="E491" s="2" t="s">
        <v>111</v>
      </c>
      <c r="F491" s="2" t="s">
        <v>52</v>
      </c>
      <c r="G491" s="2" t="s">
        <v>35</v>
      </c>
      <c r="H491" s="2">
        <v>33</v>
      </c>
      <c r="I491" s="7">
        <v>122.36</v>
      </c>
      <c r="J491" s="2">
        <v>5</v>
      </c>
      <c r="K491" s="7">
        <v>3835.99</v>
      </c>
      <c r="L491" s="2" t="s">
        <v>69</v>
      </c>
      <c r="M491" s="2" t="s">
        <v>2364</v>
      </c>
    </row>
    <row r="492" spans="1:13" x14ac:dyDescent="0.3">
      <c r="A492" s="2" t="s">
        <v>733</v>
      </c>
      <c r="B492" s="5">
        <v>46240</v>
      </c>
      <c r="C492" s="2" t="s">
        <v>137</v>
      </c>
      <c r="D492" s="2" t="s">
        <v>16</v>
      </c>
      <c r="E492" s="2" t="s">
        <v>111</v>
      </c>
      <c r="F492" s="2" t="s">
        <v>52</v>
      </c>
      <c r="G492" s="2" t="s">
        <v>35</v>
      </c>
      <c r="H492" s="2">
        <v>15</v>
      </c>
      <c r="I492" s="7">
        <v>294.58999999999997</v>
      </c>
      <c r="J492" s="2">
        <v>10</v>
      </c>
      <c r="K492" s="7">
        <v>3976.96</v>
      </c>
      <c r="L492" s="2" t="s">
        <v>69</v>
      </c>
      <c r="M492" s="2" t="s">
        <v>2365</v>
      </c>
    </row>
    <row r="493" spans="1:13" x14ac:dyDescent="0.3">
      <c r="A493" s="2" t="s">
        <v>529</v>
      </c>
      <c r="B493" s="5">
        <v>45795</v>
      </c>
      <c r="C493" s="2" t="s">
        <v>530</v>
      </c>
      <c r="D493" s="2" t="s">
        <v>53</v>
      </c>
      <c r="E493" s="2" t="s">
        <v>141</v>
      </c>
      <c r="F493" s="2" t="s">
        <v>52</v>
      </c>
      <c r="G493" s="2" t="s">
        <v>35</v>
      </c>
      <c r="H493" s="2">
        <v>12</v>
      </c>
      <c r="I493" s="7">
        <v>355.03</v>
      </c>
      <c r="J493" s="2">
        <v>5</v>
      </c>
      <c r="K493" s="7">
        <v>4047.34</v>
      </c>
      <c r="L493" s="2" t="s">
        <v>49</v>
      </c>
      <c r="M493" s="2" t="s">
        <v>2364</v>
      </c>
    </row>
    <row r="494" spans="1:13" x14ac:dyDescent="0.3">
      <c r="A494" s="2" t="s">
        <v>1950</v>
      </c>
      <c r="B494" s="5">
        <v>45814</v>
      </c>
      <c r="C494" s="2" t="s">
        <v>669</v>
      </c>
      <c r="D494" s="2" t="s">
        <v>46</v>
      </c>
      <c r="E494" s="2" t="s">
        <v>244</v>
      </c>
      <c r="F494" s="2" t="s">
        <v>52</v>
      </c>
      <c r="G494" s="2" t="s">
        <v>35</v>
      </c>
      <c r="H494" s="2">
        <v>34</v>
      </c>
      <c r="I494" s="7">
        <v>139.1</v>
      </c>
      <c r="J494" s="2">
        <v>10</v>
      </c>
      <c r="K494" s="7">
        <v>4256.46</v>
      </c>
      <c r="L494" s="2" t="s">
        <v>69</v>
      </c>
      <c r="M494" s="2" t="s">
        <v>2364</v>
      </c>
    </row>
    <row r="495" spans="1:13" x14ac:dyDescent="0.3">
      <c r="A495" s="2" t="s">
        <v>2120</v>
      </c>
      <c r="B495" s="5">
        <v>45588</v>
      </c>
      <c r="C495" s="2" t="s">
        <v>1070</v>
      </c>
      <c r="D495" s="2" t="s">
        <v>16</v>
      </c>
      <c r="E495" s="2" t="s">
        <v>74</v>
      </c>
      <c r="F495" s="2" t="s">
        <v>52</v>
      </c>
      <c r="G495" s="2" t="s">
        <v>35</v>
      </c>
      <c r="H495" s="2">
        <v>16</v>
      </c>
      <c r="I495" s="7">
        <v>318.41000000000003</v>
      </c>
      <c r="J495" s="2">
        <v>15</v>
      </c>
      <c r="K495" s="7">
        <v>4330.38</v>
      </c>
      <c r="L495" s="2" t="s">
        <v>31</v>
      </c>
      <c r="M495" s="2" t="s">
        <v>2365</v>
      </c>
    </row>
    <row r="496" spans="1:13" x14ac:dyDescent="0.3">
      <c r="A496" s="2" t="s">
        <v>1127</v>
      </c>
      <c r="B496" s="5">
        <v>46023</v>
      </c>
      <c r="C496" s="2" t="s">
        <v>233</v>
      </c>
      <c r="D496" s="2" t="s">
        <v>16</v>
      </c>
      <c r="E496" s="2" t="s">
        <v>74</v>
      </c>
      <c r="F496" s="2" t="s">
        <v>52</v>
      </c>
      <c r="G496" s="2" t="s">
        <v>35</v>
      </c>
      <c r="H496" s="2">
        <v>42</v>
      </c>
      <c r="I496" s="7">
        <v>108.45</v>
      </c>
      <c r="J496" s="2">
        <v>0</v>
      </c>
      <c r="K496" s="7">
        <v>4554.8999999999996</v>
      </c>
      <c r="L496" s="2" t="s">
        <v>49</v>
      </c>
      <c r="M496" s="2" t="s">
        <v>2364</v>
      </c>
    </row>
    <row r="497" spans="1:13" x14ac:dyDescent="0.3">
      <c r="A497" s="2" t="s">
        <v>2330</v>
      </c>
      <c r="B497" s="5">
        <v>46252</v>
      </c>
      <c r="C497" s="2" t="s">
        <v>385</v>
      </c>
      <c r="D497" s="2" t="s">
        <v>53</v>
      </c>
      <c r="E497" s="2" t="s">
        <v>67</v>
      </c>
      <c r="F497" s="2" t="s">
        <v>52</v>
      </c>
      <c r="G497" s="2" t="s">
        <v>35</v>
      </c>
      <c r="H497" s="2">
        <v>29</v>
      </c>
      <c r="I497" s="7">
        <v>166.43</v>
      </c>
      <c r="J497" s="2">
        <v>5</v>
      </c>
      <c r="K497" s="7">
        <v>4585.1499999999996</v>
      </c>
      <c r="L497" s="1" t="s">
        <v>2347</v>
      </c>
      <c r="M497" s="2" t="s">
        <v>2364</v>
      </c>
    </row>
    <row r="498" spans="1:13" x14ac:dyDescent="0.3">
      <c r="A498" s="2" t="s">
        <v>1417</v>
      </c>
      <c r="B498" s="5">
        <v>45772</v>
      </c>
      <c r="C498" s="2" t="s">
        <v>238</v>
      </c>
      <c r="D498" s="2" t="s">
        <v>24</v>
      </c>
      <c r="E498" s="2" t="s">
        <v>104</v>
      </c>
      <c r="F498" s="2" t="s">
        <v>52</v>
      </c>
      <c r="G498" s="2" t="s">
        <v>35</v>
      </c>
      <c r="H498" s="2">
        <v>28</v>
      </c>
      <c r="I498" s="7">
        <v>210.32</v>
      </c>
      <c r="J498" s="2">
        <v>20</v>
      </c>
      <c r="K498" s="7">
        <v>4711.17</v>
      </c>
      <c r="L498" s="2" t="s">
        <v>49</v>
      </c>
      <c r="M498" s="2" t="s">
        <v>2364</v>
      </c>
    </row>
    <row r="499" spans="1:13" x14ac:dyDescent="0.3">
      <c r="A499" s="2" t="s">
        <v>109</v>
      </c>
      <c r="B499" s="5">
        <v>45720</v>
      </c>
      <c r="C499" s="2" t="s">
        <v>110</v>
      </c>
      <c r="D499" s="2" t="s">
        <v>16</v>
      </c>
      <c r="E499" s="2" t="s">
        <v>111</v>
      </c>
      <c r="F499" s="2" t="s">
        <v>52</v>
      </c>
      <c r="G499" s="2" t="s">
        <v>35</v>
      </c>
      <c r="H499" s="2">
        <v>20</v>
      </c>
      <c r="I499" s="7">
        <v>238.17</v>
      </c>
      <c r="J499" s="2">
        <v>0</v>
      </c>
      <c r="K499" s="7">
        <v>4763.3999999999996</v>
      </c>
      <c r="L499" s="2" t="s">
        <v>69</v>
      </c>
      <c r="M499" s="2" t="s">
        <v>2364</v>
      </c>
    </row>
    <row r="500" spans="1:13" x14ac:dyDescent="0.3">
      <c r="A500" s="2" t="s">
        <v>1110</v>
      </c>
      <c r="B500" s="5">
        <v>45945</v>
      </c>
      <c r="C500" s="2" t="s">
        <v>1111</v>
      </c>
      <c r="D500" s="2" t="s">
        <v>24</v>
      </c>
      <c r="E500" s="2" t="s">
        <v>25</v>
      </c>
      <c r="F500" s="2" t="s">
        <v>52</v>
      </c>
      <c r="G500" s="2" t="s">
        <v>35</v>
      </c>
      <c r="H500" s="2">
        <v>22</v>
      </c>
      <c r="I500" s="7">
        <v>272.37</v>
      </c>
      <c r="J500" s="2">
        <v>20</v>
      </c>
      <c r="K500" s="7">
        <v>4793.71</v>
      </c>
      <c r="L500" s="2" t="s">
        <v>31</v>
      </c>
      <c r="M500" s="2" t="s">
        <v>2364</v>
      </c>
    </row>
    <row r="501" spans="1:13" x14ac:dyDescent="0.3">
      <c r="A501" s="2" t="s">
        <v>1503</v>
      </c>
      <c r="B501" s="5">
        <v>45644</v>
      </c>
      <c r="C501" s="2" t="s">
        <v>1504</v>
      </c>
      <c r="D501" s="2" t="s">
        <v>24</v>
      </c>
      <c r="E501" s="2" t="s">
        <v>36</v>
      </c>
      <c r="F501" s="2" t="s">
        <v>52</v>
      </c>
      <c r="G501" s="2" t="s">
        <v>35</v>
      </c>
      <c r="H501" s="2">
        <v>34</v>
      </c>
      <c r="I501" s="7">
        <v>142.13999999999999</v>
      </c>
      <c r="J501" s="2">
        <v>0</v>
      </c>
      <c r="K501" s="7">
        <v>4832.76</v>
      </c>
      <c r="L501" s="2" t="s">
        <v>27</v>
      </c>
      <c r="M501" s="2" t="s">
        <v>2365</v>
      </c>
    </row>
    <row r="502" spans="1:13" x14ac:dyDescent="0.3">
      <c r="A502" s="2" t="s">
        <v>2297</v>
      </c>
      <c r="B502" s="5">
        <v>46065</v>
      </c>
      <c r="C502" s="2" t="s">
        <v>2298</v>
      </c>
      <c r="D502" s="2" t="s">
        <v>53</v>
      </c>
      <c r="E502" s="2" t="s">
        <v>134</v>
      </c>
      <c r="F502" s="2" t="s">
        <v>52</v>
      </c>
      <c r="G502" s="2" t="s">
        <v>35</v>
      </c>
      <c r="H502" s="2">
        <v>41</v>
      </c>
      <c r="I502" s="7">
        <v>119.25</v>
      </c>
      <c r="J502" s="2">
        <v>0</v>
      </c>
      <c r="K502" s="7">
        <v>4889.25</v>
      </c>
      <c r="L502" s="2" t="s">
        <v>49</v>
      </c>
      <c r="M502" s="2" t="s">
        <v>2365</v>
      </c>
    </row>
    <row r="503" spans="1:13" x14ac:dyDescent="0.3">
      <c r="A503" s="2" t="s">
        <v>2088</v>
      </c>
      <c r="B503" s="5">
        <v>45981</v>
      </c>
      <c r="C503" s="2" t="s">
        <v>2089</v>
      </c>
      <c r="D503" s="2" t="s">
        <v>16</v>
      </c>
      <c r="E503" s="2" t="s">
        <v>160</v>
      </c>
      <c r="F503" s="2" t="s">
        <v>52</v>
      </c>
      <c r="G503" s="2" t="s">
        <v>35</v>
      </c>
      <c r="H503" s="2">
        <v>45</v>
      </c>
      <c r="I503" s="7">
        <v>115.06</v>
      </c>
      <c r="J503" s="2">
        <v>0</v>
      </c>
      <c r="K503" s="7">
        <v>5177.7</v>
      </c>
      <c r="L503" s="2" t="s">
        <v>69</v>
      </c>
      <c r="M503" s="2" t="s">
        <v>2364</v>
      </c>
    </row>
    <row r="504" spans="1:13" x14ac:dyDescent="0.3">
      <c r="A504" s="2" t="s">
        <v>2164</v>
      </c>
      <c r="B504" s="5">
        <v>46212</v>
      </c>
      <c r="C504" s="2" t="s">
        <v>2165</v>
      </c>
      <c r="D504" s="2" t="s">
        <v>53</v>
      </c>
      <c r="E504" s="2" t="s">
        <v>170</v>
      </c>
      <c r="F504" s="2" t="s">
        <v>52</v>
      </c>
      <c r="G504" s="2" t="s">
        <v>35</v>
      </c>
      <c r="H504" s="2">
        <v>47</v>
      </c>
      <c r="I504" s="7">
        <v>123.31</v>
      </c>
      <c r="J504" s="2">
        <v>10</v>
      </c>
      <c r="K504" s="7">
        <v>5216.01</v>
      </c>
      <c r="L504" s="2" t="s">
        <v>31</v>
      </c>
      <c r="M504" s="2" t="s">
        <v>2365</v>
      </c>
    </row>
    <row r="505" spans="1:13" x14ac:dyDescent="0.3">
      <c r="A505" s="2" t="s">
        <v>1339</v>
      </c>
      <c r="B505" s="5">
        <v>45622</v>
      </c>
      <c r="C505" s="2" t="s">
        <v>1340</v>
      </c>
      <c r="D505" s="2" t="s">
        <v>24</v>
      </c>
      <c r="E505" s="2" t="s">
        <v>36</v>
      </c>
      <c r="F505" s="2" t="s">
        <v>52</v>
      </c>
      <c r="G505" s="2" t="s">
        <v>35</v>
      </c>
      <c r="H505" s="2">
        <v>35</v>
      </c>
      <c r="I505" s="7">
        <v>156.97999999999999</v>
      </c>
      <c r="J505" s="2">
        <v>5</v>
      </c>
      <c r="K505" s="7">
        <v>5219.58</v>
      </c>
      <c r="L505" s="2" t="s">
        <v>27</v>
      </c>
      <c r="M505" s="2" t="s">
        <v>2365</v>
      </c>
    </row>
    <row r="506" spans="1:13" x14ac:dyDescent="0.3">
      <c r="A506" s="2" t="s">
        <v>2063</v>
      </c>
      <c r="B506" s="5">
        <v>45943</v>
      </c>
      <c r="C506" s="2" t="s">
        <v>2064</v>
      </c>
      <c r="D506" s="2" t="s">
        <v>46</v>
      </c>
      <c r="E506" s="2" t="s">
        <v>47</v>
      </c>
      <c r="F506" s="2" t="s">
        <v>52</v>
      </c>
      <c r="G506" s="2" t="s">
        <v>35</v>
      </c>
      <c r="H506" s="2">
        <v>22</v>
      </c>
      <c r="I506" s="7">
        <v>264.98</v>
      </c>
      <c r="J506" s="2">
        <v>10</v>
      </c>
      <c r="K506" s="7">
        <v>5246.6</v>
      </c>
      <c r="L506" s="2" t="s">
        <v>31</v>
      </c>
      <c r="M506" s="2" t="s">
        <v>2364</v>
      </c>
    </row>
    <row r="507" spans="1:13" x14ac:dyDescent="0.3">
      <c r="A507" s="2" t="s">
        <v>2086</v>
      </c>
      <c r="B507" s="5">
        <v>45761</v>
      </c>
      <c r="C507" s="2" t="s">
        <v>2087</v>
      </c>
      <c r="D507" s="2" t="s">
        <v>46</v>
      </c>
      <c r="E507" s="2" t="s">
        <v>244</v>
      </c>
      <c r="F507" s="2" t="s">
        <v>52</v>
      </c>
      <c r="G507" s="2" t="s">
        <v>35</v>
      </c>
      <c r="H507" s="2">
        <v>18</v>
      </c>
      <c r="I507" s="7">
        <v>313.83999999999997</v>
      </c>
      <c r="J507" s="2">
        <v>5</v>
      </c>
      <c r="K507" s="7">
        <v>5366.66</v>
      </c>
      <c r="L507" s="2" t="s">
        <v>69</v>
      </c>
      <c r="M507" s="2" t="s">
        <v>2364</v>
      </c>
    </row>
    <row r="508" spans="1:13" x14ac:dyDescent="0.3">
      <c r="A508" s="2" t="s">
        <v>840</v>
      </c>
      <c r="B508" s="5">
        <v>45652</v>
      </c>
      <c r="C508" s="2" t="s">
        <v>841</v>
      </c>
      <c r="D508" s="2" t="s">
        <v>16</v>
      </c>
      <c r="E508" s="2" t="s">
        <v>160</v>
      </c>
      <c r="F508" s="2" t="s">
        <v>52</v>
      </c>
      <c r="G508" s="2" t="s">
        <v>35</v>
      </c>
      <c r="H508" s="2">
        <v>24</v>
      </c>
      <c r="I508" s="7">
        <v>230.19</v>
      </c>
      <c r="J508" s="2">
        <v>0</v>
      </c>
      <c r="K508" s="7">
        <v>5524.56</v>
      </c>
      <c r="L508" s="2" t="s">
        <v>69</v>
      </c>
      <c r="M508" s="2" t="s">
        <v>2364</v>
      </c>
    </row>
    <row r="509" spans="1:13" x14ac:dyDescent="0.3">
      <c r="A509" s="2" t="s">
        <v>632</v>
      </c>
      <c r="B509" s="5">
        <v>45740</v>
      </c>
      <c r="C509" s="2" t="s">
        <v>511</v>
      </c>
      <c r="D509" s="2" t="s">
        <v>16</v>
      </c>
      <c r="E509" s="2" t="s">
        <v>91</v>
      </c>
      <c r="F509" s="2" t="s">
        <v>52</v>
      </c>
      <c r="G509" s="2" t="s">
        <v>35</v>
      </c>
      <c r="H509" s="2">
        <v>24</v>
      </c>
      <c r="I509" s="7">
        <v>257.92</v>
      </c>
      <c r="J509" s="2">
        <v>10</v>
      </c>
      <c r="K509" s="7">
        <v>5571.07</v>
      </c>
      <c r="L509" s="1" t="s">
        <v>2347</v>
      </c>
      <c r="M509" s="2" t="s">
        <v>2365</v>
      </c>
    </row>
    <row r="510" spans="1:13" x14ac:dyDescent="0.3">
      <c r="A510" s="2" t="s">
        <v>1043</v>
      </c>
      <c r="B510" s="5">
        <v>45828</v>
      </c>
      <c r="C510" s="2" t="s">
        <v>1044</v>
      </c>
      <c r="D510" s="2" t="s">
        <v>16</v>
      </c>
      <c r="E510" s="2" t="s">
        <v>74</v>
      </c>
      <c r="F510" s="2" t="s">
        <v>52</v>
      </c>
      <c r="G510" s="2" t="s">
        <v>35</v>
      </c>
      <c r="H510" s="2">
        <v>46</v>
      </c>
      <c r="I510" s="7">
        <v>149.63999999999999</v>
      </c>
      <c r="J510" s="2">
        <v>15</v>
      </c>
      <c r="K510" s="7">
        <v>5850.92</v>
      </c>
      <c r="L510" s="2" t="s">
        <v>31</v>
      </c>
      <c r="M510" s="2" t="s">
        <v>2364</v>
      </c>
    </row>
    <row r="511" spans="1:13" x14ac:dyDescent="0.3">
      <c r="A511" s="2" t="s">
        <v>1433</v>
      </c>
      <c r="B511" s="5">
        <v>45619</v>
      </c>
      <c r="C511" s="2" t="s">
        <v>1434</v>
      </c>
      <c r="D511" s="2" t="s">
        <v>53</v>
      </c>
      <c r="E511" s="2" t="s">
        <v>134</v>
      </c>
      <c r="F511" s="2" t="s">
        <v>52</v>
      </c>
      <c r="G511" s="2" t="s">
        <v>35</v>
      </c>
      <c r="H511" s="2">
        <v>24</v>
      </c>
      <c r="I511" s="7">
        <v>296.8</v>
      </c>
      <c r="J511" s="2">
        <v>15</v>
      </c>
      <c r="K511" s="7">
        <v>6054.72</v>
      </c>
      <c r="L511" s="2" t="s">
        <v>31</v>
      </c>
      <c r="M511" s="2" t="s">
        <v>2364</v>
      </c>
    </row>
    <row r="512" spans="1:13" x14ac:dyDescent="0.3">
      <c r="A512" s="2" t="s">
        <v>934</v>
      </c>
      <c r="B512" s="5">
        <v>46020</v>
      </c>
      <c r="C512" s="2" t="s">
        <v>935</v>
      </c>
      <c r="D512" s="2" t="s">
        <v>53</v>
      </c>
      <c r="E512" s="2" t="s">
        <v>141</v>
      </c>
      <c r="F512" s="2" t="s">
        <v>52</v>
      </c>
      <c r="G512" s="2" t="s">
        <v>35</v>
      </c>
      <c r="H512" s="2">
        <v>30</v>
      </c>
      <c r="I512" s="7">
        <v>203.5</v>
      </c>
      <c r="J512" s="2">
        <v>0</v>
      </c>
      <c r="K512" s="7">
        <v>6105</v>
      </c>
      <c r="L512" s="2" t="s">
        <v>49</v>
      </c>
      <c r="M512" s="2" t="s">
        <v>2365</v>
      </c>
    </row>
    <row r="513" spans="1:13" x14ac:dyDescent="0.3">
      <c r="A513" s="2" t="s">
        <v>867</v>
      </c>
      <c r="B513" s="5">
        <v>46097</v>
      </c>
      <c r="C513" s="2" t="s">
        <v>868</v>
      </c>
      <c r="D513" s="2" t="s">
        <v>16</v>
      </c>
      <c r="E513" s="2" t="s">
        <v>160</v>
      </c>
      <c r="F513" s="2" t="s">
        <v>52</v>
      </c>
      <c r="G513" s="2" t="s">
        <v>35</v>
      </c>
      <c r="H513" s="2">
        <v>45</v>
      </c>
      <c r="I513" s="7">
        <v>137.80000000000001</v>
      </c>
      <c r="J513" s="2">
        <v>0</v>
      </c>
      <c r="K513" s="7">
        <v>6201</v>
      </c>
      <c r="L513" s="2" t="s">
        <v>49</v>
      </c>
      <c r="M513" s="2" t="s">
        <v>2364</v>
      </c>
    </row>
    <row r="514" spans="1:13" x14ac:dyDescent="0.3">
      <c r="A514" s="2" t="s">
        <v>985</v>
      </c>
      <c r="B514" s="5">
        <v>45619</v>
      </c>
      <c r="C514" s="2" t="s">
        <v>291</v>
      </c>
      <c r="D514" s="2" t="s">
        <v>24</v>
      </c>
      <c r="E514" s="2" t="s">
        <v>25</v>
      </c>
      <c r="F514" s="2" t="s">
        <v>52</v>
      </c>
      <c r="G514" s="2" t="s">
        <v>35</v>
      </c>
      <c r="H514" s="2">
        <v>44</v>
      </c>
      <c r="I514" s="7">
        <v>153.82</v>
      </c>
      <c r="J514" s="2">
        <v>5</v>
      </c>
      <c r="K514" s="7">
        <v>6429.68</v>
      </c>
      <c r="L514" s="2" t="s">
        <v>49</v>
      </c>
      <c r="M514" s="2" t="s">
        <v>2364</v>
      </c>
    </row>
    <row r="515" spans="1:13" x14ac:dyDescent="0.3">
      <c r="A515" s="2" t="s">
        <v>1459</v>
      </c>
      <c r="B515" s="5">
        <v>45917</v>
      </c>
      <c r="C515" s="2" t="s">
        <v>1420</v>
      </c>
      <c r="D515" s="2" t="s">
        <v>46</v>
      </c>
      <c r="E515" s="2" t="s">
        <v>78</v>
      </c>
      <c r="F515" s="2" t="s">
        <v>52</v>
      </c>
      <c r="G515" s="2" t="s">
        <v>35</v>
      </c>
      <c r="H515" s="2">
        <v>19</v>
      </c>
      <c r="I515" s="7">
        <v>372.87</v>
      </c>
      <c r="J515" s="2">
        <v>0</v>
      </c>
      <c r="K515" s="7">
        <v>7084.53</v>
      </c>
      <c r="L515" s="1" t="s">
        <v>2347</v>
      </c>
      <c r="M515" s="2" t="s">
        <v>2364</v>
      </c>
    </row>
    <row r="516" spans="1:13" x14ac:dyDescent="0.3">
      <c r="A516" s="2" t="s">
        <v>2209</v>
      </c>
      <c r="B516" s="5">
        <v>46294</v>
      </c>
      <c r="C516" s="2" t="s">
        <v>795</v>
      </c>
      <c r="D516" s="2" t="s">
        <v>53</v>
      </c>
      <c r="E516" s="2" t="s">
        <v>134</v>
      </c>
      <c r="F516" s="2" t="s">
        <v>52</v>
      </c>
      <c r="G516" s="2" t="s">
        <v>35</v>
      </c>
      <c r="H516" s="2">
        <v>38</v>
      </c>
      <c r="I516" s="7">
        <v>187.2</v>
      </c>
      <c r="J516" s="2">
        <v>0</v>
      </c>
      <c r="K516" s="7">
        <v>7113.6</v>
      </c>
      <c r="L516" s="2" t="s">
        <v>69</v>
      </c>
      <c r="M516" s="2" t="s">
        <v>2364</v>
      </c>
    </row>
    <row r="517" spans="1:13" x14ac:dyDescent="0.3">
      <c r="A517" s="2" t="s">
        <v>2016</v>
      </c>
      <c r="B517" s="5">
        <v>45662</v>
      </c>
      <c r="C517" s="2" t="s">
        <v>1257</v>
      </c>
      <c r="D517" s="2" t="s">
        <v>53</v>
      </c>
      <c r="E517" s="2" t="s">
        <v>54</v>
      </c>
      <c r="F517" s="2" t="s">
        <v>52</v>
      </c>
      <c r="G517" s="2" t="s">
        <v>35</v>
      </c>
      <c r="H517" s="2">
        <v>32</v>
      </c>
      <c r="I517" s="7">
        <v>272.98</v>
      </c>
      <c r="J517" s="2">
        <v>10</v>
      </c>
      <c r="K517" s="7">
        <v>7861.82</v>
      </c>
      <c r="L517" s="2" t="s">
        <v>69</v>
      </c>
      <c r="M517" s="2" t="s">
        <v>2364</v>
      </c>
    </row>
    <row r="518" spans="1:13" x14ac:dyDescent="0.3">
      <c r="A518" s="2" t="s">
        <v>1518</v>
      </c>
      <c r="B518" s="5">
        <v>45828</v>
      </c>
      <c r="C518" s="2" t="s">
        <v>1519</v>
      </c>
      <c r="D518" s="2" t="s">
        <v>24</v>
      </c>
      <c r="E518" s="2" t="s">
        <v>25</v>
      </c>
      <c r="F518" s="2" t="s">
        <v>52</v>
      </c>
      <c r="G518" s="2" t="s">
        <v>35</v>
      </c>
      <c r="H518" s="2">
        <v>41</v>
      </c>
      <c r="I518" s="7">
        <v>212.4</v>
      </c>
      <c r="J518" s="2">
        <v>5</v>
      </c>
      <c r="K518" s="7">
        <v>8272.98</v>
      </c>
      <c r="L518" s="2" t="s">
        <v>69</v>
      </c>
      <c r="M518" s="2" t="s">
        <v>2364</v>
      </c>
    </row>
    <row r="519" spans="1:13" x14ac:dyDescent="0.3">
      <c r="A519" s="2" t="s">
        <v>1025</v>
      </c>
      <c r="B519" s="5">
        <v>45894</v>
      </c>
      <c r="C519" s="2" t="s">
        <v>1026</v>
      </c>
      <c r="D519" s="2" t="s">
        <v>24</v>
      </c>
      <c r="E519" s="2" t="s">
        <v>36</v>
      </c>
      <c r="F519" s="2" t="s">
        <v>52</v>
      </c>
      <c r="G519" s="2" t="s">
        <v>35</v>
      </c>
      <c r="H519" s="2">
        <v>40</v>
      </c>
      <c r="I519" s="7">
        <v>218.18</v>
      </c>
      <c r="J519" s="2">
        <v>5</v>
      </c>
      <c r="K519" s="7">
        <v>8290.84</v>
      </c>
      <c r="L519" s="2" t="s">
        <v>27</v>
      </c>
      <c r="M519" s="2" t="s">
        <v>2365</v>
      </c>
    </row>
    <row r="520" spans="1:13" x14ac:dyDescent="0.3">
      <c r="A520" s="2" t="s">
        <v>2181</v>
      </c>
      <c r="B520" s="5">
        <v>45923</v>
      </c>
      <c r="C520" s="2" t="s">
        <v>339</v>
      </c>
      <c r="D520" s="2" t="s">
        <v>16</v>
      </c>
      <c r="E520" s="2" t="s">
        <v>74</v>
      </c>
      <c r="F520" s="2" t="s">
        <v>52</v>
      </c>
      <c r="G520" s="2" t="s">
        <v>35</v>
      </c>
      <c r="H520" s="2">
        <v>22</v>
      </c>
      <c r="I520" s="7">
        <v>383.53</v>
      </c>
      <c r="J520" s="2">
        <v>0</v>
      </c>
      <c r="K520" s="7">
        <v>8437.66</v>
      </c>
      <c r="L520" s="2" t="s">
        <v>31</v>
      </c>
      <c r="M520" s="2" t="s">
        <v>2364</v>
      </c>
    </row>
    <row r="521" spans="1:13" x14ac:dyDescent="0.3">
      <c r="A521" s="2" t="s">
        <v>1500</v>
      </c>
      <c r="B521" s="5">
        <v>45839</v>
      </c>
      <c r="C521" s="2" t="s">
        <v>1501</v>
      </c>
      <c r="D521" s="2" t="s">
        <v>46</v>
      </c>
      <c r="E521" s="2" t="s">
        <v>78</v>
      </c>
      <c r="F521" s="2" t="s">
        <v>52</v>
      </c>
      <c r="G521" s="2" t="s">
        <v>35</v>
      </c>
      <c r="H521" s="2">
        <v>25</v>
      </c>
      <c r="I521" s="7">
        <v>386.81</v>
      </c>
      <c r="J521" s="2">
        <v>10</v>
      </c>
      <c r="K521" s="7">
        <v>8703.23</v>
      </c>
      <c r="L521" s="2" t="s">
        <v>49</v>
      </c>
      <c r="M521" s="2" t="s">
        <v>2365</v>
      </c>
    </row>
    <row r="522" spans="1:13" x14ac:dyDescent="0.3">
      <c r="A522" s="2" t="s">
        <v>1176</v>
      </c>
      <c r="B522" s="5">
        <v>46080</v>
      </c>
      <c r="C522" s="2" t="s">
        <v>1177</v>
      </c>
      <c r="D522" s="2" t="s">
        <v>46</v>
      </c>
      <c r="E522" s="2" t="s">
        <v>83</v>
      </c>
      <c r="F522" s="2" t="s">
        <v>52</v>
      </c>
      <c r="G522" s="2" t="s">
        <v>35</v>
      </c>
      <c r="H522" s="2">
        <v>43</v>
      </c>
      <c r="I522" s="7">
        <v>255.52</v>
      </c>
      <c r="J522" s="2">
        <v>20</v>
      </c>
      <c r="K522" s="7">
        <v>8789.89</v>
      </c>
      <c r="L522" s="2" t="s">
        <v>49</v>
      </c>
      <c r="M522" s="2" t="s">
        <v>2364</v>
      </c>
    </row>
    <row r="523" spans="1:13" x14ac:dyDescent="0.3">
      <c r="A523" s="2" t="s">
        <v>1656</v>
      </c>
      <c r="B523" s="5">
        <v>46174</v>
      </c>
      <c r="C523" s="2" t="s">
        <v>1657</v>
      </c>
      <c r="D523" s="2" t="s">
        <v>46</v>
      </c>
      <c r="E523" s="2" t="s">
        <v>244</v>
      </c>
      <c r="F523" s="2" t="s">
        <v>52</v>
      </c>
      <c r="G523" s="2" t="s">
        <v>35</v>
      </c>
      <c r="H523" s="2">
        <v>42</v>
      </c>
      <c r="I523" s="7">
        <v>270.57</v>
      </c>
      <c r="J523" s="2">
        <v>20</v>
      </c>
      <c r="K523" s="7">
        <v>9091.15</v>
      </c>
      <c r="L523" s="2" t="s">
        <v>31</v>
      </c>
      <c r="M523" s="2" t="s">
        <v>2364</v>
      </c>
    </row>
    <row r="524" spans="1:13" x14ac:dyDescent="0.3">
      <c r="A524" s="2" t="s">
        <v>861</v>
      </c>
      <c r="B524" s="5">
        <v>46190</v>
      </c>
      <c r="C524" s="2" t="s">
        <v>862</v>
      </c>
      <c r="D524" s="2" t="s">
        <v>46</v>
      </c>
      <c r="E524" s="2" t="s">
        <v>78</v>
      </c>
      <c r="F524" s="2" t="s">
        <v>52</v>
      </c>
      <c r="G524" s="2" t="s">
        <v>35</v>
      </c>
      <c r="H524" s="2">
        <v>34</v>
      </c>
      <c r="I524" s="7">
        <v>271.64</v>
      </c>
      <c r="J524" s="2">
        <v>0</v>
      </c>
      <c r="K524" s="7">
        <v>9235.76</v>
      </c>
      <c r="L524" s="2" t="s">
        <v>69</v>
      </c>
      <c r="M524" s="2" t="s">
        <v>2365</v>
      </c>
    </row>
    <row r="525" spans="1:13" x14ac:dyDescent="0.3">
      <c r="A525" s="2" t="s">
        <v>1568</v>
      </c>
      <c r="B525" s="5">
        <v>46098</v>
      </c>
      <c r="C525" s="2" t="s">
        <v>1569</v>
      </c>
      <c r="D525" s="2" t="s">
        <v>16</v>
      </c>
      <c r="E525" s="2" t="s">
        <v>91</v>
      </c>
      <c r="F525" s="2" t="s">
        <v>52</v>
      </c>
      <c r="G525" s="2" t="s">
        <v>35</v>
      </c>
      <c r="H525" s="2">
        <v>43</v>
      </c>
      <c r="I525" s="7">
        <v>228.04</v>
      </c>
      <c r="J525" s="2">
        <v>5</v>
      </c>
      <c r="K525" s="7">
        <v>9315.43</v>
      </c>
      <c r="L525" s="2" t="s">
        <v>49</v>
      </c>
      <c r="M525" s="2" t="s">
        <v>2364</v>
      </c>
    </row>
    <row r="526" spans="1:13" x14ac:dyDescent="0.3">
      <c r="A526" s="2" t="s">
        <v>753</v>
      </c>
      <c r="B526" s="5">
        <v>45938</v>
      </c>
      <c r="C526" s="2" t="s">
        <v>754</v>
      </c>
      <c r="D526" s="2" t="s">
        <v>53</v>
      </c>
      <c r="E526" s="2" t="s">
        <v>170</v>
      </c>
      <c r="F526" s="2" t="s">
        <v>52</v>
      </c>
      <c r="G526" s="2" t="s">
        <v>35</v>
      </c>
      <c r="H526" s="2">
        <v>32</v>
      </c>
      <c r="I526" s="7">
        <v>293.62</v>
      </c>
      <c r="J526" s="2">
        <v>0</v>
      </c>
      <c r="K526" s="7">
        <v>9395.84</v>
      </c>
      <c r="L526" s="2" t="s">
        <v>49</v>
      </c>
      <c r="M526" s="2" t="s">
        <v>2364</v>
      </c>
    </row>
    <row r="527" spans="1:13" x14ac:dyDescent="0.3">
      <c r="A527" s="2" t="s">
        <v>1014</v>
      </c>
      <c r="B527" s="5">
        <v>45866</v>
      </c>
      <c r="C527" s="2" t="s">
        <v>1015</v>
      </c>
      <c r="D527" s="2" t="s">
        <v>16</v>
      </c>
      <c r="E527" s="2" t="s">
        <v>111</v>
      </c>
      <c r="F527" s="2" t="s">
        <v>52</v>
      </c>
      <c r="G527" s="2" t="s">
        <v>35</v>
      </c>
      <c r="H527" s="2">
        <v>26</v>
      </c>
      <c r="I527" s="7">
        <v>375.46</v>
      </c>
      <c r="J527" s="2">
        <v>0</v>
      </c>
      <c r="K527" s="7">
        <v>9761.9599999999991</v>
      </c>
      <c r="L527" s="2" t="s">
        <v>27</v>
      </c>
      <c r="M527" s="2" t="s">
        <v>2365</v>
      </c>
    </row>
    <row r="528" spans="1:13" x14ac:dyDescent="0.3">
      <c r="A528" s="2" t="s">
        <v>136</v>
      </c>
      <c r="B528" s="5">
        <v>45745</v>
      </c>
      <c r="C528" s="2" t="s">
        <v>137</v>
      </c>
      <c r="D528" s="2" t="s">
        <v>46</v>
      </c>
      <c r="E528" s="2" t="s">
        <v>124</v>
      </c>
      <c r="F528" s="2" t="s">
        <v>52</v>
      </c>
      <c r="G528" s="2" t="s">
        <v>35</v>
      </c>
      <c r="H528" s="2">
        <v>39</v>
      </c>
      <c r="I528" s="7">
        <v>290.32</v>
      </c>
      <c r="J528" s="2">
        <v>10</v>
      </c>
      <c r="K528" s="7">
        <v>10190.23</v>
      </c>
      <c r="L528" s="1" t="s">
        <v>2347</v>
      </c>
      <c r="M528" s="2" t="s">
        <v>2364</v>
      </c>
    </row>
    <row r="529" spans="1:13" x14ac:dyDescent="0.3">
      <c r="A529" s="2" t="s">
        <v>1629</v>
      </c>
      <c r="B529" s="5">
        <v>46246</v>
      </c>
      <c r="C529" s="2" t="s">
        <v>1630</v>
      </c>
      <c r="D529" s="2" t="s">
        <v>46</v>
      </c>
      <c r="E529" s="2" t="s">
        <v>83</v>
      </c>
      <c r="F529" s="2" t="s">
        <v>52</v>
      </c>
      <c r="G529" s="2" t="s">
        <v>35</v>
      </c>
      <c r="H529" s="2">
        <v>50</v>
      </c>
      <c r="I529" s="7">
        <v>277.97000000000003</v>
      </c>
      <c r="J529" s="2">
        <v>20</v>
      </c>
      <c r="K529" s="7">
        <v>11118.8</v>
      </c>
      <c r="L529" s="2" t="s">
        <v>49</v>
      </c>
      <c r="M529" s="2" t="s">
        <v>2365</v>
      </c>
    </row>
    <row r="530" spans="1:13" x14ac:dyDescent="0.3">
      <c r="A530" s="2" t="s">
        <v>434</v>
      </c>
      <c r="B530" s="5">
        <v>45714</v>
      </c>
      <c r="C530" s="2" t="s">
        <v>435</v>
      </c>
      <c r="D530" s="2" t="s">
        <v>53</v>
      </c>
      <c r="E530" s="2" t="s">
        <v>170</v>
      </c>
      <c r="F530" s="2" t="s">
        <v>52</v>
      </c>
      <c r="G530" s="2" t="s">
        <v>35</v>
      </c>
      <c r="H530" s="2">
        <v>36</v>
      </c>
      <c r="I530" s="7">
        <v>327.82</v>
      </c>
      <c r="J530" s="2">
        <v>5</v>
      </c>
      <c r="K530" s="7">
        <v>11211.44</v>
      </c>
      <c r="L530" s="2" t="s">
        <v>27</v>
      </c>
      <c r="M530" s="2" t="s">
        <v>2364</v>
      </c>
    </row>
    <row r="531" spans="1:13" x14ac:dyDescent="0.3">
      <c r="A531" s="2" t="s">
        <v>1649</v>
      </c>
      <c r="B531" s="5">
        <v>45935</v>
      </c>
      <c r="C531" s="2" t="s">
        <v>700</v>
      </c>
      <c r="D531" s="2" t="s">
        <v>53</v>
      </c>
      <c r="E531" s="2" t="s">
        <v>67</v>
      </c>
      <c r="F531" s="2" t="s">
        <v>52</v>
      </c>
      <c r="G531" s="2" t="s">
        <v>35</v>
      </c>
      <c r="H531" s="2">
        <v>44</v>
      </c>
      <c r="I531" s="7">
        <v>302.27999999999997</v>
      </c>
      <c r="J531" s="2">
        <v>15</v>
      </c>
      <c r="K531" s="7">
        <v>11305.27</v>
      </c>
      <c r="L531" s="2" t="s">
        <v>31</v>
      </c>
      <c r="M531" s="2" t="s">
        <v>2365</v>
      </c>
    </row>
    <row r="532" spans="1:13" x14ac:dyDescent="0.3">
      <c r="A532" s="2" t="s">
        <v>1300</v>
      </c>
      <c r="B532" s="5">
        <v>45820</v>
      </c>
      <c r="C532" s="2" t="s">
        <v>517</v>
      </c>
      <c r="D532" s="2" t="s">
        <v>24</v>
      </c>
      <c r="E532" s="2" t="s">
        <v>59</v>
      </c>
      <c r="F532" s="2" t="s">
        <v>52</v>
      </c>
      <c r="G532" s="2" t="s">
        <v>35</v>
      </c>
      <c r="H532" s="2">
        <v>38</v>
      </c>
      <c r="I532" s="7">
        <v>299.82</v>
      </c>
      <c r="J532" s="2">
        <v>0</v>
      </c>
      <c r="K532" s="7">
        <v>11393.16</v>
      </c>
      <c r="L532" s="2" t="s">
        <v>27</v>
      </c>
      <c r="M532" s="2" t="s">
        <v>2365</v>
      </c>
    </row>
    <row r="533" spans="1:13" x14ac:dyDescent="0.3">
      <c r="A533" s="2" t="s">
        <v>1435</v>
      </c>
      <c r="B533" s="5">
        <v>45633</v>
      </c>
      <c r="C533" s="2" t="s">
        <v>1436</v>
      </c>
      <c r="D533" s="2" t="s">
        <v>16</v>
      </c>
      <c r="E533" s="2" t="s">
        <v>17</v>
      </c>
      <c r="F533" s="2" t="s">
        <v>52</v>
      </c>
      <c r="G533" s="2" t="s">
        <v>35</v>
      </c>
      <c r="H533" s="2">
        <v>34</v>
      </c>
      <c r="I533" s="7">
        <v>363.67</v>
      </c>
      <c r="J533" s="2">
        <v>5</v>
      </c>
      <c r="K533" s="7">
        <v>11746.54</v>
      </c>
      <c r="L533" s="2" t="s">
        <v>31</v>
      </c>
      <c r="M533" s="2" t="s">
        <v>2364</v>
      </c>
    </row>
    <row r="534" spans="1:13" x14ac:dyDescent="0.3">
      <c r="A534" s="2" t="s">
        <v>1437</v>
      </c>
      <c r="B534" s="5">
        <v>45700</v>
      </c>
      <c r="C534" s="2" t="s">
        <v>423</v>
      </c>
      <c r="D534" s="2" t="s">
        <v>24</v>
      </c>
      <c r="E534" s="2" t="s">
        <v>104</v>
      </c>
      <c r="F534" s="2" t="s">
        <v>52</v>
      </c>
      <c r="G534" s="2" t="s">
        <v>35</v>
      </c>
      <c r="H534" s="2">
        <v>38</v>
      </c>
      <c r="I534" s="7">
        <v>311.33</v>
      </c>
      <c r="J534" s="2">
        <v>0</v>
      </c>
      <c r="K534" s="7">
        <v>11830.54</v>
      </c>
      <c r="L534" s="2" t="s">
        <v>49</v>
      </c>
      <c r="M534" s="2" t="s">
        <v>2364</v>
      </c>
    </row>
    <row r="535" spans="1:13" x14ac:dyDescent="0.3">
      <c r="A535" s="2" t="s">
        <v>1049</v>
      </c>
      <c r="B535" s="5">
        <v>45670</v>
      </c>
      <c r="C535" s="2" t="s">
        <v>731</v>
      </c>
      <c r="D535" s="2" t="s">
        <v>46</v>
      </c>
      <c r="E535" s="2" t="s">
        <v>83</v>
      </c>
      <c r="F535" s="2" t="s">
        <v>52</v>
      </c>
      <c r="G535" s="2" t="s">
        <v>35</v>
      </c>
      <c r="H535" s="2">
        <v>45</v>
      </c>
      <c r="I535" s="7">
        <v>297.45999999999998</v>
      </c>
      <c r="J535" s="2">
        <v>10</v>
      </c>
      <c r="K535" s="7">
        <v>12047.13</v>
      </c>
      <c r="L535" s="2" t="s">
        <v>27</v>
      </c>
      <c r="M535" s="2" t="s">
        <v>2364</v>
      </c>
    </row>
    <row r="536" spans="1:13" x14ac:dyDescent="0.3">
      <c r="A536" s="2" t="s">
        <v>1585</v>
      </c>
      <c r="B536" s="5">
        <v>46292</v>
      </c>
      <c r="C536" s="2" t="s">
        <v>1168</v>
      </c>
      <c r="D536" s="2" t="s">
        <v>16</v>
      </c>
      <c r="E536" s="2" t="s">
        <v>17</v>
      </c>
      <c r="F536" s="2" t="s">
        <v>52</v>
      </c>
      <c r="G536" s="2" t="s">
        <v>35</v>
      </c>
      <c r="H536" s="2">
        <v>45</v>
      </c>
      <c r="I536" s="7">
        <v>283.91000000000003</v>
      </c>
      <c r="J536" s="2">
        <v>5</v>
      </c>
      <c r="K536" s="7">
        <v>12137.15</v>
      </c>
      <c r="L536" s="2" t="s">
        <v>69</v>
      </c>
      <c r="M536" s="2" t="s">
        <v>2364</v>
      </c>
    </row>
    <row r="537" spans="1:13" x14ac:dyDescent="0.3">
      <c r="A537" s="2" t="s">
        <v>1794</v>
      </c>
      <c r="B537" s="5">
        <v>45942</v>
      </c>
      <c r="C537" s="2" t="s">
        <v>707</v>
      </c>
      <c r="D537" s="2" t="s">
        <v>24</v>
      </c>
      <c r="E537" s="2" t="s">
        <v>41</v>
      </c>
      <c r="F537" s="2" t="s">
        <v>52</v>
      </c>
      <c r="G537" s="2" t="s">
        <v>35</v>
      </c>
      <c r="H537" s="2">
        <v>47</v>
      </c>
      <c r="I537" s="7">
        <v>309.42</v>
      </c>
      <c r="J537" s="2">
        <v>15</v>
      </c>
      <c r="K537" s="7">
        <v>12361.33</v>
      </c>
      <c r="L537" s="2" t="s">
        <v>31</v>
      </c>
      <c r="M537" s="2" t="s">
        <v>2364</v>
      </c>
    </row>
    <row r="538" spans="1:13" x14ac:dyDescent="0.3">
      <c r="A538" s="2" t="s">
        <v>718</v>
      </c>
      <c r="B538" s="5">
        <v>45659</v>
      </c>
      <c r="C538" s="2" t="s">
        <v>719</v>
      </c>
      <c r="D538" s="2" t="s">
        <v>16</v>
      </c>
      <c r="E538" s="2" t="s">
        <v>17</v>
      </c>
      <c r="F538" s="2" t="s">
        <v>52</v>
      </c>
      <c r="G538" s="2" t="s">
        <v>35</v>
      </c>
      <c r="H538" s="2">
        <v>42</v>
      </c>
      <c r="I538" s="7">
        <v>327.45</v>
      </c>
      <c r="J538" s="2">
        <v>10</v>
      </c>
      <c r="K538" s="7">
        <v>12377.61</v>
      </c>
      <c r="L538" s="2" t="s">
        <v>69</v>
      </c>
      <c r="M538" s="2" t="s">
        <v>2364</v>
      </c>
    </row>
    <row r="539" spans="1:13" x14ac:dyDescent="0.3">
      <c r="A539" s="2" t="s">
        <v>1697</v>
      </c>
      <c r="B539" s="5">
        <v>46054</v>
      </c>
      <c r="C539" s="2" t="s">
        <v>169</v>
      </c>
      <c r="D539" s="2" t="s">
        <v>24</v>
      </c>
      <c r="E539" s="2" t="s">
        <v>41</v>
      </c>
      <c r="F539" s="2" t="s">
        <v>52</v>
      </c>
      <c r="G539" s="2" t="s">
        <v>35</v>
      </c>
      <c r="H539" s="2">
        <v>49</v>
      </c>
      <c r="I539" s="7">
        <v>255.24</v>
      </c>
      <c r="J539" s="2">
        <v>0</v>
      </c>
      <c r="K539" s="7">
        <v>12506.76</v>
      </c>
      <c r="L539" s="2" t="s">
        <v>31</v>
      </c>
      <c r="M539" s="2" t="s">
        <v>2364</v>
      </c>
    </row>
    <row r="540" spans="1:13" x14ac:dyDescent="0.3">
      <c r="A540" s="2" t="s">
        <v>1907</v>
      </c>
      <c r="B540" s="5">
        <v>46009</v>
      </c>
      <c r="C540" s="2" t="s">
        <v>1908</v>
      </c>
      <c r="D540" s="2" t="s">
        <v>16</v>
      </c>
      <c r="E540" s="2" t="s">
        <v>74</v>
      </c>
      <c r="F540" s="2" t="s">
        <v>52</v>
      </c>
      <c r="G540" s="2" t="s">
        <v>35</v>
      </c>
      <c r="H540" s="2">
        <v>42</v>
      </c>
      <c r="I540" s="7">
        <v>334.82</v>
      </c>
      <c r="J540" s="2">
        <v>5</v>
      </c>
      <c r="K540" s="7">
        <v>13359.32</v>
      </c>
      <c r="L540" s="2" t="s">
        <v>49</v>
      </c>
      <c r="M540" s="2" t="s">
        <v>2364</v>
      </c>
    </row>
    <row r="541" spans="1:13" x14ac:dyDescent="0.3">
      <c r="A541" s="2" t="s">
        <v>1284</v>
      </c>
      <c r="B541" s="5">
        <v>46152</v>
      </c>
      <c r="C541" s="2" t="s">
        <v>1285</v>
      </c>
      <c r="D541" s="2" t="s">
        <v>53</v>
      </c>
      <c r="E541" s="2" t="s">
        <v>170</v>
      </c>
      <c r="F541" s="2" t="s">
        <v>52</v>
      </c>
      <c r="G541" s="2" t="s">
        <v>35</v>
      </c>
      <c r="H541" s="2">
        <v>42</v>
      </c>
      <c r="I541" s="7">
        <v>356.62</v>
      </c>
      <c r="J541" s="2">
        <v>5</v>
      </c>
      <c r="K541" s="7">
        <v>14229.14</v>
      </c>
      <c r="L541" s="2" t="s">
        <v>31</v>
      </c>
      <c r="M541" s="2" t="s">
        <v>2364</v>
      </c>
    </row>
    <row r="542" spans="1:13" x14ac:dyDescent="0.3">
      <c r="A542" s="2" t="s">
        <v>1673</v>
      </c>
      <c r="B542" s="5">
        <v>45632</v>
      </c>
      <c r="C542" s="2" t="s">
        <v>1674</v>
      </c>
      <c r="D542" s="2" t="s">
        <v>24</v>
      </c>
      <c r="E542" s="2" t="s">
        <v>104</v>
      </c>
      <c r="F542" s="2" t="s">
        <v>52</v>
      </c>
      <c r="G542" s="2" t="s">
        <v>35</v>
      </c>
      <c r="H542" s="2">
        <v>42</v>
      </c>
      <c r="I542" s="7">
        <v>381.24</v>
      </c>
      <c r="J542" s="2">
        <v>5</v>
      </c>
      <c r="K542" s="7">
        <v>15211.48</v>
      </c>
      <c r="L542" s="1" t="s">
        <v>2347</v>
      </c>
      <c r="M542" s="2" t="s">
        <v>2364</v>
      </c>
    </row>
    <row r="543" spans="1:13" x14ac:dyDescent="0.3">
      <c r="A543" s="2" t="s">
        <v>2299</v>
      </c>
      <c r="B543" s="5">
        <v>46274</v>
      </c>
      <c r="C543" s="2" t="s">
        <v>225</v>
      </c>
      <c r="D543" s="2" t="s">
        <v>53</v>
      </c>
      <c r="E543" s="2" t="s">
        <v>170</v>
      </c>
      <c r="F543" s="2" t="s">
        <v>52</v>
      </c>
      <c r="G543" s="2" t="s">
        <v>35</v>
      </c>
      <c r="H543" s="2">
        <v>43</v>
      </c>
      <c r="I543" s="7">
        <v>384.24</v>
      </c>
      <c r="J543" s="2">
        <v>5</v>
      </c>
      <c r="K543" s="7">
        <v>15696.2</v>
      </c>
      <c r="L543" s="2" t="s">
        <v>31</v>
      </c>
      <c r="M543" s="2" t="s">
        <v>2365</v>
      </c>
    </row>
    <row r="544" spans="1:13" x14ac:dyDescent="0.3">
      <c r="A544" s="2" t="s">
        <v>1256</v>
      </c>
      <c r="B544" s="5">
        <v>46076</v>
      </c>
      <c r="C544" s="2" t="s">
        <v>1257</v>
      </c>
      <c r="D544" s="2" t="s">
        <v>16</v>
      </c>
      <c r="E544" s="2" t="s">
        <v>91</v>
      </c>
      <c r="F544" s="2" t="s">
        <v>34</v>
      </c>
      <c r="G544" s="2" t="s">
        <v>35</v>
      </c>
      <c r="H544" s="2">
        <v>1</v>
      </c>
      <c r="I544" s="7">
        <v>749.45</v>
      </c>
      <c r="J544" s="2">
        <v>20</v>
      </c>
      <c r="K544" s="7">
        <v>599.55999999999995</v>
      </c>
      <c r="L544" s="2" t="s">
        <v>69</v>
      </c>
      <c r="M544" s="2" t="s">
        <v>2364</v>
      </c>
    </row>
    <row r="545" spans="1:13" x14ac:dyDescent="0.3">
      <c r="A545" s="2" t="s">
        <v>1363</v>
      </c>
      <c r="B545" s="5">
        <v>45751</v>
      </c>
      <c r="C545" s="2" t="s">
        <v>1364</v>
      </c>
      <c r="D545" s="2" t="s">
        <v>16</v>
      </c>
      <c r="E545" s="2" t="s">
        <v>17</v>
      </c>
      <c r="F545" s="2" t="s">
        <v>34</v>
      </c>
      <c r="G545" s="2" t="s">
        <v>35</v>
      </c>
      <c r="H545" s="2">
        <v>1</v>
      </c>
      <c r="I545" s="7">
        <v>634.61</v>
      </c>
      <c r="J545" s="2">
        <v>5</v>
      </c>
      <c r="K545" s="7">
        <v>602.88</v>
      </c>
      <c r="L545" s="1" t="s">
        <v>2347</v>
      </c>
      <c r="M545" s="2" t="s">
        <v>2365</v>
      </c>
    </row>
    <row r="546" spans="1:13" x14ac:dyDescent="0.3">
      <c r="A546" s="2" t="s">
        <v>1185</v>
      </c>
      <c r="B546" s="5">
        <v>45978</v>
      </c>
      <c r="C546" s="2" t="s">
        <v>1186</v>
      </c>
      <c r="D546" s="2" t="s">
        <v>16</v>
      </c>
      <c r="E546" s="2" t="s">
        <v>17</v>
      </c>
      <c r="F546" s="2" t="s">
        <v>34</v>
      </c>
      <c r="G546" s="2" t="s">
        <v>35</v>
      </c>
      <c r="H546" s="2">
        <v>2</v>
      </c>
      <c r="I546" s="7">
        <v>687.12</v>
      </c>
      <c r="J546" s="2">
        <v>0</v>
      </c>
      <c r="K546" s="7">
        <v>1374.24</v>
      </c>
      <c r="L546" s="1" t="s">
        <v>2347</v>
      </c>
      <c r="M546" s="2" t="s">
        <v>2364</v>
      </c>
    </row>
    <row r="547" spans="1:13" x14ac:dyDescent="0.3">
      <c r="A547" s="2" t="s">
        <v>263</v>
      </c>
      <c r="B547" s="5">
        <v>46005</v>
      </c>
      <c r="C547" s="2" t="s">
        <v>264</v>
      </c>
      <c r="D547" s="2" t="s">
        <v>46</v>
      </c>
      <c r="E547" s="2" t="s">
        <v>244</v>
      </c>
      <c r="F547" s="2" t="s">
        <v>34</v>
      </c>
      <c r="G547" s="2" t="s">
        <v>35</v>
      </c>
      <c r="H547" s="2">
        <v>4</v>
      </c>
      <c r="I547" s="7">
        <v>492.26</v>
      </c>
      <c r="J547" s="2">
        <v>10</v>
      </c>
      <c r="K547" s="7">
        <v>1772.14</v>
      </c>
      <c r="L547" s="2" t="s">
        <v>27</v>
      </c>
      <c r="M547" s="2" t="s">
        <v>2364</v>
      </c>
    </row>
    <row r="548" spans="1:13" x14ac:dyDescent="0.3">
      <c r="A548" s="2" t="s">
        <v>2315</v>
      </c>
      <c r="B548" s="5">
        <v>45910</v>
      </c>
      <c r="C548" s="2" t="s">
        <v>2316</v>
      </c>
      <c r="D548" s="2" t="s">
        <v>46</v>
      </c>
      <c r="E548" s="2" t="s">
        <v>244</v>
      </c>
      <c r="F548" s="2" t="s">
        <v>34</v>
      </c>
      <c r="G548" s="2" t="s">
        <v>35</v>
      </c>
      <c r="H548" s="2">
        <v>5</v>
      </c>
      <c r="I548" s="7">
        <v>508.66</v>
      </c>
      <c r="J548" s="2">
        <v>15</v>
      </c>
      <c r="K548" s="7">
        <v>2161.81</v>
      </c>
      <c r="L548" s="2" t="s">
        <v>31</v>
      </c>
      <c r="M548" s="2" t="s">
        <v>2364</v>
      </c>
    </row>
    <row r="549" spans="1:13" x14ac:dyDescent="0.3">
      <c r="A549" s="2" t="s">
        <v>396</v>
      </c>
      <c r="B549" s="5">
        <v>46242</v>
      </c>
      <c r="C549" s="2" t="s">
        <v>397</v>
      </c>
      <c r="D549" s="2" t="s">
        <v>24</v>
      </c>
      <c r="E549" s="2" t="s">
        <v>104</v>
      </c>
      <c r="F549" s="2" t="s">
        <v>34</v>
      </c>
      <c r="G549" s="2" t="s">
        <v>35</v>
      </c>
      <c r="H549" s="2">
        <v>4</v>
      </c>
      <c r="I549" s="7">
        <v>579.55999999999995</v>
      </c>
      <c r="J549" s="2">
        <v>5</v>
      </c>
      <c r="K549" s="7">
        <v>2202.33</v>
      </c>
      <c r="L549" s="2" t="s">
        <v>69</v>
      </c>
      <c r="M549" s="2" t="s">
        <v>2365</v>
      </c>
    </row>
    <row r="550" spans="1:13" x14ac:dyDescent="0.3">
      <c r="A550" s="2" t="s">
        <v>866</v>
      </c>
      <c r="B550" s="5">
        <v>45912</v>
      </c>
      <c r="C550" s="2" t="s">
        <v>153</v>
      </c>
      <c r="D550" s="2" t="s">
        <v>53</v>
      </c>
      <c r="E550" s="2" t="s">
        <v>141</v>
      </c>
      <c r="F550" s="2" t="s">
        <v>34</v>
      </c>
      <c r="G550" s="2" t="s">
        <v>35</v>
      </c>
      <c r="H550" s="2">
        <v>4</v>
      </c>
      <c r="I550" s="7">
        <v>801.65</v>
      </c>
      <c r="J550" s="2">
        <v>10</v>
      </c>
      <c r="K550" s="7">
        <v>2885.94</v>
      </c>
      <c r="L550" s="2" t="s">
        <v>27</v>
      </c>
      <c r="M550" s="2" t="s">
        <v>2364</v>
      </c>
    </row>
    <row r="551" spans="1:13" x14ac:dyDescent="0.3">
      <c r="A551" s="2" t="s">
        <v>554</v>
      </c>
      <c r="B551" s="5">
        <v>45716</v>
      </c>
      <c r="C551" s="2" t="s">
        <v>555</v>
      </c>
      <c r="D551" s="2" t="s">
        <v>16</v>
      </c>
      <c r="E551" s="2" t="s">
        <v>74</v>
      </c>
      <c r="F551" s="2" t="s">
        <v>34</v>
      </c>
      <c r="G551" s="2" t="s">
        <v>35</v>
      </c>
      <c r="H551" s="2">
        <v>4</v>
      </c>
      <c r="I551" s="7">
        <v>750.93</v>
      </c>
      <c r="J551" s="2">
        <v>0</v>
      </c>
      <c r="K551" s="7">
        <v>3003.72</v>
      </c>
      <c r="L551" s="1" t="s">
        <v>2347</v>
      </c>
      <c r="M551" s="2" t="s">
        <v>2364</v>
      </c>
    </row>
    <row r="552" spans="1:13" x14ac:dyDescent="0.3">
      <c r="A552" s="2" t="s">
        <v>1801</v>
      </c>
      <c r="B552" s="5">
        <v>45778</v>
      </c>
      <c r="C552" s="2" t="s">
        <v>1802</v>
      </c>
      <c r="D552" s="2" t="s">
        <v>24</v>
      </c>
      <c r="E552" s="2" t="s">
        <v>41</v>
      </c>
      <c r="F552" s="2" t="s">
        <v>34</v>
      </c>
      <c r="G552" s="2" t="s">
        <v>35</v>
      </c>
      <c r="H552" s="2">
        <v>5</v>
      </c>
      <c r="I552" s="7">
        <v>727.36</v>
      </c>
      <c r="J552" s="2">
        <v>15</v>
      </c>
      <c r="K552" s="7">
        <v>3091.28</v>
      </c>
      <c r="L552" s="1" t="s">
        <v>2347</v>
      </c>
      <c r="M552" s="2" t="s">
        <v>2364</v>
      </c>
    </row>
    <row r="553" spans="1:13" x14ac:dyDescent="0.3">
      <c r="A553" s="2" t="s">
        <v>224</v>
      </c>
      <c r="B553" s="5">
        <v>45583</v>
      </c>
      <c r="C553" s="2" t="s">
        <v>225</v>
      </c>
      <c r="D553" s="2" t="s">
        <v>16</v>
      </c>
      <c r="E553" s="2" t="s">
        <v>74</v>
      </c>
      <c r="F553" s="2" t="s">
        <v>34</v>
      </c>
      <c r="G553" s="2" t="s">
        <v>35</v>
      </c>
      <c r="H553" s="2">
        <v>5</v>
      </c>
      <c r="I553" s="7">
        <v>669.77</v>
      </c>
      <c r="J553" s="2">
        <v>0</v>
      </c>
      <c r="K553" s="7">
        <v>3348.85</v>
      </c>
      <c r="L553" s="1" t="s">
        <v>2347</v>
      </c>
      <c r="M553" s="2" t="s">
        <v>2365</v>
      </c>
    </row>
    <row r="554" spans="1:13" x14ac:dyDescent="0.3">
      <c r="A554" s="2" t="s">
        <v>709</v>
      </c>
      <c r="B554" s="5">
        <v>45830</v>
      </c>
      <c r="C554" s="2" t="s">
        <v>710</v>
      </c>
      <c r="D554" s="2" t="s">
        <v>16</v>
      </c>
      <c r="E554" s="2" t="s">
        <v>91</v>
      </c>
      <c r="F554" s="2" t="s">
        <v>34</v>
      </c>
      <c r="G554" s="2" t="s">
        <v>35</v>
      </c>
      <c r="H554" s="2">
        <v>5</v>
      </c>
      <c r="I554" s="7">
        <v>726.08</v>
      </c>
      <c r="J554" s="2">
        <v>5</v>
      </c>
      <c r="K554" s="7">
        <v>3448.88</v>
      </c>
      <c r="L554" s="2" t="s">
        <v>49</v>
      </c>
      <c r="M554" s="2" t="s">
        <v>2364</v>
      </c>
    </row>
    <row r="555" spans="1:13" x14ac:dyDescent="0.3">
      <c r="A555" s="2" t="s">
        <v>930</v>
      </c>
      <c r="B555" s="5">
        <v>45752</v>
      </c>
      <c r="C555" s="2" t="s">
        <v>150</v>
      </c>
      <c r="D555" s="2" t="s">
        <v>16</v>
      </c>
      <c r="E555" s="2" t="s">
        <v>160</v>
      </c>
      <c r="F555" s="2" t="s">
        <v>34</v>
      </c>
      <c r="G555" s="2" t="s">
        <v>35</v>
      </c>
      <c r="H555" s="2">
        <v>9</v>
      </c>
      <c r="I555" s="7">
        <v>426.04</v>
      </c>
      <c r="J555" s="2">
        <v>0</v>
      </c>
      <c r="K555" s="7">
        <v>3834.36</v>
      </c>
      <c r="L555" s="2" t="s">
        <v>69</v>
      </c>
      <c r="M555" s="2" t="s">
        <v>2364</v>
      </c>
    </row>
    <row r="556" spans="1:13" x14ac:dyDescent="0.3">
      <c r="A556" s="2" t="s">
        <v>1935</v>
      </c>
      <c r="B556" s="5">
        <v>45698</v>
      </c>
      <c r="C556" s="2" t="s">
        <v>1936</v>
      </c>
      <c r="D556" s="2" t="s">
        <v>53</v>
      </c>
      <c r="E556" s="2" t="s">
        <v>67</v>
      </c>
      <c r="F556" s="2" t="s">
        <v>34</v>
      </c>
      <c r="G556" s="2" t="s">
        <v>35</v>
      </c>
      <c r="H556" s="2">
        <v>5</v>
      </c>
      <c r="I556" s="7">
        <v>818.45</v>
      </c>
      <c r="J556" s="2">
        <v>5</v>
      </c>
      <c r="K556" s="7">
        <v>3887.64</v>
      </c>
      <c r="L556" s="2" t="s">
        <v>49</v>
      </c>
      <c r="M556" s="2" t="s">
        <v>2364</v>
      </c>
    </row>
    <row r="557" spans="1:13" x14ac:dyDescent="0.3">
      <c r="A557" s="2" t="s">
        <v>1675</v>
      </c>
      <c r="B557" s="5">
        <v>46016</v>
      </c>
      <c r="C557" s="2" t="s">
        <v>1676</v>
      </c>
      <c r="D557" s="2" t="s">
        <v>24</v>
      </c>
      <c r="E557" s="2" t="s">
        <v>104</v>
      </c>
      <c r="F557" s="2" t="s">
        <v>34</v>
      </c>
      <c r="G557" s="2" t="s">
        <v>35</v>
      </c>
      <c r="H557" s="2">
        <v>10</v>
      </c>
      <c r="I557" s="7">
        <v>461.84</v>
      </c>
      <c r="J557" s="2">
        <v>10</v>
      </c>
      <c r="K557" s="7">
        <v>4156.5600000000004</v>
      </c>
      <c r="L557" s="2" t="s">
        <v>31</v>
      </c>
      <c r="M557" s="2" t="s">
        <v>2364</v>
      </c>
    </row>
    <row r="558" spans="1:13" x14ac:dyDescent="0.3">
      <c r="A558" s="2" t="s">
        <v>767</v>
      </c>
      <c r="B558" s="5">
        <v>45858</v>
      </c>
      <c r="C558" s="2" t="s">
        <v>768</v>
      </c>
      <c r="D558" s="2" t="s">
        <v>46</v>
      </c>
      <c r="E558" s="2" t="s">
        <v>124</v>
      </c>
      <c r="F558" s="2" t="s">
        <v>34</v>
      </c>
      <c r="G558" s="2" t="s">
        <v>35</v>
      </c>
      <c r="H558" s="2">
        <v>7</v>
      </c>
      <c r="I558" s="7">
        <v>610.32000000000005</v>
      </c>
      <c r="J558" s="2">
        <v>0</v>
      </c>
      <c r="K558" s="7">
        <v>4272.24</v>
      </c>
      <c r="L558" s="1" t="s">
        <v>2347</v>
      </c>
      <c r="M558" s="2" t="s">
        <v>2364</v>
      </c>
    </row>
    <row r="559" spans="1:13" x14ac:dyDescent="0.3">
      <c r="A559" s="2" t="s">
        <v>2180</v>
      </c>
      <c r="B559" s="5">
        <v>45635</v>
      </c>
      <c r="C559" s="2" t="s">
        <v>373</v>
      </c>
      <c r="D559" s="2" t="s">
        <v>16</v>
      </c>
      <c r="E559" s="2" t="s">
        <v>74</v>
      </c>
      <c r="F559" s="2" t="s">
        <v>34</v>
      </c>
      <c r="G559" s="2" t="s">
        <v>35</v>
      </c>
      <c r="H559" s="2">
        <v>7</v>
      </c>
      <c r="I559" s="7">
        <v>622.66</v>
      </c>
      <c r="J559" s="2">
        <v>0</v>
      </c>
      <c r="K559" s="7">
        <v>4358.62</v>
      </c>
      <c r="L559" s="2" t="s">
        <v>49</v>
      </c>
      <c r="M559" s="2" t="s">
        <v>2364</v>
      </c>
    </row>
    <row r="560" spans="1:13" x14ac:dyDescent="0.3">
      <c r="A560" s="2" t="s">
        <v>1545</v>
      </c>
      <c r="B560" s="5">
        <v>45896</v>
      </c>
      <c r="C560" s="2" t="s">
        <v>371</v>
      </c>
      <c r="D560" s="2" t="s">
        <v>24</v>
      </c>
      <c r="E560" s="2" t="s">
        <v>36</v>
      </c>
      <c r="F560" s="2" t="s">
        <v>34</v>
      </c>
      <c r="G560" s="2" t="s">
        <v>35</v>
      </c>
      <c r="H560" s="2">
        <v>11</v>
      </c>
      <c r="I560" s="7">
        <v>446.12</v>
      </c>
      <c r="J560" s="2">
        <v>5</v>
      </c>
      <c r="K560" s="7">
        <v>4661.95</v>
      </c>
      <c r="L560" s="2" t="s">
        <v>69</v>
      </c>
      <c r="M560" s="2" t="s">
        <v>2365</v>
      </c>
    </row>
    <row r="561" spans="1:13" x14ac:dyDescent="0.3">
      <c r="A561" s="2" t="s">
        <v>1619</v>
      </c>
      <c r="B561" s="5">
        <v>46101</v>
      </c>
      <c r="C561" s="2" t="s">
        <v>1620</v>
      </c>
      <c r="D561" s="2" t="s">
        <v>46</v>
      </c>
      <c r="E561" s="2" t="s">
        <v>78</v>
      </c>
      <c r="F561" s="2" t="s">
        <v>34</v>
      </c>
      <c r="G561" s="2" t="s">
        <v>35</v>
      </c>
      <c r="H561" s="2">
        <v>6</v>
      </c>
      <c r="I561" s="7">
        <v>803.02</v>
      </c>
      <c r="J561" s="2">
        <v>0</v>
      </c>
      <c r="K561" s="7">
        <v>4818.12</v>
      </c>
      <c r="L561" s="2" t="s">
        <v>69</v>
      </c>
      <c r="M561" s="2" t="s">
        <v>2364</v>
      </c>
    </row>
    <row r="562" spans="1:13" x14ac:dyDescent="0.3">
      <c r="A562" s="2" t="s">
        <v>987</v>
      </c>
      <c r="B562" s="5">
        <v>46257</v>
      </c>
      <c r="C562" s="2" t="s">
        <v>988</v>
      </c>
      <c r="D562" s="2" t="s">
        <v>46</v>
      </c>
      <c r="E562" s="2" t="s">
        <v>78</v>
      </c>
      <c r="F562" s="2" t="s">
        <v>34</v>
      </c>
      <c r="G562" s="2" t="s">
        <v>35</v>
      </c>
      <c r="H562" s="2">
        <v>8</v>
      </c>
      <c r="I562" s="7">
        <v>773.86</v>
      </c>
      <c r="J562" s="2">
        <v>20</v>
      </c>
      <c r="K562" s="7">
        <v>4952.7</v>
      </c>
      <c r="L562" s="2" t="s">
        <v>49</v>
      </c>
      <c r="M562" s="2" t="s">
        <v>2365</v>
      </c>
    </row>
    <row r="563" spans="1:13" x14ac:dyDescent="0.3">
      <c r="A563" s="2" t="s">
        <v>1239</v>
      </c>
      <c r="B563" s="5">
        <v>45989</v>
      </c>
      <c r="C563" s="2" t="s">
        <v>1240</v>
      </c>
      <c r="D563" s="2" t="s">
        <v>24</v>
      </c>
      <c r="E563" s="2" t="s">
        <v>36</v>
      </c>
      <c r="F563" s="2" t="s">
        <v>34</v>
      </c>
      <c r="G563" s="2" t="s">
        <v>35</v>
      </c>
      <c r="H563" s="2">
        <v>12</v>
      </c>
      <c r="I563" s="7">
        <v>430.14</v>
      </c>
      <c r="J563" s="2">
        <v>0</v>
      </c>
      <c r="K563" s="7">
        <v>5161.68</v>
      </c>
      <c r="L563" s="2" t="s">
        <v>27</v>
      </c>
      <c r="M563" s="2" t="s">
        <v>2365</v>
      </c>
    </row>
    <row r="564" spans="1:13" x14ac:dyDescent="0.3">
      <c r="A564" s="2" t="s">
        <v>1554</v>
      </c>
      <c r="B564" s="5">
        <v>45832</v>
      </c>
      <c r="C564" s="2" t="s">
        <v>1555</v>
      </c>
      <c r="D564" s="2" t="s">
        <v>16</v>
      </c>
      <c r="E564" s="2" t="s">
        <v>111</v>
      </c>
      <c r="F564" s="2" t="s">
        <v>34</v>
      </c>
      <c r="G564" s="2" t="s">
        <v>35</v>
      </c>
      <c r="H564" s="2">
        <v>9</v>
      </c>
      <c r="I564" s="7">
        <v>609.84</v>
      </c>
      <c r="J564" s="2">
        <v>0</v>
      </c>
      <c r="K564" s="7">
        <v>5488.56</v>
      </c>
      <c r="L564" s="2" t="s">
        <v>69</v>
      </c>
      <c r="M564" s="2" t="s">
        <v>2364</v>
      </c>
    </row>
    <row r="565" spans="1:13" x14ac:dyDescent="0.3">
      <c r="A565" s="2" t="s">
        <v>2199</v>
      </c>
      <c r="B565" s="5">
        <v>45888</v>
      </c>
      <c r="C565" s="2" t="s">
        <v>2200</v>
      </c>
      <c r="D565" s="2" t="s">
        <v>46</v>
      </c>
      <c r="E565" s="2" t="s">
        <v>83</v>
      </c>
      <c r="F565" s="2" t="s">
        <v>34</v>
      </c>
      <c r="G565" s="2" t="s">
        <v>35</v>
      </c>
      <c r="H565" s="2">
        <v>16</v>
      </c>
      <c r="I565" s="7">
        <v>436.69</v>
      </c>
      <c r="J565" s="2">
        <v>0</v>
      </c>
      <c r="K565" s="7">
        <v>6987.04</v>
      </c>
      <c r="L565" s="2" t="s">
        <v>27</v>
      </c>
      <c r="M565" s="2" t="s">
        <v>2364</v>
      </c>
    </row>
    <row r="566" spans="1:13" x14ac:dyDescent="0.3">
      <c r="A566" s="2" t="s">
        <v>661</v>
      </c>
      <c r="B566" s="5">
        <v>46249</v>
      </c>
      <c r="C566" s="2" t="s">
        <v>662</v>
      </c>
      <c r="D566" s="2" t="s">
        <v>24</v>
      </c>
      <c r="E566" s="2" t="s">
        <v>59</v>
      </c>
      <c r="F566" s="2" t="s">
        <v>34</v>
      </c>
      <c r="G566" s="2" t="s">
        <v>35</v>
      </c>
      <c r="H566" s="2">
        <v>16</v>
      </c>
      <c r="I566" s="7">
        <v>509.05</v>
      </c>
      <c r="J566" s="2">
        <v>5</v>
      </c>
      <c r="K566" s="7">
        <v>7737.56</v>
      </c>
      <c r="L566" s="2" t="s">
        <v>69</v>
      </c>
      <c r="M566" s="2" t="s">
        <v>2364</v>
      </c>
    </row>
    <row r="567" spans="1:13" x14ac:dyDescent="0.3">
      <c r="A567" s="2" t="s">
        <v>2333</v>
      </c>
      <c r="B567" s="5">
        <v>45613</v>
      </c>
      <c r="C567" s="2" t="s">
        <v>2334</v>
      </c>
      <c r="D567" s="2" t="s">
        <v>53</v>
      </c>
      <c r="E567" s="2" t="s">
        <v>170</v>
      </c>
      <c r="F567" s="2" t="s">
        <v>34</v>
      </c>
      <c r="G567" s="2" t="s">
        <v>35</v>
      </c>
      <c r="H567" s="2">
        <v>15</v>
      </c>
      <c r="I567" s="7">
        <v>664.82</v>
      </c>
      <c r="J567" s="2">
        <v>10</v>
      </c>
      <c r="K567" s="7">
        <v>8975.07</v>
      </c>
      <c r="L567" s="1" t="s">
        <v>2347</v>
      </c>
      <c r="M567" s="2" t="s">
        <v>2364</v>
      </c>
    </row>
    <row r="568" spans="1:13" x14ac:dyDescent="0.3">
      <c r="A568" s="2" t="s">
        <v>1107</v>
      </c>
      <c r="B568" s="5">
        <v>45860</v>
      </c>
      <c r="C568" s="2" t="s">
        <v>1108</v>
      </c>
      <c r="D568" s="2" t="s">
        <v>24</v>
      </c>
      <c r="E568" s="2" t="s">
        <v>59</v>
      </c>
      <c r="F568" s="2" t="s">
        <v>34</v>
      </c>
      <c r="G568" s="2" t="s">
        <v>35</v>
      </c>
      <c r="H568" s="2">
        <v>20</v>
      </c>
      <c r="I568" s="7">
        <v>454.84</v>
      </c>
      <c r="J568" s="2">
        <v>0</v>
      </c>
      <c r="K568" s="7">
        <v>9096.7999999999993</v>
      </c>
      <c r="L568" s="1" t="s">
        <v>2347</v>
      </c>
      <c r="M568" s="2" t="s">
        <v>2364</v>
      </c>
    </row>
    <row r="569" spans="1:13" x14ac:dyDescent="0.3">
      <c r="A569" s="2" t="s">
        <v>2295</v>
      </c>
      <c r="B569" s="5">
        <v>45615</v>
      </c>
      <c r="C569" s="2" t="s">
        <v>2296</v>
      </c>
      <c r="D569" s="2" t="s">
        <v>24</v>
      </c>
      <c r="E569" s="2" t="s">
        <v>36</v>
      </c>
      <c r="F569" s="2" t="s">
        <v>34</v>
      </c>
      <c r="G569" s="2" t="s">
        <v>35</v>
      </c>
      <c r="H569" s="2">
        <v>19</v>
      </c>
      <c r="I569" s="7">
        <v>569.79</v>
      </c>
      <c r="J569" s="2">
        <v>15</v>
      </c>
      <c r="K569" s="7">
        <v>9202.11</v>
      </c>
      <c r="L569" s="2" t="s">
        <v>27</v>
      </c>
      <c r="M569" s="2" t="s">
        <v>2365</v>
      </c>
    </row>
    <row r="570" spans="1:13" x14ac:dyDescent="0.3">
      <c r="A570" s="2" t="s">
        <v>800</v>
      </c>
      <c r="B570" s="5">
        <v>45965</v>
      </c>
      <c r="C570" s="2" t="s">
        <v>801</v>
      </c>
      <c r="D570" s="2" t="s">
        <v>53</v>
      </c>
      <c r="E570" s="2" t="s">
        <v>170</v>
      </c>
      <c r="F570" s="2" t="s">
        <v>34</v>
      </c>
      <c r="G570" s="2" t="s">
        <v>35</v>
      </c>
      <c r="H570" s="2">
        <v>15</v>
      </c>
      <c r="I570" s="7">
        <v>727.01</v>
      </c>
      <c r="J570" s="2">
        <v>15</v>
      </c>
      <c r="K570" s="7">
        <v>9269.3799999999992</v>
      </c>
      <c r="L570" s="2" t="s">
        <v>31</v>
      </c>
      <c r="M570" s="2" t="s">
        <v>2365</v>
      </c>
    </row>
    <row r="571" spans="1:13" x14ac:dyDescent="0.3">
      <c r="A571" s="2" t="s">
        <v>2258</v>
      </c>
      <c r="B571" s="5">
        <v>45819</v>
      </c>
      <c r="C571" s="2" t="s">
        <v>1303</v>
      </c>
      <c r="D571" s="2" t="s">
        <v>53</v>
      </c>
      <c r="E571" s="2" t="s">
        <v>141</v>
      </c>
      <c r="F571" s="2" t="s">
        <v>34</v>
      </c>
      <c r="G571" s="2" t="s">
        <v>35</v>
      </c>
      <c r="H571" s="2">
        <v>15</v>
      </c>
      <c r="I571" s="7">
        <v>793.92</v>
      </c>
      <c r="J571" s="2">
        <v>15</v>
      </c>
      <c r="K571" s="7">
        <v>10122.48</v>
      </c>
      <c r="L571" s="2" t="s">
        <v>31</v>
      </c>
      <c r="M571" s="2" t="s">
        <v>2364</v>
      </c>
    </row>
    <row r="572" spans="1:13" x14ac:dyDescent="0.3">
      <c r="A572" s="2" t="s">
        <v>1751</v>
      </c>
      <c r="B572" s="5">
        <v>46135</v>
      </c>
      <c r="C572" s="2" t="s">
        <v>1752</v>
      </c>
      <c r="D572" s="2" t="s">
        <v>53</v>
      </c>
      <c r="E572" s="2" t="s">
        <v>54</v>
      </c>
      <c r="F572" s="2" t="s">
        <v>34</v>
      </c>
      <c r="G572" s="2" t="s">
        <v>35</v>
      </c>
      <c r="H572" s="2">
        <v>26</v>
      </c>
      <c r="I572" s="7">
        <v>426.52</v>
      </c>
      <c r="J572" s="2">
        <v>0</v>
      </c>
      <c r="K572" s="7">
        <v>11089.52</v>
      </c>
      <c r="L572" s="2" t="s">
        <v>49</v>
      </c>
      <c r="M572" s="2" t="s">
        <v>2364</v>
      </c>
    </row>
    <row r="573" spans="1:13" x14ac:dyDescent="0.3">
      <c r="A573" s="2" t="s">
        <v>1254</v>
      </c>
      <c r="B573" s="5">
        <v>45995</v>
      </c>
      <c r="C573" s="2" t="s">
        <v>1255</v>
      </c>
      <c r="D573" s="2" t="s">
        <v>46</v>
      </c>
      <c r="E573" s="2" t="s">
        <v>47</v>
      </c>
      <c r="F573" s="2" t="s">
        <v>34</v>
      </c>
      <c r="G573" s="2" t="s">
        <v>35</v>
      </c>
      <c r="H573" s="2">
        <v>16</v>
      </c>
      <c r="I573" s="7">
        <v>719.42</v>
      </c>
      <c r="J573" s="2">
        <v>0</v>
      </c>
      <c r="K573" s="7">
        <v>11510.72</v>
      </c>
      <c r="L573" s="1" t="s">
        <v>2347</v>
      </c>
      <c r="M573" s="2" t="s">
        <v>2364</v>
      </c>
    </row>
    <row r="574" spans="1:13" x14ac:dyDescent="0.3">
      <c r="A574" s="2" t="s">
        <v>1931</v>
      </c>
      <c r="B574" s="5">
        <v>45767</v>
      </c>
      <c r="C574" s="2" t="s">
        <v>1492</v>
      </c>
      <c r="D574" s="2" t="s">
        <v>46</v>
      </c>
      <c r="E574" s="2" t="s">
        <v>78</v>
      </c>
      <c r="F574" s="2" t="s">
        <v>34</v>
      </c>
      <c r="G574" s="2" t="s">
        <v>35</v>
      </c>
      <c r="H574" s="2">
        <v>20</v>
      </c>
      <c r="I574" s="7">
        <v>628.82000000000005</v>
      </c>
      <c r="J574" s="2">
        <v>5</v>
      </c>
      <c r="K574" s="7">
        <v>11947.58</v>
      </c>
      <c r="L574" s="2" t="s">
        <v>69</v>
      </c>
      <c r="M574" s="2" t="s">
        <v>2365</v>
      </c>
    </row>
    <row r="575" spans="1:13" x14ac:dyDescent="0.3">
      <c r="A575" s="2" t="s">
        <v>143</v>
      </c>
      <c r="B575" s="5">
        <v>45744</v>
      </c>
      <c r="C575" s="2" t="s">
        <v>144</v>
      </c>
      <c r="D575" s="2" t="s">
        <v>16</v>
      </c>
      <c r="E575" s="2" t="s">
        <v>111</v>
      </c>
      <c r="F575" s="2" t="s">
        <v>34</v>
      </c>
      <c r="G575" s="2" t="s">
        <v>35</v>
      </c>
      <c r="H575" s="2">
        <v>19</v>
      </c>
      <c r="I575" s="7">
        <v>648.41</v>
      </c>
      <c r="J575" s="2">
        <v>0</v>
      </c>
      <c r="K575" s="7">
        <v>12319.79</v>
      </c>
      <c r="L575" s="1" t="s">
        <v>2347</v>
      </c>
      <c r="M575" s="2" t="s">
        <v>2365</v>
      </c>
    </row>
    <row r="576" spans="1:13" x14ac:dyDescent="0.3">
      <c r="A576" s="2" t="s">
        <v>2144</v>
      </c>
      <c r="B576" s="5">
        <v>46129</v>
      </c>
      <c r="C576" s="2" t="s">
        <v>2130</v>
      </c>
      <c r="D576" s="2" t="s">
        <v>16</v>
      </c>
      <c r="E576" s="2" t="s">
        <v>111</v>
      </c>
      <c r="F576" s="2" t="s">
        <v>34</v>
      </c>
      <c r="G576" s="2" t="s">
        <v>35</v>
      </c>
      <c r="H576" s="2">
        <v>24</v>
      </c>
      <c r="I576" s="7">
        <v>615.19000000000005</v>
      </c>
      <c r="J576" s="2">
        <v>0</v>
      </c>
      <c r="K576" s="7">
        <v>14764.56</v>
      </c>
      <c r="L576" s="2" t="s">
        <v>69</v>
      </c>
      <c r="M576" s="2" t="s">
        <v>2364</v>
      </c>
    </row>
    <row r="577" spans="1:13" x14ac:dyDescent="0.3">
      <c r="A577" s="2" t="s">
        <v>1765</v>
      </c>
      <c r="B577" s="5">
        <v>45612</v>
      </c>
      <c r="C577" s="2" t="s">
        <v>1056</v>
      </c>
      <c r="D577" s="2" t="s">
        <v>24</v>
      </c>
      <c r="E577" s="2" t="s">
        <v>25</v>
      </c>
      <c r="F577" s="2" t="s">
        <v>34</v>
      </c>
      <c r="G577" s="2" t="s">
        <v>35</v>
      </c>
      <c r="H577" s="2">
        <v>26</v>
      </c>
      <c r="I577" s="7">
        <v>587.47</v>
      </c>
      <c r="J577" s="2">
        <v>0</v>
      </c>
      <c r="K577" s="7">
        <v>15274.22</v>
      </c>
      <c r="L577" s="1" t="s">
        <v>2347</v>
      </c>
      <c r="M577" s="2" t="s">
        <v>2364</v>
      </c>
    </row>
    <row r="578" spans="1:13" x14ac:dyDescent="0.3">
      <c r="A578" s="2" t="s">
        <v>216</v>
      </c>
      <c r="B578" s="5">
        <v>45733</v>
      </c>
      <c r="C578" s="2" t="s">
        <v>217</v>
      </c>
      <c r="D578" s="2" t="s">
        <v>24</v>
      </c>
      <c r="E578" s="2" t="s">
        <v>41</v>
      </c>
      <c r="F578" s="2" t="s">
        <v>34</v>
      </c>
      <c r="G578" s="2" t="s">
        <v>35</v>
      </c>
      <c r="H578" s="2">
        <v>23</v>
      </c>
      <c r="I578" s="7">
        <v>846.66</v>
      </c>
      <c r="J578" s="2">
        <v>15</v>
      </c>
      <c r="K578" s="7">
        <v>16552.2</v>
      </c>
      <c r="L578" s="2" t="s">
        <v>69</v>
      </c>
      <c r="M578" s="2" t="s">
        <v>2365</v>
      </c>
    </row>
    <row r="579" spans="1:13" x14ac:dyDescent="0.3">
      <c r="A579" s="2" t="s">
        <v>1527</v>
      </c>
      <c r="B579" s="5">
        <v>45719</v>
      </c>
      <c r="C579" s="2" t="s">
        <v>1528</v>
      </c>
      <c r="D579" s="2" t="s">
        <v>24</v>
      </c>
      <c r="E579" s="2" t="s">
        <v>25</v>
      </c>
      <c r="F579" s="2" t="s">
        <v>34</v>
      </c>
      <c r="G579" s="2" t="s">
        <v>35</v>
      </c>
      <c r="H579" s="2">
        <v>20</v>
      </c>
      <c r="I579" s="7">
        <v>871.75</v>
      </c>
      <c r="J579" s="2">
        <v>5</v>
      </c>
      <c r="K579" s="7">
        <v>16563.25</v>
      </c>
      <c r="L579" s="2" t="s">
        <v>31</v>
      </c>
      <c r="M579" s="2" t="s">
        <v>2364</v>
      </c>
    </row>
    <row r="580" spans="1:13" x14ac:dyDescent="0.3">
      <c r="A580" s="2" t="s">
        <v>1839</v>
      </c>
      <c r="B580" s="5">
        <v>45626</v>
      </c>
      <c r="C580" s="2" t="s">
        <v>1840</v>
      </c>
      <c r="D580" s="2" t="s">
        <v>46</v>
      </c>
      <c r="E580" s="2" t="s">
        <v>124</v>
      </c>
      <c r="F580" s="2" t="s">
        <v>34</v>
      </c>
      <c r="G580" s="2" t="s">
        <v>35</v>
      </c>
      <c r="H580" s="2">
        <v>38</v>
      </c>
      <c r="I580" s="7">
        <v>489.12</v>
      </c>
      <c r="J580" s="2">
        <v>10</v>
      </c>
      <c r="K580" s="7">
        <v>16727.900000000001</v>
      </c>
      <c r="L580" s="2" t="s">
        <v>49</v>
      </c>
      <c r="M580" s="2" t="s">
        <v>2364</v>
      </c>
    </row>
    <row r="581" spans="1:13" x14ac:dyDescent="0.3">
      <c r="A581" s="2" t="s">
        <v>232</v>
      </c>
      <c r="B581" s="5">
        <v>46169</v>
      </c>
      <c r="C581" s="2" t="s">
        <v>233</v>
      </c>
      <c r="D581" s="2" t="s">
        <v>53</v>
      </c>
      <c r="E581" s="2" t="s">
        <v>134</v>
      </c>
      <c r="F581" s="2" t="s">
        <v>34</v>
      </c>
      <c r="G581" s="2" t="s">
        <v>35</v>
      </c>
      <c r="H581" s="2">
        <v>26</v>
      </c>
      <c r="I581" s="7">
        <v>658.35</v>
      </c>
      <c r="J581" s="2">
        <v>0</v>
      </c>
      <c r="K581" s="7">
        <v>17117.099999999999</v>
      </c>
      <c r="L581" s="2" t="s">
        <v>27</v>
      </c>
      <c r="M581" s="2" t="s">
        <v>2364</v>
      </c>
    </row>
    <row r="582" spans="1:13" x14ac:dyDescent="0.3">
      <c r="A582" s="2" t="s">
        <v>32</v>
      </c>
      <c r="B582" s="5">
        <v>46263</v>
      </c>
      <c r="C582" s="2" t="s">
        <v>33</v>
      </c>
      <c r="D582" s="2" t="s">
        <v>24</v>
      </c>
      <c r="E582" s="2" t="s">
        <v>36</v>
      </c>
      <c r="F582" s="2" t="s">
        <v>34</v>
      </c>
      <c r="G582" s="2" t="s">
        <v>35</v>
      </c>
      <c r="H582" s="2">
        <v>44</v>
      </c>
      <c r="I582" s="7">
        <v>430.93</v>
      </c>
      <c r="J582" s="2">
        <v>5</v>
      </c>
      <c r="K582" s="7">
        <v>18012.87</v>
      </c>
      <c r="L582" s="2" t="s">
        <v>27</v>
      </c>
      <c r="M582" s="2" t="s">
        <v>2364</v>
      </c>
    </row>
    <row r="583" spans="1:13" x14ac:dyDescent="0.3">
      <c r="A583" s="2" t="s">
        <v>2286</v>
      </c>
      <c r="B583" s="5">
        <v>45775</v>
      </c>
      <c r="C583" s="2" t="s">
        <v>2287</v>
      </c>
      <c r="D583" s="2" t="s">
        <v>24</v>
      </c>
      <c r="E583" s="2" t="s">
        <v>59</v>
      </c>
      <c r="F583" s="2" t="s">
        <v>34</v>
      </c>
      <c r="G583" s="2" t="s">
        <v>35</v>
      </c>
      <c r="H583" s="2">
        <v>42</v>
      </c>
      <c r="I583" s="7">
        <v>482.61</v>
      </c>
      <c r="J583" s="2">
        <v>10</v>
      </c>
      <c r="K583" s="7">
        <v>18242.66</v>
      </c>
      <c r="L583" s="2" t="s">
        <v>49</v>
      </c>
      <c r="M583" s="2" t="s">
        <v>2365</v>
      </c>
    </row>
    <row r="584" spans="1:13" x14ac:dyDescent="0.3">
      <c r="A584" s="2" t="s">
        <v>2167</v>
      </c>
      <c r="B584" s="5">
        <v>45995</v>
      </c>
      <c r="C584" s="2" t="s">
        <v>1114</v>
      </c>
      <c r="D584" s="2" t="s">
        <v>16</v>
      </c>
      <c r="E584" s="2" t="s">
        <v>91</v>
      </c>
      <c r="F584" s="2" t="s">
        <v>34</v>
      </c>
      <c r="G584" s="2" t="s">
        <v>35</v>
      </c>
      <c r="H584" s="2">
        <v>45</v>
      </c>
      <c r="I584" s="7">
        <v>491.49</v>
      </c>
      <c r="J584" s="2">
        <v>5</v>
      </c>
      <c r="K584" s="7">
        <v>21011.200000000001</v>
      </c>
      <c r="L584" s="2" t="s">
        <v>31</v>
      </c>
      <c r="M584" s="2" t="s">
        <v>2365</v>
      </c>
    </row>
    <row r="585" spans="1:13" x14ac:dyDescent="0.3">
      <c r="A585" s="2" t="s">
        <v>1105</v>
      </c>
      <c r="B585" s="5">
        <v>45865</v>
      </c>
      <c r="C585" s="2" t="s">
        <v>470</v>
      </c>
      <c r="D585" s="2" t="s">
        <v>53</v>
      </c>
      <c r="E585" s="2" t="s">
        <v>67</v>
      </c>
      <c r="F585" s="2" t="s">
        <v>34</v>
      </c>
      <c r="G585" s="2" t="s">
        <v>35</v>
      </c>
      <c r="H585" s="2">
        <v>45</v>
      </c>
      <c r="I585" s="7">
        <v>575.54999999999995</v>
      </c>
      <c r="J585" s="2">
        <v>15</v>
      </c>
      <c r="K585" s="7">
        <v>22014.79</v>
      </c>
      <c r="L585" s="1" t="s">
        <v>2347</v>
      </c>
      <c r="M585" s="2" t="s">
        <v>2364</v>
      </c>
    </row>
    <row r="586" spans="1:13" x14ac:dyDescent="0.3">
      <c r="A586" s="2" t="s">
        <v>1198</v>
      </c>
      <c r="B586" s="5">
        <v>45921</v>
      </c>
      <c r="C586" s="2" t="s">
        <v>1199</v>
      </c>
      <c r="D586" s="2" t="s">
        <v>24</v>
      </c>
      <c r="E586" s="2" t="s">
        <v>59</v>
      </c>
      <c r="F586" s="2" t="s">
        <v>34</v>
      </c>
      <c r="G586" s="2" t="s">
        <v>35</v>
      </c>
      <c r="H586" s="2">
        <v>47</v>
      </c>
      <c r="I586" s="7">
        <v>588.85</v>
      </c>
      <c r="J586" s="2">
        <v>20</v>
      </c>
      <c r="K586" s="7">
        <v>22140.76</v>
      </c>
      <c r="L586" s="2" t="s">
        <v>69</v>
      </c>
      <c r="M586" s="2" t="s">
        <v>2364</v>
      </c>
    </row>
    <row r="587" spans="1:13" x14ac:dyDescent="0.3">
      <c r="A587" s="2" t="s">
        <v>1749</v>
      </c>
      <c r="B587" s="5">
        <v>46079</v>
      </c>
      <c r="C587" s="2" t="s">
        <v>1750</v>
      </c>
      <c r="D587" s="2" t="s">
        <v>16</v>
      </c>
      <c r="E587" s="2" t="s">
        <v>74</v>
      </c>
      <c r="F587" s="2" t="s">
        <v>34</v>
      </c>
      <c r="G587" s="2" t="s">
        <v>35</v>
      </c>
      <c r="H587" s="2">
        <v>46</v>
      </c>
      <c r="I587" s="7">
        <v>608.76</v>
      </c>
      <c r="J587" s="2">
        <v>20</v>
      </c>
      <c r="K587" s="7">
        <v>22402.37</v>
      </c>
      <c r="L587" s="2" t="s">
        <v>69</v>
      </c>
      <c r="M587" s="2" t="s">
        <v>2364</v>
      </c>
    </row>
    <row r="588" spans="1:13" x14ac:dyDescent="0.3">
      <c r="A588" s="2" t="s">
        <v>2079</v>
      </c>
      <c r="B588" s="5">
        <v>46265</v>
      </c>
      <c r="C588" s="2" t="s">
        <v>1457</v>
      </c>
      <c r="D588" s="2" t="s">
        <v>46</v>
      </c>
      <c r="E588" s="2" t="s">
        <v>83</v>
      </c>
      <c r="F588" s="2" t="s">
        <v>34</v>
      </c>
      <c r="G588" s="2" t="s">
        <v>35</v>
      </c>
      <c r="H588" s="2">
        <v>28</v>
      </c>
      <c r="I588" s="7">
        <v>866.08</v>
      </c>
      <c r="J588" s="2">
        <v>5</v>
      </c>
      <c r="K588" s="7">
        <v>23037.73</v>
      </c>
      <c r="L588" s="2" t="s">
        <v>31</v>
      </c>
      <c r="M588" s="2" t="s">
        <v>2364</v>
      </c>
    </row>
    <row r="589" spans="1:13" x14ac:dyDescent="0.3">
      <c r="A589" s="2" t="s">
        <v>2070</v>
      </c>
      <c r="B589" s="5">
        <v>45723</v>
      </c>
      <c r="C589" s="2" t="s">
        <v>2071</v>
      </c>
      <c r="D589" s="2" t="s">
        <v>16</v>
      </c>
      <c r="E589" s="2" t="s">
        <v>91</v>
      </c>
      <c r="F589" s="2" t="s">
        <v>34</v>
      </c>
      <c r="G589" s="2" t="s">
        <v>35</v>
      </c>
      <c r="H589" s="2">
        <v>33</v>
      </c>
      <c r="I589" s="7">
        <v>822.48</v>
      </c>
      <c r="J589" s="2">
        <v>15</v>
      </c>
      <c r="K589" s="7">
        <v>23070.560000000001</v>
      </c>
      <c r="L589" s="2" t="s">
        <v>69</v>
      </c>
      <c r="M589" s="2" t="s">
        <v>2365</v>
      </c>
    </row>
    <row r="590" spans="1:13" x14ac:dyDescent="0.3">
      <c r="A590" s="2" t="s">
        <v>1570</v>
      </c>
      <c r="B590" s="5">
        <v>45988</v>
      </c>
      <c r="C590" s="2" t="s">
        <v>1571</v>
      </c>
      <c r="D590" s="2" t="s">
        <v>53</v>
      </c>
      <c r="E590" s="2" t="s">
        <v>67</v>
      </c>
      <c r="F590" s="2" t="s">
        <v>34</v>
      </c>
      <c r="G590" s="2" t="s">
        <v>35</v>
      </c>
      <c r="H590" s="2">
        <v>31</v>
      </c>
      <c r="I590" s="7">
        <v>747.63</v>
      </c>
      <c r="J590" s="2">
        <v>0</v>
      </c>
      <c r="K590" s="7">
        <v>23176.53</v>
      </c>
      <c r="L590" s="1" t="s">
        <v>2347</v>
      </c>
      <c r="M590" s="2" t="s">
        <v>2364</v>
      </c>
    </row>
    <row r="591" spans="1:13" x14ac:dyDescent="0.3">
      <c r="A591" s="2" t="s">
        <v>1334</v>
      </c>
      <c r="B591" s="5">
        <v>45778</v>
      </c>
      <c r="C591" s="2" t="s">
        <v>411</v>
      </c>
      <c r="D591" s="2" t="s">
        <v>16</v>
      </c>
      <c r="E591" s="2" t="s">
        <v>111</v>
      </c>
      <c r="F591" s="2" t="s">
        <v>34</v>
      </c>
      <c r="G591" s="2" t="s">
        <v>35</v>
      </c>
      <c r="H591" s="2">
        <v>44</v>
      </c>
      <c r="I591" s="7">
        <v>531.12</v>
      </c>
      <c r="J591" s="2">
        <v>0</v>
      </c>
      <c r="K591" s="7">
        <v>23369.279999999999</v>
      </c>
      <c r="L591" s="1" t="s">
        <v>2347</v>
      </c>
      <c r="M591" s="2" t="s">
        <v>2365</v>
      </c>
    </row>
    <row r="592" spans="1:13" x14ac:dyDescent="0.3">
      <c r="A592" s="2" t="s">
        <v>1158</v>
      </c>
      <c r="B592" s="5">
        <v>45760</v>
      </c>
      <c r="C592" s="2" t="s">
        <v>1159</v>
      </c>
      <c r="D592" s="2" t="s">
        <v>53</v>
      </c>
      <c r="E592" s="2" t="s">
        <v>170</v>
      </c>
      <c r="F592" s="2" t="s">
        <v>34</v>
      </c>
      <c r="G592" s="2" t="s">
        <v>35</v>
      </c>
      <c r="H592" s="2">
        <v>31</v>
      </c>
      <c r="I592" s="7">
        <v>813.05</v>
      </c>
      <c r="J592" s="2">
        <v>5</v>
      </c>
      <c r="K592" s="7">
        <v>23944.32</v>
      </c>
      <c r="L592" s="2" t="s">
        <v>49</v>
      </c>
      <c r="M592" s="2" t="s">
        <v>2364</v>
      </c>
    </row>
    <row r="593" spans="1:13" x14ac:dyDescent="0.3">
      <c r="A593" s="2" t="s">
        <v>1920</v>
      </c>
      <c r="B593" s="5">
        <v>46219</v>
      </c>
      <c r="C593" s="2" t="s">
        <v>1921</v>
      </c>
      <c r="D593" s="2" t="s">
        <v>46</v>
      </c>
      <c r="E593" s="2" t="s">
        <v>78</v>
      </c>
      <c r="F593" s="2" t="s">
        <v>34</v>
      </c>
      <c r="G593" s="2" t="s">
        <v>35</v>
      </c>
      <c r="H593" s="2">
        <v>42</v>
      </c>
      <c r="I593" s="7">
        <v>571.84</v>
      </c>
      <c r="J593" s="2">
        <v>0</v>
      </c>
      <c r="K593" s="7">
        <v>24017.279999999999</v>
      </c>
      <c r="L593" s="2" t="s">
        <v>69</v>
      </c>
      <c r="M593" s="2" t="s">
        <v>2365</v>
      </c>
    </row>
    <row r="594" spans="1:13" x14ac:dyDescent="0.3">
      <c r="A594" s="2" t="s">
        <v>1977</v>
      </c>
      <c r="B594" s="5">
        <v>45616</v>
      </c>
      <c r="C594" s="2" t="s">
        <v>1978</v>
      </c>
      <c r="D594" s="2" t="s">
        <v>24</v>
      </c>
      <c r="E594" s="2" t="s">
        <v>59</v>
      </c>
      <c r="F594" s="2" t="s">
        <v>34</v>
      </c>
      <c r="G594" s="2" t="s">
        <v>35</v>
      </c>
      <c r="H594" s="2">
        <v>45</v>
      </c>
      <c r="I594" s="7">
        <v>536.63</v>
      </c>
      <c r="J594" s="2">
        <v>0</v>
      </c>
      <c r="K594" s="7">
        <v>24148.35</v>
      </c>
      <c r="L594" s="1" t="s">
        <v>2347</v>
      </c>
      <c r="M594" s="2" t="s">
        <v>2364</v>
      </c>
    </row>
    <row r="595" spans="1:13" x14ac:dyDescent="0.3">
      <c r="A595" s="2" t="s">
        <v>516</v>
      </c>
      <c r="B595" s="5">
        <v>45859</v>
      </c>
      <c r="C595" s="2" t="s">
        <v>517</v>
      </c>
      <c r="D595" s="2" t="s">
        <v>46</v>
      </c>
      <c r="E595" s="2" t="s">
        <v>244</v>
      </c>
      <c r="F595" s="2" t="s">
        <v>34</v>
      </c>
      <c r="G595" s="2" t="s">
        <v>35</v>
      </c>
      <c r="H595" s="2">
        <v>32</v>
      </c>
      <c r="I595" s="7">
        <v>851.27</v>
      </c>
      <c r="J595" s="2">
        <v>10</v>
      </c>
      <c r="K595" s="7">
        <v>24516.58</v>
      </c>
      <c r="L595" s="2" t="s">
        <v>31</v>
      </c>
      <c r="M595" s="2" t="s">
        <v>2364</v>
      </c>
    </row>
    <row r="596" spans="1:13" x14ac:dyDescent="0.3">
      <c r="A596" s="2" t="s">
        <v>1027</v>
      </c>
      <c r="B596" s="5">
        <v>45719</v>
      </c>
      <c r="C596" s="2" t="s">
        <v>522</v>
      </c>
      <c r="D596" s="2" t="s">
        <v>24</v>
      </c>
      <c r="E596" s="2" t="s">
        <v>104</v>
      </c>
      <c r="F596" s="2" t="s">
        <v>34</v>
      </c>
      <c r="G596" s="2" t="s">
        <v>35</v>
      </c>
      <c r="H596" s="2">
        <v>35</v>
      </c>
      <c r="I596" s="7">
        <v>703.93</v>
      </c>
      <c r="J596" s="2">
        <v>0</v>
      </c>
      <c r="K596" s="7">
        <v>24637.55</v>
      </c>
      <c r="L596" s="2" t="s">
        <v>27</v>
      </c>
      <c r="M596" s="2" t="s">
        <v>2364</v>
      </c>
    </row>
    <row r="597" spans="1:13" x14ac:dyDescent="0.3">
      <c r="A597" s="2" t="s">
        <v>1806</v>
      </c>
      <c r="B597" s="5">
        <v>46162</v>
      </c>
      <c r="C597" s="2" t="s">
        <v>1807</v>
      </c>
      <c r="D597" s="2" t="s">
        <v>16</v>
      </c>
      <c r="E597" s="2" t="s">
        <v>17</v>
      </c>
      <c r="F597" s="2" t="s">
        <v>34</v>
      </c>
      <c r="G597" s="2" t="s">
        <v>35</v>
      </c>
      <c r="H597" s="2">
        <v>44</v>
      </c>
      <c r="I597" s="7">
        <v>668.31</v>
      </c>
      <c r="J597" s="2">
        <v>15</v>
      </c>
      <c r="K597" s="7">
        <v>24994.79</v>
      </c>
      <c r="L597" s="2" t="s">
        <v>31</v>
      </c>
      <c r="M597" s="2" t="s">
        <v>2364</v>
      </c>
    </row>
    <row r="598" spans="1:13" x14ac:dyDescent="0.3">
      <c r="A598" s="2" t="s">
        <v>751</v>
      </c>
      <c r="B598" s="5">
        <v>46012</v>
      </c>
      <c r="C598" s="2" t="s">
        <v>752</v>
      </c>
      <c r="D598" s="2" t="s">
        <v>46</v>
      </c>
      <c r="E598" s="2" t="s">
        <v>124</v>
      </c>
      <c r="F598" s="2" t="s">
        <v>34</v>
      </c>
      <c r="G598" s="2" t="s">
        <v>35</v>
      </c>
      <c r="H598" s="2">
        <v>28</v>
      </c>
      <c r="I598" s="7">
        <v>895.15</v>
      </c>
      <c r="J598" s="2">
        <v>0</v>
      </c>
      <c r="K598" s="7">
        <v>25064.2</v>
      </c>
      <c r="L598" s="2" t="s">
        <v>31</v>
      </c>
      <c r="M598" s="2" t="s">
        <v>2364</v>
      </c>
    </row>
    <row r="599" spans="1:13" x14ac:dyDescent="0.3">
      <c r="A599" s="2" t="s">
        <v>1124</v>
      </c>
      <c r="B599" s="5">
        <v>46295</v>
      </c>
      <c r="C599" s="2" t="s">
        <v>1125</v>
      </c>
      <c r="D599" s="2" t="s">
        <v>24</v>
      </c>
      <c r="E599" s="2" t="s">
        <v>59</v>
      </c>
      <c r="F599" s="2" t="s">
        <v>34</v>
      </c>
      <c r="G599" s="2" t="s">
        <v>35</v>
      </c>
      <c r="H599" s="2">
        <v>46</v>
      </c>
      <c r="I599" s="7">
        <v>645.16</v>
      </c>
      <c r="J599" s="2">
        <v>15</v>
      </c>
      <c r="K599" s="7">
        <v>25225.759999999998</v>
      </c>
      <c r="L599" s="2" t="s">
        <v>31</v>
      </c>
      <c r="M599" s="2" t="s">
        <v>2364</v>
      </c>
    </row>
    <row r="600" spans="1:13" x14ac:dyDescent="0.3">
      <c r="A600" s="2" t="s">
        <v>1247</v>
      </c>
      <c r="B600" s="5">
        <v>46269</v>
      </c>
      <c r="C600" s="2" t="s">
        <v>1165</v>
      </c>
      <c r="D600" s="2" t="s">
        <v>16</v>
      </c>
      <c r="E600" s="2" t="s">
        <v>17</v>
      </c>
      <c r="F600" s="2" t="s">
        <v>34</v>
      </c>
      <c r="G600" s="2" t="s">
        <v>35</v>
      </c>
      <c r="H600" s="2">
        <v>38</v>
      </c>
      <c r="I600" s="7">
        <v>698.78</v>
      </c>
      <c r="J600" s="2">
        <v>0</v>
      </c>
      <c r="K600" s="7">
        <v>26553.64</v>
      </c>
      <c r="L600" s="1" t="s">
        <v>2347</v>
      </c>
      <c r="M600" s="2" t="s">
        <v>2365</v>
      </c>
    </row>
    <row r="601" spans="1:13" x14ac:dyDescent="0.3">
      <c r="A601" s="2" t="s">
        <v>759</v>
      </c>
      <c r="B601" s="5">
        <v>46121</v>
      </c>
      <c r="C601" s="2" t="s">
        <v>760</v>
      </c>
      <c r="D601" s="2" t="s">
        <v>24</v>
      </c>
      <c r="E601" s="2" t="s">
        <v>59</v>
      </c>
      <c r="F601" s="2" t="s">
        <v>34</v>
      </c>
      <c r="G601" s="2" t="s">
        <v>35</v>
      </c>
      <c r="H601" s="2">
        <v>49</v>
      </c>
      <c r="I601" s="7">
        <v>564.42999999999995</v>
      </c>
      <c r="J601" s="2">
        <v>0</v>
      </c>
      <c r="K601" s="7">
        <v>27657.07</v>
      </c>
      <c r="L601" s="1" t="s">
        <v>2347</v>
      </c>
      <c r="M601" s="2" t="s">
        <v>2364</v>
      </c>
    </row>
    <row r="602" spans="1:13" x14ac:dyDescent="0.3">
      <c r="A602" s="2" t="s">
        <v>1720</v>
      </c>
      <c r="B602" s="5">
        <v>45767</v>
      </c>
      <c r="C602" s="2" t="s">
        <v>1721</v>
      </c>
      <c r="D602" s="2" t="s">
        <v>46</v>
      </c>
      <c r="E602" s="2" t="s">
        <v>83</v>
      </c>
      <c r="F602" s="2" t="s">
        <v>34</v>
      </c>
      <c r="G602" s="2" t="s">
        <v>35</v>
      </c>
      <c r="H602" s="2">
        <v>46</v>
      </c>
      <c r="I602" s="7">
        <v>670.33</v>
      </c>
      <c r="J602" s="2">
        <v>10</v>
      </c>
      <c r="K602" s="7">
        <v>27751.66</v>
      </c>
      <c r="L602" s="2" t="s">
        <v>31</v>
      </c>
      <c r="M602" s="2" t="s">
        <v>2364</v>
      </c>
    </row>
    <row r="603" spans="1:13" x14ac:dyDescent="0.3">
      <c r="A603" s="2" t="s">
        <v>876</v>
      </c>
      <c r="B603" s="5">
        <v>45599</v>
      </c>
      <c r="C603" s="2" t="s">
        <v>877</v>
      </c>
      <c r="D603" s="2" t="s">
        <v>16</v>
      </c>
      <c r="E603" s="2" t="s">
        <v>74</v>
      </c>
      <c r="F603" s="2" t="s">
        <v>34</v>
      </c>
      <c r="G603" s="2" t="s">
        <v>35</v>
      </c>
      <c r="H603" s="2">
        <v>49</v>
      </c>
      <c r="I603" s="7">
        <v>725.05</v>
      </c>
      <c r="J603" s="2">
        <v>5</v>
      </c>
      <c r="K603" s="7">
        <v>33751.08</v>
      </c>
      <c r="L603" s="1" t="s">
        <v>2347</v>
      </c>
      <c r="M603" s="2" t="s">
        <v>2364</v>
      </c>
    </row>
    <row r="604" spans="1:13" x14ac:dyDescent="0.3">
      <c r="A604" s="2" t="s">
        <v>1477</v>
      </c>
      <c r="B604" s="5">
        <v>46214</v>
      </c>
      <c r="C604" s="2" t="s">
        <v>228</v>
      </c>
      <c r="D604" s="2" t="s">
        <v>46</v>
      </c>
      <c r="E604" s="2" t="s">
        <v>83</v>
      </c>
      <c r="F604" s="2" t="s">
        <v>103</v>
      </c>
      <c r="G604" s="2" t="s">
        <v>35</v>
      </c>
      <c r="H604" s="2">
        <v>1</v>
      </c>
      <c r="I604" s="7">
        <v>367.24</v>
      </c>
      <c r="J604" s="2">
        <v>0</v>
      </c>
      <c r="K604" s="7">
        <v>367.24</v>
      </c>
      <c r="L604" s="2" t="s">
        <v>27</v>
      </c>
      <c r="M604" s="2" t="s">
        <v>2365</v>
      </c>
    </row>
    <row r="605" spans="1:13" x14ac:dyDescent="0.3">
      <c r="A605" s="2" t="s">
        <v>1623</v>
      </c>
      <c r="B605" s="5">
        <v>45759</v>
      </c>
      <c r="C605" s="2" t="s">
        <v>1624</v>
      </c>
      <c r="D605" s="2" t="s">
        <v>53</v>
      </c>
      <c r="E605" s="2" t="s">
        <v>141</v>
      </c>
      <c r="F605" s="2" t="s">
        <v>103</v>
      </c>
      <c r="G605" s="2" t="s">
        <v>35</v>
      </c>
      <c r="H605" s="2">
        <v>1</v>
      </c>
      <c r="I605" s="7">
        <v>394.23</v>
      </c>
      <c r="J605" s="2">
        <v>0</v>
      </c>
      <c r="K605" s="7">
        <v>394.23</v>
      </c>
      <c r="L605" s="1" t="s">
        <v>2347</v>
      </c>
      <c r="M605" s="2" t="s">
        <v>2365</v>
      </c>
    </row>
    <row r="606" spans="1:13" x14ac:dyDescent="0.3">
      <c r="A606" s="2" t="s">
        <v>1964</v>
      </c>
      <c r="B606" s="5">
        <v>45990</v>
      </c>
      <c r="C606" s="2" t="s">
        <v>1695</v>
      </c>
      <c r="D606" s="2" t="s">
        <v>53</v>
      </c>
      <c r="E606" s="2" t="s">
        <v>54</v>
      </c>
      <c r="F606" s="2" t="s">
        <v>103</v>
      </c>
      <c r="G606" s="2" t="s">
        <v>35</v>
      </c>
      <c r="H606" s="2">
        <v>4</v>
      </c>
      <c r="I606" s="7">
        <v>320.8</v>
      </c>
      <c r="J606" s="2">
        <v>5</v>
      </c>
      <c r="K606" s="7">
        <v>1219.04</v>
      </c>
      <c r="L606" s="2" t="s">
        <v>49</v>
      </c>
      <c r="M606" s="2" t="s">
        <v>2364</v>
      </c>
    </row>
    <row r="607" spans="1:13" x14ac:dyDescent="0.3">
      <c r="A607" s="2" t="s">
        <v>1558</v>
      </c>
      <c r="B607" s="5">
        <v>46237</v>
      </c>
      <c r="C607" s="2" t="s">
        <v>1559</v>
      </c>
      <c r="D607" s="2" t="s">
        <v>53</v>
      </c>
      <c r="E607" s="2" t="s">
        <v>134</v>
      </c>
      <c r="F607" s="2" t="s">
        <v>103</v>
      </c>
      <c r="G607" s="2" t="s">
        <v>35</v>
      </c>
      <c r="H607" s="2">
        <v>3</v>
      </c>
      <c r="I607" s="7">
        <v>593.08000000000004</v>
      </c>
      <c r="J607" s="2">
        <v>20</v>
      </c>
      <c r="K607" s="7">
        <v>1423.39</v>
      </c>
      <c r="L607" s="2" t="s">
        <v>69</v>
      </c>
      <c r="M607" s="2" t="s">
        <v>2364</v>
      </c>
    </row>
    <row r="608" spans="1:13" x14ac:dyDescent="0.3">
      <c r="A608" s="2" t="s">
        <v>155</v>
      </c>
      <c r="B608" s="5">
        <v>45740</v>
      </c>
      <c r="C608" s="2" t="s">
        <v>156</v>
      </c>
      <c r="D608" s="2" t="s">
        <v>53</v>
      </c>
      <c r="E608" s="2" t="s">
        <v>141</v>
      </c>
      <c r="F608" s="2" t="s">
        <v>103</v>
      </c>
      <c r="G608" s="2" t="s">
        <v>35</v>
      </c>
      <c r="H608" s="2">
        <v>8</v>
      </c>
      <c r="I608" s="7">
        <v>314.86</v>
      </c>
      <c r="J608" s="2">
        <v>15</v>
      </c>
      <c r="K608" s="7">
        <v>2141.0500000000002</v>
      </c>
      <c r="L608" s="2" t="s">
        <v>27</v>
      </c>
      <c r="M608" s="2" t="s">
        <v>2364</v>
      </c>
    </row>
    <row r="609" spans="1:13" x14ac:dyDescent="0.3">
      <c r="A609" s="2" t="s">
        <v>962</v>
      </c>
      <c r="B609" s="5">
        <v>45968</v>
      </c>
      <c r="C609" s="2" t="s">
        <v>963</v>
      </c>
      <c r="D609" s="2" t="s">
        <v>53</v>
      </c>
      <c r="E609" s="2" t="s">
        <v>67</v>
      </c>
      <c r="F609" s="2" t="s">
        <v>103</v>
      </c>
      <c r="G609" s="2" t="s">
        <v>35</v>
      </c>
      <c r="H609" s="2">
        <v>8</v>
      </c>
      <c r="I609" s="7">
        <v>303.57</v>
      </c>
      <c r="J609" s="2">
        <v>10</v>
      </c>
      <c r="K609" s="7">
        <v>2185.6999999999998</v>
      </c>
      <c r="L609" s="2" t="s">
        <v>69</v>
      </c>
      <c r="M609" s="2" t="s">
        <v>2365</v>
      </c>
    </row>
    <row r="610" spans="1:13" x14ac:dyDescent="0.3">
      <c r="A610" s="2" t="s">
        <v>682</v>
      </c>
      <c r="B610" s="5">
        <v>46130</v>
      </c>
      <c r="C610" s="2" t="s">
        <v>683</v>
      </c>
      <c r="D610" s="2" t="s">
        <v>16</v>
      </c>
      <c r="E610" s="2" t="s">
        <v>160</v>
      </c>
      <c r="F610" s="2" t="s">
        <v>103</v>
      </c>
      <c r="G610" s="2" t="s">
        <v>35</v>
      </c>
      <c r="H610" s="2">
        <v>9</v>
      </c>
      <c r="I610" s="7">
        <v>347.72</v>
      </c>
      <c r="J610" s="2">
        <v>5</v>
      </c>
      <c r="K610" s="7">
        <v>2973.01</v>
      </c>
      <c r="L610" s="2" t="s">
        <v>49</v>
      </c>
      <c r="M610" s="2" t="s">
        <v>2365</v>
      </c>
    </row>
    <row r="611" spans="1:13" x14ac:dyDescent="0.3">
      <c r="A611" s="2" t="s">
        <v>1138</v>
      </c>
      <c r="B611" s="5">
        <v>46216</v>
      </c>
      <c r="C611" s="2" t="s">
        <v>1139</v>
      </c>
      <c r="D611" s="2" t="s">
        <v>46</v>
      </c>
      <c r="E611" s="2" t="s">
        <v>83</v>
      </c>
      <c r="F611" s="2" t="s">
        <v>103</v>
      </c>
      <c r="G611" s="2" t="s">
        <v>35</v>
      </c>
      <c r="H611" s="2">
        <v>14</v>
      </c>
      <c r="I611" s="7">
        <v>273.23</v>
      </c>
      <c r="J611" s="2">
        <v>10</v>
      </c>
      <c r="K611" s="7">
        <v>3442.7</v>
      </c>
      <c r="L611" s="2" t="s">
        <v>69</v>
      </c>
      <c r="M611" s="2" t="s">
        <v>2365</v>
      </c>
    </row>
    <row r="612" spans="1:13" x14ac:dyDescent="0.3">
      <c r="A612" s="2" t="s">
        <v>1603</v>
      </c>
      <c r="B612" s="5">
        <v>45899</v>
      </c>
      <c r="C612" s="2" t="s">
        <v>282</v>
      </c>
      <c r="D612" s="2" t="s">
        <v>53</v>
      </c>
      <c r="E612" s="2" t="s">
        <v>170</v>
      </c>
      <c r="F612" s="2" t="s">
        <v>103</v>
      </c>
      <c r="G612" s="2" t="s">
        <v>35</v>
      </c>
      <c r="H612" s="2">
        <v>10</v>
      </c>
      <c r="I612" s="7">
        <v>499.87</v>
      </c>
      <c r="J612" s="2">
        <v>15</v>
      </c>
      <c r="K612" s="7">
        <v>4248.8900000000003</v>
      </c>
      <c r="L612" s="2" t="s">
        <v>31</v>
      </c>
      <c r="M612" s="2" t="s">
        <v>2365</v>
      </c>
    </row>
    <row r="613" spans="1:13" x14ac:dyDescent="0.3">
      <c r="A613" s="2" t="s">
        <v>370</v>
      </c>
      <c r="B613" s="5">
        <v>46134</v>
      </c>
      <c r="C613" s="2" t="s">
        <v>371</v>
      </c>
      <c r="D613" s="2" t="s">
        <v>24</v>
      </c>
      <c r="E613" s="2" t="s">
        <v>41</v>
      </c>
      <c r="F613" s="2" t="s">
        <v>103</v>
      </c>
      <c r="G613" s="2" t="s">
        <v>35</v>
      </c>
      <c r="H613" s="2">
        <v>18</v>
      </c>
      <c r="I613" s="7">
        <v>264.27999999999997</v>
      </c>
      <c r="J613" s="2">
        <v>10</v>
      </c>
      <c r="K613" s="7">
        <v>4281.34</v>
      </c>
      <c r="L613" s="2" t="s">
        <v>69</v>
      </c>
      <c r="M613" s="2" t="s">
        <v>2364</v>
      </c>
    </row>
    <row r="614" spans="1:13" x14ac:dyDescent="0.3">
      <c r="A614" s="2" t="s">
        <v>519</v>
      </c>
      <c r="B614" s="5">
        <v>45857</v>
      </c>
      <c r="C614" s="2" t="s">
        <v>520</v>
      </c>
      <c r="D614" s="2" t="s">
        <v>46</v>
      </c>
      <c r="E614" s="2" t="s">
        <v>83</v>
      </c>
      <c r="F614" s="2" t="s">
        <v>103</v>
      </c>
      <c r="G614" s="2" t="s">
        <v>35</v>
      </c>
      <c r="H614" s="2">
        <v>11</v>
      </c>
      <c r="I614" s="7">
        <v>392.91</v>
      </c>
      <c r="J614" s="2">
        <v>0</v>
      </c>
      <c r="K614" s="7">
        <v>4322.01</v>
      </c>
      <c r="L614" s="2" t="s">
        <v>69</v>
      </c>
      <c r="M614" s="2" t="s">
        <v>2364</v>
      </c>
    </row>
    <row r="615" spans="1:13" x14ac:dyDescent="0.3">
      <c r="A615" s="2" t="s">
        <v>1414</v>
      </c>
      <c r="B615" s="5">
        <v>45836</v>
      </c>
      <c r="C615" s="2" t="s">
        <v>302</v>
      </c>
      <c r="D615" s="2" t="s">
        <v>53</v>
      </c>
      <c r="E615" s="2" t="s">
        <v>67</v>
      </c>
      <c r="F615" s="2" t="s">
        <v>103</v>
      </c>
      <c r="G615" s="2" t="s">
        <v>35</v>
      </c>
      <c r="H615" s="2">
        <v>13</v>
      </c>
      <c r="I615" s="7">
        <v>334.58</v>
      </c>
      <c r="J615" s="2">
        <v>0</v>
      </c>
      <c r="K615" s="7">
        <v>4349.54</v>
      </c>
      <c r="L615" s="2" t="s">
        <v>31</v>
      </c>
      <c r="M615" s="2" t="s">
        <v>2364</v>
      </c>
    </row>
    <row r="616" spans="1:13" x14ac:dyDescent="0.3">
      <c r="A616" s="2" t="s">
        <v>1372</v>
      </c>
      <c r="B616" s="5">
        <v>45923</v>
      </c>
      <c r="C616" s="2" t="s">
        <v>267</v>
      </c>
      <c r="D616" s="2" t="s">
        <v>16</v>
      </c>
      <c r="E616" s="2" t="s">
        <v>111</v>
      </c>
      <c r="F616" s="2" t="s">
        <v>103</v>
      </c>
      <c r="G616" s="2" t="s">
        <v>35</v>
      </c>
      <c r="H616" s="2">
        <v>15</v>
      </c>
      <c r="I616" s="7">
        <v>304.25</v>
      </c>
      <c r="J616" s="2">
        <v>0</v>
      </c>
      <c r="K616" s="7">
        <v>4563.75</v>
      </c>
      <c r="L616" s="2" t="s">
        <v>31</v>
      </c>
      <c r="M616" s="2" t="s">
        <v>2364</v>
      </c>
    </row>
    <row r="617" spans="1:13" x14ac:dyDescent="0.3">
      <c r="A617" s="2" t="s">
        <v>905</v>
      </c>
      <c r="B617" s="5">
        <v>45817</v>
      </c>
      <c r="C617" s="2" t="s">
        <v>906</v>
      </c>
      <c r="D617" s="2" t="s">
        <v>46</v>
      </c>
      <c r="E617" s="2" t="s">
        <v>78</v>
      </c>
      <c r="F617" s="2" t="s">
        <v>103</v>
      </c>
      <c r="G617" s="2" t="s">
        <v>35</v>
      </c>
      <c r="H617" s="2">
        <v>16</v>
      </c>
      <c r="I617" s="7">
        <v>325.27999999999997</v>
      </c>
      <c r="J617" s="2">
        <v>10</v>
      </c>
      <c r="K617" s="7">
        <v>4684.03</v>
      </c>
      <c r="L617" s="2" t="s">
        <v>31</v>
      </c>
      <c r="M617" s="2" t="s">
        <v>2364</v>
      </c>
    </row>
    <row r="618" spans="1:13" x14ac:dyDescent="0.3">
      <c r="A618" s="2" t="s">
        <v>1641</v>
      </c>
      <c r="B618" s="5">
        <v>45787</v>
      </c>
      <c r="C618" s="2" t="s">
        <v>1642</v>
      </c>
      <c r="D618" s="2" t="s">
        <v>16</v>
      </c>
      <c r="E618" s="2" t="s">
        <v>111</v>
      </c>
      <c r="F618" s="2" t="s">
        <v>103</v>
      </c>
      <c r="G618" s="2" t="s">
        <v>35</v>
      </c>
      <c r="H618" s="2">
        <v>14</v>
      </c>
      <c r="I618" s="7">
        <v>425.03</v>
      </c>
      <c r="J618" s="2">
        <v>5</v>
      </c>
      <c r="K618" s="7">
        <v>5652.9</v>
      </c>
      <c r="L618" s="2" t="s">
        <v>69</v>
      </c>
      <c r="M618" s="2" t="s">
        <v>2364</v>
      </c>
    </row>
    <row r="619" spans="1:13" x14ac:dyDescent="0.3">
      <c r="A619" s="2" t="s">
        <v>2271</v>
      </c>
      <c r="B619" s="5">
        <v>46244</v>
      </c>
      <c r="C619" s="2" t="s">
        <v>2272</v>
      </c>
      <c r="D619" s="2" t="s">
        <v>46</v>
      </c>
      <c r="E619" s="2" t="s">
        <v>244</v>
      </c>
      <c r="F619" s="2" t="s">
        <v>103</v>
      </c>
      <c r="G619" s="2" t="s">
        <v>35</v>
      </c>
      <c r="H619" s="2">
        <v>19</v>
      </c>
      <c r="I619" s="7">
        <v>307.56</v>
      </c>
      <c r="J619" s="2">
        <v>0</v>
      </c>
      <c r="K619" s="7">
        <v>5843.64</v>
      </c>
      <c r="L619" s="2" t="s">
        <v>31</v>
      </c>
      <c r="M619" s="2" t="s">
        <v>2364</v>
      </c>
    </row>
    <row r="620" spans="1:13" x14ac:dyDescent="0.3">
      <c r="A620" s="2" t="s">
        <v>1716</v>
      </c>
      <c r="B620" s="5">
        <v>46227</v>
      </c>
      <c r="C620" s="2" t="s">
        <v>1717</v>
      </c>
      <c r="D620" s="2" t="s">
        <v>46</v>
      </c>
      <c r="E620" s="2" t="s">
        <v>47</v>
      </c>
      <c r="F620" s="2" t="s">
        <v>103</v>
      </c>
      <c r="G620" s="2" t="s">
        <v>35</v>
      </c>
      <c r="H620" s="2">
        <v>13</v>
      </c>
      <c r="I620" s="7">
        <v>585.21</v>
      </c>
      <c r="J620" s="2">
        <v>20</v>
      </c>
      <c r="K620" s="7">
        <v>6086.18</v>
      </c>
      <c r="L620" s="2" t="s">
        <v>31</v>
      </c>
      <c r="M620" s="2" t="s">
        <v>2365</v>
      </c>
    </row>
    <row r="621" spans="1:13" x14ac:dyDescent="0.3">
      <c r="A621" s="2" t="s">
        <v>1470</v>
      </c>
      <c r="B621" s="5">
        <v>45999</v>
      </c>
      <c r="C621" s="2" t="s">
        <v>1471</v>
      </c>
      <c r="D621" s="2" t="s">
        <v>24</v>
      </c>
      <c r="E621" s="2" t="s">
        <v>104</v>
      </c>
      <c r="F621" s="2" t="s">
        <v>103</v>
      </c>
      <c r="G621" s="2" t="s">
        <v>35</v>
      </c>
      <c r="H621" s="2">
        <v>15</v>
      </c>
      <c r="I621" s="7">
        <v>432.69</v>
      </c>
      <c r="J621" s="2">
        <v>0</v>
      </c>
      <c r="K621" s="7">
        <v>6490.35</v>
      </c>
      <c r="L621" s="2" t="s">
        <v>49</v>
      </c>
      <c r="M621" s="2" t="s">
        <v>2364</v>
      </c>
    </row>
    <row r="622" spans="1:13" x14ac:dyDescent="0.3">
      <c r="A622" s="2" t="s">
        <v>1508</v>
      </c>
      <c r="B622" s="5">
        <v>45887</v>
      </c>
      <c r="C622" s="2" t="s">
        <v>1509</v>
      </c>
      <c r="D622" s="2" t="s">
        <v>16</v>
      </c>
      <c r="E622" s="2" t="s">
        <v>160</v>
      </c>
      <c r="F622" s="2" t="s">
        <v>103</v>
      </c>
      <c r="G622" s="2" t="s">
        <v>35</v>
      </c>
      <c r="H622" s="2">
        <v>13</v>
      </c>
      <c r="I622" s="7">
        <v>537.61</v>
      </c>
      <c r="J622" s="2">
        <v>5</v>
      </c>
      <c r="K622" s="7">
        <v>6639.48</v>
      </c>
      <c r="L622" s="2" t="s">
        <v>69</v>
      </c>
      <c r="M622" s="2" t="s">
        <v>2365</v>
      </c>
    </row>
    <row r="623" spans="1:13" x14ac:dyDescent="0.3">
      <c r="A623" s="2" t="s">
        <v>101</v>
      </c>
      <c r="B623" s="5">
        <v>45780</v>
      </c>
      <c r="C623" s="2" t="s">
        <v>102</v>
      </c>
      <c r="D623" s="2" t="s">
        <v>24</v>
      </c>
      <c r="E623" s="2" t="s">
        <v>104</v>
      </c>
      <c r="F623" s="2" t="s">
        <v>103</v>
      </c>
      <c r="G623" s="2" t="s">
        <v>35</v>
      </c>
      <c r="H623" s="2">
        <v>18</v>
      </c>
      <c r="I623" s="7">
        <v>388.68</v>
      </c>
      <c r="J623" s="2">
        <v>5</v>
      </c>
      <c r="K623" s="7">
        <v>6646.43</v>
      </c>
      <c r="L623" s="2" t="s">
        <v>27</v>
      </c>
      <c r="M623" s="2" t="s">
        <v>2365</v>
      </c>
    </row>
    <row r="624" spans="1:13" x14ac:dyDescent="0.3">
      <c r="A624" s="2" t="s">
        <v>2131</v>
      </c>
      <c r="B624" s="5">
        <v>45878</v>
      </c>
      <c r="C624" s="2" t="s">
        <v>2132</v>
      </c>
      <c r="D624" s="2" t="s">
        <v>16</v>
      </c>
      <c r="E624" s="2" t="s">
        <v>91</v>
      </c>
      <c r="F624" s="2" t="s">
        <v>103</v>
      </c>
      <c r="G624" s="2" t="s">
        <v>35</v>
      </c>
      <c r="H624" s="2">
        <v>25</v>
      </c>
      <c r="I624" s="7">
        <v>300.70999999999998</v>
      </c>
      <c r="J624" s="2">
        <v>10</v>
      </c>
      <c r="K624" s="7">
        <v>6765.98</v>
      </c>
      <c r="L624" s="2" t="s">
        <v>69</v>
      </c>
      <c r="M624" s="2" t="s">
        <v>2365</v>
      </c>
    </row>
    <row r="625" spans="1:13" x14ac:dyDescent="0.3">
      <c r="A625" s="2" t="s">
        <v>2263</v>
      </c>
      <c r="B625" s="5">
        <v>46048</v>
      </c>
      <c r="C625" s="2" t="s">
        <v>2264</v>
      </c>
      <c r="D625" s="2" t="s">
        <v>24</v>
      </c>
      <c r="E625" s="2" t="s">
        <v>104</v>
      </c>
      <c r="F625" s="2" t="s">
        <v>103</v>
      </c>
      <c r="G625" s="2" t="s">
        <v>35</v>
      </c>
      <c r="H625" s="2">
        <v>16</v>
      </c>
      <c r="I625" s="7">
        <v>438.4</v>
      </c>
      <c r="J625" s="2">
        <v>0</v>
      </c>
      <c r="K625" s="7">
        <v>7014.4</v>
      </c>
      <c r="L625" s="2" t="s">
        <v>49</v>
      </c>
      <c r="M625" s="2" t="s">
        <v>2364</v>
      </c>
    </row>
    <row r="626" spans="1:13" x14ac:dyDescent="0.3">
      <c r="A626" s="2" t="s">
        <v>1497</v>
      </c>
      <c r="B626" s="5">
        <v>45772</v>
      </c>
      <c r="C626" s="2" t="s">
        <v>1498</v>
      </c>
      <c r="D626" s="2" t="s">
        <v>24</v>
      </c>
      <c r="E626" s="2" t="s">
        <v>36</v>
      </c>
      <c r="F626" s="2" t="s">
        <v>103</v>
      </c>
      <c r="G626" s="2" t="s">
        <v>35</v>
      </c>
      <c r="H626" s="2">
        <v>23</v>
      </c>
      <c r="I626" s="7">
        <v>305.10000000000002</v>
      </c>
      <c r="J626" s="2">
        <v>0</v>
      </c>
      <c r="K626" s="7">
        <v>7017.3</v>
      </c>
      <c r="L626" s="2" t="s">
        <v>49</v>
      </c>
      <c r="M626" s="2" t="s">
        <v>2364</v>
      </c>
    </row>
    <row r="627" spans="1:13" x14ac:dyDescent="0.3">
      <c r="A627" s="2" t="s">
        <v>1131</v>
      </c>
      <c r="B627" s="5">
        <v>45826</v>
      </c>
      <c r="C627" s="2" t="s">
        <v>1132</v>
      </c>
      <c r="D627" s="2" t="s">
        <v>24</v>
      </c>
      <c r="E627" s="2" t="s">
        <v>59</v>
      </c>
      <c r="F627" s="2" t="s">
        <v>103</v>
      </c>
      <c r="G627" s="2" t="s">
        <v>35</v>
      </c>
      <c r="H627" s="2">
        <v>16</v>
      </c>
      <c r="I627" s="7">
        <v>508.04</v>
      </c>
      <c r="J627" s="2">
        <v>10</v>
      </c>
      <c r="K627" s="7">
        <v>7315.78</v>
      </c>
      <c r="L627" s="2" t="s">
        <v>69</v>
      </c>
      <c r="M627" s="2" t="s">
        <v>2364</v>
      </c>
    </row>
    <row r="628" spans="1:13" x14ac:dyDescent="0.3">
      <c r="A628" s="2" t="s">
        <v>655</v>
      </c>
      <c r="B628" s="5">
        <v>45907</v>
      </c>
      <c r="C628" s="2" t="s">
        <v>656</v>
      </c>
      <c r="D628" s="2" t="s">
        <v>16</v>
      </c>
      <c r="E628" s="2" t="s">
        <v>160</v>
      </c>
      <c r="F628" s="2" t="s">
        <v>103</v>
      </c>
      <c r="G628" s="2" t="s">
        <v>35</v>
      </c>
      <c r="H628" s="2">
        <v>16</v>
      </c>
      <c r="I628" s="7">
        <v>519.89</v>
      </c>
      <c r="J628" s="2">
        <v>10</v>
      </c>
      <c r="K628" s="7">
        <v>7486.42</v>
      </c>
      <c r="L628" s="2" t="s">
        <v>31</v>
      </c>
      <c r="M628" s="2" t="s">
        <v>2365</v>
      </c>
    </row>
    <row r="629" spans="1:13" x14ac:dyDescent="0.3">
      <c r="A629" s="2" t="s">
        <v>152</v>
      </c>
      <c r="B629" s="5">
        <v>45613</v>
      </c>
      <c r="C629" s="2" t="s">
        <v>153</v>
      </c>
      <c r="D629" s="2" t="s">
        <v>24</v>
      </c>
      <c r="E629" s="2" t="s">
        <v>59</v>
      </c>
      <c r="F629" s="2" t="s">
        <v>103</v>
      </c>
      <c r="G629" s="2" t="s">
        <v>35</v>
      </c>
      <c r="H629" s="2">
        <v>30</v>
      </c>
      <c r="I629" s="7">
        <v>263.38</v>
      </c>
      <c r="J629" s="2">
        <v>0</v>
      </c>
      <c r="K629" s="7">
        <v>7901.4</v>
      </c>
      <c r="L629" s="1" t="s">
        <v>2347</v>
      </c>
      <c r="M629" s="2" t="s">
        <v>2364</v>
      </c>
    </row>
    <row r="630" spans="1:13" x14ac:dyDescent="0.3">
      <c r="A630" s="2" t="s">
        <v>1484</v>
      </c>
      <c r="B630" s="5">
        <v>45997</v>
      </c>
      <c r="C630" s="2" t="s">
        <v>1008</v>
      </c>
      <c r="D630" s="2" t="s">
        <v>53</v>
      </c>
      <c r="E630" s="2" t="s">
        <v>170</v>
      </c>
      <c r="F630" s="2" t="s">
        <v>103</v>
      </c>
      <c r="G630" s="2" t="s">
        <v>35</v>
      </c>
      <c r="H630" s="2">
        <v>22</v>
      </c>
      <c r="I630" s="7">
        <v>417.23</v>
      </c>
      <c r="J630" s="2">
        <v>5</v>
      </c>
      <c r="K630" s="7">
        <v>8720.11</v>
      </c>
      <c r="L630" s="2" t="s">
        <v>27</v>
      </c>
      <c r="M630" s="2" t="s">
        <v>2364</v>
      </c>
    </row>
    <row r="631" spans="1:13" x14ac:dyDescent="0.3">
      <c r="A631" s="2" t="s">
        <v>292</v>
      </c>
      <c r="B631" s="5">
        <v>46195</v>
      </c>
      <c r="C631" s="2" t="s">
        <v>293</v>
      </c>
      <c r="D631" s="2" t="s">
        <v>53</v>
      </c>
      <c r="E631" s="2" t="s">
        <v>141</v>
      </c>
      <c r="F631" s="2" t="s">
        <v>103</v>
      </c>
      <c r="G631" s="2" t="s">
        <v>35</v>
      </c>
      <c r="H631" s="2">
        <v>15</v>
      </c>
      <c r="I631" s="7">
        <v>583.48</v>
      </c>
      <c r="J631" s="2">
        <v>0</v>
      </c>
      <c r="K631" s="7">
        <v>8752.2000000000007</v>
      </c>
      <c r="L631" s="2" t="s">
        <v>27</v>
      </c>
      <c r="M631" s="2" t="s">
        <v>2365</v>
      </c>
    </row>
    <row r="632" spans="1:13" x14ac:dyDescent="0.3">
      <c r="A632" s="2" t="s">
        <v>740</v>
      </c>
      <c r="B632" s="5">
        <v>45930</v>
      </c>
      <c r="C632" s="2" t="s">
        <v>741</v>
      </c>
      <c r="D632" s="2" t="s">
        <v>46</v>
      </c>
      <c r="E632" s="2" t="s">
        <v>78</v>
      </c>
      <c r="F632" s="2" t="s">
        <v>103</v>
      </c>
      <c r="G632" s="2" t="s">
        <v>35</v>
      </c>
      <c r="H632" s="2">
        <v>38</v>
      </c>
      <c r="I632" s="7">
        <v>256.58</v>
      </c>
      <c r="J632" s="2">
        <v>10</v>
      </c>
      <c r="K632" s="7">
        <v>8775.0400000000009</v>
      </c>
      <c r="L632" s="2" t="s">
        <v>31</v>
      </c>
      <c r="M632" s="2" t="s">
        <v>2364</v>
      </c>
    </row>
    <row r="633" spans="1:13" x14ac:dyDescent="0.3">
      <c r="A633" s="2" t="s">
        <v>190</v>
      </c>
      <c r="B633" s="5">
        <v>46229</v>
      </c>
      <c r="C633" s="2" t="s">
        <v>191</v>
      </c>
      <c r="D633" s="2" t="s">
        <v>46</v>
      </c>
      <c r="E633" s="2" t="s">
        <v>124</v>
      </c>
      <c r="F633" s="2" t="s">
        <v>103</v>
      </c>
      <c r="G633" s="2" t="s">
        <v>35</v>
      </c>
      <c r="H633" s="2">
        <v>25</v>
      </c>
      <c r="I633" s="7">
        <v>444.02</v>
      </c>
      <c r="J633" s="2">
        <v>20</v>
      </c>
      <c r="K633" s="7">
        <v>8880.4</v>
      </c>
      <c r="L633" s="1" t="s">
        <v>2347</v>
      </c>
      <c r="M633" s="2" t="s">
        <v>2364</v>
      </c>
    </row>
    <row r="634" spans="1:13" x14ac:dyDescent="0.3">
      <c r="A634" s="2" t="s">
        <v>2185</v>
      </c>
      <c r="B634" s="5">
        <v>45965</v>
      </c>
      <c r="C634" s="2" t="s">
        <v>1767</v>
      </c>
      <c r="D634" s="2" t="s">
        <v>53</v>
      </c>
      <c r="E634" s="2" t="s">
        <v>67</v>
      </c>
      <c r="F634" s="2" t="s">
        <v>103</v>
      </c>
      <c r="G634" s="2" t="s">
        <v>35</v>
      </c>
      <c r="H634" s="2">
        <v>28</v>
      </c>
      <c r="I634" s="7">
        <v>336.2</v>
      </c>
      <c r="J634" s="2">
        <v>5</v>
      </c>
      <c r="K634" s="7">
        <v>8942.92</v>
      </c>
      <c r="L634" s="2" t="s">
        <v>49</v>
      </c>
      <c r="M634" s="2" t="s">
        <v>2364</v>
      </c>
    </row>
    <row r="635" spans="1:13" x14ac:dyDescent="0.3">
      <c r="A635" s="2" t="s">
        <v>1292</v>
      </c>
      <c r="B635" s="5">
        <v>46028</v>
      </c>
      <c r="C635" s="2" t="s">
        <v>253</v>
      </c>
      <c r="D635" s="2" t="s">
        <v>24</v>
      </c>
      <c r="E635" s="2" t="s">
        <v>41</v>
      </c>
      <c r="F635" s="2" t="s">
        <v>103</v>
      </c>
      <c r="G635" s="2" t="s">
        <v>35</v>
      </c>
      <c r="H635" s="2">
        <v>22</v>
      </c>
      <c r="I635" s="7">
        <v>451.42</v>
      </c>
      <c r="J635" s="2">
        <v>5</v>
      </c>
      <c r="K635" s="7">
        <v>9434.68</v>
      </c>
      <c r="L635" s="2" t="s">
        <v>27</v>
      </c>
      <c r="M635" s="2" t="s">
        <v>2364</v>
      </c>
    </row>
    <row r="636" spans="1:13" x14ac:dyDescent="0.3">
      <c r="A636" s="2" t="s">
        <v>2325</v>
      </c>
      <c r="B636" s="5">
        <v>45998</v>
      </c>
      <c r="C636" s="2" t="s">
        <v>29</v>
      </c>
      <c r="D636" s="2" t="s">
        <v>53</v>
      </c>
      <c r="E636" s="2" t="s">
        <v>170</v>
      </c>
      <c r="F636" s="2" t="s">
        <v>103</v>
      </c>
      <c r="G636" s="2" t="s">
        <v>35</v>
      </c>
      <c r="H636" s="2">
        <v>38</v>
      </c>
      <c r="I636" s="7">
        <v>291.64999999999998</v>
      </c>
      <c r="J636" s="2">
        <v>10</v>
      </c>
      <c r="K636" s="7">
        <v>9974.43</v>
      </c>
      <c r="L636" s="2" t="s">
        <v>27</v>
      </c>
      <c r="M636" s="2" t="s">
        <v>2364</v>
      </c>
    </row>
    <row r="637" spans="1:13" x14ac:dyDescent="0.3">
      <c r="A637" s="2" t="s">
        <v>983</v>
      </c>
      <c r="B637" s="5">
        <v>45859</v>
      </c>
      <c r="C637" s="2" t="s">
        <v>984</v>
      </c>
      <c r="D637" s="2" t="s">
        <v>24</v>
      </c>
      <c r="E637" s="2" t="s">
        <v>104</v>
      </c>
      <c r="F637" s="2" t="s">
        <v>103</v>
      </c>
      <c r="G637" s="2" t="s">
        <v>35</v>
      </c>
      <c r="H637" s="2">
        <v>25</v>
      </c>
      <c r="I637" s="7">
        <v>399.92</v>
      </c>
      <c r="J637" s="2">
        <v>0</v>
      </c>
      <c r="K637" s="7">
        <v>9998</v>
      </c>
      <c r="L637" s="2" t="s">
        <v>27</v>
      </c>
      <c r="M637" s="2" t="s">
        <v>2364</v>
      </c>
    </row>
    <row r="638" spans="1:13" x14ac:dyDescent="0.3">
      <c r="A638" s="2" t="s">
        <v>1261</v>
      </c>
      <c r="B638" s="5">
        <v>45714</v>
      </c>
      <c r="C638" s="2" t="s">
        <v>1262</v>
      </c>
      <c r="D638" s="2" t="s">
        <v>16</v>
      </c>
      <c r="E638" s="2" t="s">
        <v>91</v>
      </c>
      <c r="F638" s="2" t="s">
        <v>103</v>
      </c>
      <c r="G638" s="2" t="s">
        <v>35</v>
      </c>
      <c r="H638" s="2">
        <v>42</v>
      </c>
      <c r="I638" s="7">
        <v>266.86</v>
      </c>
      <c r="J638" s="2">
        <v>10</v>
      </c>
      <c r="K638" s="7">
        <v>10087.31</v>
      </c>
      <c r="L638" s="2" t="s">
        <v>69</v>
      </c>
      <c r="M638" s="2" t="s">
        <v>2364</v>
      </c>
    </row>
    <row r="639" spans="1:13" x14ac:dyDescent="0.3">
      <c r="A639" s="2" t="s">
        <v>1482</v>
      </c>
      <c r="B639" s="5">
        <v>45578</v>
      </c>
      <c r="C639" s="2" t="s">
        <v>1483</v>
      </c>
      <c r="D639" s="2" t="s">
        <v>16</v>
      </c>
      <c r="E639" s="2" t="s">
        <v>17</v>
      </c>
      <c r="F639" s="2" t="s">
        <v>103</v>
      </c>
      <c r="G639" s="2" t="s">
        <v>35</v>
      </c>
      <c r="H639" s="2">
        <v>27</v>
      </c>
      <c r="I639" s="7">
        <v>398.24</v>
      </c>
      <c r="J639" s="2">
        <v>0</v>
      </c>
      <c r="K639" s="7">
        <v>10752.48</v>
      </c>
      <c r="L639" s="2" t="s">
        <v>27</v>
      </c>
      <c r="M639" s="2" t="s">
        <v>2364</v>
      </c>
    </row>
    <row r="640" spans="1:13" x14ac:dyDescent="0.3">
      <c r="A640" s="2" t="s">
        <v>338</v>
      </c>
      <c r="B640" s="5">
        <v>45662</v>
      </c>
      <c r="C640" s="2" t="s">
        <v>339</v>
      </c>
      <c r="D640" s="2" t="s">
        <v>46</v>
      </c>
      <c r="E640" s="2" t="s">
        <v>83</v>
      </c>
      <c r="F640" s="2" t="s">
        <v>103</v>
      </c>
      <c r="G640" s="2" t="s">
        <v>35</v>
      </c>
      <c r="H640" s="2">
        <v>28</v>
      </c>
      <c r="I640" s="7">
        <v>406.75</v>
      </c>
      <c r="J640" s="2">
        <v>5</v>
      </c>
      <c r="K640" s="7">
        <v>10819.55</v>
      </c>
      <c r="L640" s="2" t="s">
        <v>31</v>
      </c>
      <c r="M640" s="2" t="s">
        <v>2365</v>
      </c>
    </row>
    <row r="641" spans="1:13" x14ac:dyDescent="0.3">
      <c r="A641" s="2" t="s">
        <v>1859</v>
      </c>
      <c r="B641" s="5">
        <v>46067</v>
      </c>
      <c r="C641" s="2" t="s">
        <v>1860</v>
      </c>
      <c r="D641" s="2" t="s">
        <v>16</v>
      </c>
      <c r="E641" s="2" t="s">
        <v>91</v>
      </c>
      <c r="F641" s="2" t="s">
        <v>103</v>
      </c>
      <c r="G641" s="2" t="s">
        <v>35</v>
      </c>
      <c r="H641" s="2">
        <v>24</v>
      </c>
      <c r="I641" s="7">
        <v>566.37</v>
      </c>
      <c r="J641" s="2">
        <v>20</v>
      </c>
      <c r="K641" s="7">
        <v>10874.3</v>
      </c>
      <c r="L641" s="2" t="s">
        <v>69</v>
      </c>
      <c r="M641" s="2" t="s">
        <v>2364</v>
      </c>
    </row>
    <row r="642" spans="1:13" x14ac:dyDescent="0.3">
      <c r="A642" s="2" t="s">
        <v>2072</v>
      </c>
      <c r="B642" s="5">
        <v>46182</v>
      </c>
      <c r="C642" s="2" t="s">
        <v>1056</v>
      </c>
      <c r="D642" s="2" t="s">
        <v>24</v>
      </c>
      <c r="E642" s="2" t="s">
        <v>59</v>
      </c>
      <c r="F642" s="2" t="s">
        <v>103</v>
      </c>
      <c r="G642" s="2" t="s">
        <v>35</v>
      </c>
      <c r="H642" s="2">
        <v>22</v>
      </c>
      <c r="I642" s="7">
        <v>496.55</v>
      </c>
      <c r="J642" s="2">
        <v>0</v>
      </c>
      <c r="K642" s="7">
        <v>10924.1</v>
      </c>
      <c r="L642" s="2" t="s">
        <v>69</v>
      </c>
      <c r="M642" s="2" t="s">
        <v>2364</v>
      </c>
    </row>
    <row r="643" spans="1:13" x14ac:dyDescent="0.3">
      <c r="A643" s="2" t="s">
        <v>375</v>
      </c>
      <c r="B643" s="5">
        <v>45845</v>
      </c>
      <c r="C643" s="2" t="s">
        <v>376</v>
      </c>
      <c r="D643" s="2" t="s">
        <v>46</v>
      </c>
      <c r="E643" s="2" t="s">
        <v>83</v>
      </c>
      <c r="F643" s="2" t="s">
        <v>103</v>
      </c>
      <c r="G643" s="2" t="s">
        <v>35</v>
      </c>
      <c r="H643" s="2">
        <v>22</v>
      </c>
      <c r="I643" s="7">
        <v>585.71</v>
      </c>
      <c r="J643" s="2">
        <v>15</v>
      </c>
      <c r="K643" s="7">
        <v>10952.78</v>
      </c>
      <c r="L643" s="2" t="s">
        <v>27</v>
      </c>
      <c r="M643" s="2" t="s">
        <v>2364</v>
      </c>
    </row>
    <row r="644" spans="1:13" x14ac:dyDescent="0.3">
      <c r="A644" s="2" t="s">
        <v>777</v>
      </c>
      <c r="B644" s="5">
        <v>46292</v>
      </c>
      <c r="C644" s="2" t="s">
        <v>778</v>
      </c>
      <c r="D644" s="2" t="s">
        <v>46</v>
      </c>
      <c r="E644" s="2" t="s">
        <v>83</v>
      </c>
      <c r="F644" s="2" t="s">
        <v>103</v>
      </c>
      <c r="G644" s="2" t="s">
        <v>35</v>
      </c>
      <c r="H644" s="2">
        <v>28</v>
      </c>
      <c r="I644" s="7">
        <v>436.51</v>
      </c>
      <c r="J644" s="2">
        <v>10</v>
      </c>
      <c r="K644" s="7">
        <v>11000.05</v>
      </c>
      <c r="L644" s="1" t="s">
        <v>2347</v>
      </c>
      <c r="M644" s="2" t="s">
        <v>2364</v>
      </c>
    </row>
    <row r="645" spans="1:13" x14ac:dyDescent="0.3">
      <c r="A645" s="2" t="s">
        <v>1098</v>
      </c>
      <c r="B645" s="5">
        <v>45812</v>
      </c>
      <c r="C645" s="2" t="s">
        <v>1099</v>
      </c>
      <c r="D645" s="2" t="s">
        <v>16</v>
      </c>
      <c r="E645" s="2" t="s">
        <v>160</v>
      </c>
      <c r="F645" s="2" t="s">
        <v>103</v>
      </c>
      <c r="G645" s="2" t="s">
        <v>35</v>
      </c>
      <c r="H645" s="2">
        <v>35</v>
      </c>
      <c r="I645" s="7">
        <v>332.35</v>
      </c>
      <c r="J645" s="2">
        <v>0</v>
      </c>
      <c r="K645" s="7">
        <v>11632.25</v>
      </c>
      <c r="L645" s="2" t="s">
        <v>31</v>
      </c>
      <c r="M645" s="2" t="s">
        <v>2365</v>
      </c>
    </row>
    <row r="646" spans="1:13" x14ac:dyDescent="0.3">
      <c r="A646" s="2" t="s">
        <v>106</v>
      </c>
      <c r="B646" s="5">
        <v>45962</v>
      </c>
      <c r="C646" s="2" t="s">
        <v>107</v>
      </c>
      <c r="D646" s="2" t="s">
        <v>53</v>
      </c>
      <c r="E646" s="2" t="s">
        <v>67</v>
      </c>
      <c r="F646" s="2" t="s">
        <v>103</v>
      </c>
      <c r="G646" s="2" t="s">
        <v>35</v>
      </c>
      <c r="H646" s="2">
        <v>32</v>
      </c>
      <c r="I646" s="7">
        <v>385.06</v>
      </c>
      <c r="J646" s="2">
        <v>5</v>
      </c>
      <c r="K646" s="7">
        <v>11705.82</v>
      </c>
      <c r="L646" s="2" t="s">
        <v>31</v>
      </c>
      <c r="M646" s="2" t="s">
        <v>2364</v>
      </c>
    </row>
    <row r="647" spans="1:13" x14ac:dyDescent="0.3">
      <c r="A647" s="2" t="s">
        <v>301</v>
      </c>
      <c r="B647" s="5">
        <v>45921</v>
      </c>
      <c r="C647" s="2" t="s">
        <v>302</v>
      </c>
      <c r="D647" s="2" t="s">
        <v>46</v>
      </c>
      <c r="E647" s="2" t="s">
        <v>47</v>
      </c>
      <c r="F647" s="2" t="s">
        <v>103</v>
      </c>
      <c r="G647" s="2" t="s">
        <v>35</v>
      </c>
      <c r="H647" s="2">
        <v>27</v>
      </c>
      <c r="I647" s="7">
        <v>439.83</v>
      </c>
      <c r="J647" s="2">
        <v>0</v>
      </c>
      <c r="K647" s="7">
        <v>11875.41</v>
      </c>
      <c r="L647" s="1" t="s">
        <v>2347</v>
      </c>
      <c r="M647" s="2" t="s">
        <v>2365</v>
      </c>
    </row>
    <row r="648" spans="1:13" x14ac:dyDescent="0.3">
      <c r="A648" s="2" t="s">
        <v>792</v>
      </c>
      <c r="B648" s="5">
        <v>45746</v>
      </c>
      <c r="C648" s="2" t="s">
        <v>793</v>
      </c>
      <c r="D648" s="2" t="s">
        <v>46</v>
      </c>
      <c r="E648" s="2" t="s">
        <v>124</v>
      </c>
      <c r="F648" s="2" t="s">
        <v>103</v>
      </c>
      <c r="G648" s="2" t="s">
        <v>35</v>
      </c>
      <c r="H648" s="2">
        <v>39</v>
      </c>
      <c r="I648" s="7">
        <v>361.77</v>
      </c>
      <c r="J648" s="2">
        <v>15</v>
      </c>
      <c r="K648" s="7">
        <v>11992.68</v>
      </c>
      <c r="L648" s="2" t="s">
        <v>49</v>
      </c>
      <c r="M648" s="2" t="s">
        <v>2365</v>
      </c>
    </row>
    <row r="649" spans="1:13" x14ac:dyDescent="0.3">
      <c r="A649" s="2" t="s">
        <v>464</v>
      </c>
      <c r="B649" s="5">
        <v>45824</v>
      </c>
      <c r="C649" s="2" t="s">
        <v>465</v>
      </c>
      <c r="D649" s="2" t="s">
        <v>46</v>
      </c>
      <c r="E649" s="2" t="s">
        <v>78</v>
      </c>
      <c r="F649" s="2" t="s">
        <v>103</v>
      </c>
      <c r="G649" s="2" t="s">
        <v>35</v>
      </c>
      <c r="H649" s="2">
        <v>46</v>
      </c>
      <c r="I649" s="7">
        <v>274.70999999999998</v>
      </c>
      <c r="J649" s="2">
        <v>5</v>
      </c>
      <c r="K649" s="7">
        <v>12004.83</v>
      </c>
      <c r="L649" s="2" t="s">
        <v>31</v>
      </c>
      <c r="M649" s="2" t="s">
        <v>2364</v>
      </c>
    </row>
    <row r="650" spans="1:13" x14ac:dyDescent="0.3">
      <c r="A650" s="2" t="s">
        <v>706</v>
      </c>
      <c r="B650" s="5">
        <v>46023</v>
      </c>
      <c r="C650" s="2" t="s">
        <v>707</v>
      </c>
      <c r="D650" s="2" t="s">
        <v>53</v>
      </c>
      <c r="E650" s="2" t="s">
        <v>134</v>
      </c>
      <c r="F650" s="2" t="s">
        <v>103</v>
      </c>
      <c r="G650" s="2" t="s">
        <v>35</v>
      </c>
      <c r="H650" s="2">
        <v>44</v>
      </c>
      <c r="I650" s="7">
        <v>322.31</v>
      </c>
      <c r="J650" s="2">
        <v>15</v>
      </c>
      <c r="K650" s="7">
        <v>12054.39</v>
      </c>
      <c r="L650" s="1" t="s">
        <v>2347</v>
      </c>
      <c r="M650" s="2" t="s">
        <v>2364</v>
      </c>
    </row>
    <row r="651" spans="1:13" x14ac:dyDescent="0.3">
      <c r="A651" s="2" t="s">
        <v>2328</v>
      </c>
      <c r="B651" s="5">
        <v>45762</v>
      </c>
      <c r="C651" s="2" t="s">
        <v>2329</v>
      </c>
      <c r="D651" s="2" t="s">
        <v>24</v>
      </c>
      <c r="E651" s="2" t="s">
        <v>59</v>
      </c>
      <c r="F651" s="2" t="s">
        <v>103</v>
      </c>
      <c r="G651" s="2" t="s">
        <v>35</v>
      </c>
      <c r="H651" s="2">
        <v>25</v>
      </c>
      <c r="I651" s="7">
        <v>504.96</v>
      </c>
      <c r="J651" s="2">
        <v>0</v>
      </c>
      <c r="K651" s="7">
        <v>12624</v>
      </c>
      <c r="L651" s="2" t="s">
        <v>31</v>
      </c>
      <c r="M651" s="2" t="s">
        <v>2365</v>
      </c>
    </row>
    <row r="652" spans="1:13" x14ac:dyDescent="0.3">
      <c r="A652" s="2" t="s">
        <v>1882</v>
      </c>
      <c r="B652" s="5">
        <v>45669</v>
      </c>
      <c r="C652" s="2" t="s">
        <v>589</v>
      </c>
      <c r="D652" s="2" t="s">
        <v>53</v>
      </c>
      <c r="E652" s="2" t="s">
        <v>141</v>
      </c>
      <c r="F652" s="2" t="s">
        <v>103</v>
      </c>
      <c r="G652" s="2" t="s">
        <v>35</v>
      </c>
      <c r="H652" s="2">
        <v>33</v>
      </c>
      <c r="I652" s="7">
        <v>395.3</v>
      </c>
      <c r="J652" s="2">
        <v>0</v>
      </c>
      <c r="K652" s="7">
        <v>13044.9</v>
      </c>
      <c r="L652" s="2" t="s">
        <v>69</v>
      </c>
      <c r="M652" s="2" t="s">
        <v>2364</v>
      </c>
    </row>
    <row r="653" spans="1:13" x14ac:dyDescent="0.3">
      <c r="A653" s="2" t="s">
        <v>1596</v>
      </c>
      <c r="B653" s="5">
        <v>45759</v>
      </c>
      <c r="C653" s="2" t="s">
        <v>253</v>
      </c>
      <c r="D653" s="2" t="s">
        <v>46</v>
      </c>
      <c r="E653" s="2" t="s">
        <v>47</v>
      </c>
      <c r="F653" s="2" t="s">
        <v>103</v>
      </c>
      <c r="G653" s="2" t="s">
        <v>35</v>
      </c>
      <c r="H653" s="2">
        <v>31</v>
      </c>
      <c r="I653" s="7">
        <v>430.04</v>
      </c>
      <c r="J653" s="2">
        <v>0</v>
      </c>
      <c r="K653" s="7">
        <v>13331.24</v>
      </c>
      <c r="L653" s="2" t="s">
        <v>31</v>
      </c>
      <c r="M653" s="2" t="s">
        <v>2364</v>
      </c>
    </row>
    <row r="654" spans="1:13" x14ac:dyDescent="0.3">
      <c r="A654" s="2" t="s">
        <v>230</v>
      </c>
      <c r="B654" s="5">
        <v>46068</v>
      </c>
      <c r="C654" s="2" t="s">
        <v>194</v>
      </c>
      <c r="D654" s="2" t="s">
        <v>46</v>
      </c>
      <c r="E654" s="2" t="s">
        <v>78</v>
      </c>
      <c r="F654" s="2" t="s">
        <v>103</v>
      </c>
      <c r="G654" s="2" t="s">
        <v>35</v>
      </c>
      <c r="H654" s="2">
        <v>34</v>
      </c>
      <c r="I654" s="7">
        <v>414.11</v>
      </c>
      <c r="J654" s="2">
        <v>5</v>
      </c>
      <c r="K654" s="7">
        <v>13375.75</v>
      </c>
      <c r="L654" s="2" t="s">
        <v>69</v>
      </c>
      <c r="M654" s="2" t="s">
        <v>2364</v>
      </c>
    </row>
    <row r="655" spans="1:13" x14ac:dyDescent="0.3">
      <c r="A655" s="2" t="s">
        <v>818</v>
      </c>
      <c r="B655" s="5">
        <v>46095</v>
      </c>
      <c r="C655" s="2" t="s">
        <v>604</v>
      </c>
      <c r="D655" s="2" t="s">
        <v>53</v>
      </c>
      <c r="E655" s="2" t="s">
        <v>170</v>
      </c>
      <c r="F655" s="2" t="s">
        <v>103</v>
      </c>
      <c r="G655" s="2" t="s">
        <v>35</v>
      </c>
      <c r="H655" s="2">
        <v>44</v>
      </c>
      <c r="I655" s="7">
        <v>359.23</v>
      </c>
      <c r="J655" s="2">
        <v>15</v>
      </c>
      <c r="K655" s="7">
        <v>13435.2</v>
      </c>
      <c r="L655" s="1" t="s">
        <v>2347</v>
      </c>
      <c r="M655" s="2" t="s">
        <v>2364</v>
      </c>
    </row>
    <row r="656" spans="1:13" x14ac:dyDescent="0.3">
      <c r="A656" s="2" t="s">
        <v>1873</v>
      </c>
      <c r="B656" s="5">
        <v>45759</v>
      </c>
      <c r="C656" s="2" t="s">
        <v>647</v>
      </c>
      <c r="D656" s="2" t="s">
        <v>24</v>
      </c>
      <c r="E656" s="2" t="s">
        <v>59</v>
      </c>
      <c r="F656" s="2" t="s">
        <v>103</v>
      </c>
      <c r="G656" s="2" t="s">
        <v>35</v>
      </c>
      <c r="H656" s="2">
        <v>41</v>
      </c>
      <c r="I656" s="7">
        <v>407.68</v>
      </c>
      <c r="J656" s="2">
        <v>15</v>
      </c>
      <c r="K656" s="7">
        <v>14207.65</v>
      </c>
      <c r="L656" s="1" t="s">
        <v>2347</v>
      </c>
      <c r="M656" s="2" t="s">
        <v>2364</v>
      </c>
    </row>
    <row r="657" spans="1:13" x14ac:dyDescent="0.3">
      <c r="A657" s="2" t="s">
        <v>2010</v>
      </c>
      <c r="B657" s="5">
        <v>46293</v>
      </c>
      <c r="C657" s="2" t="s">
        <v>2011</v>
      </c>
      <c r="D657" s="2" t="s">
        <v>46</v>
      </c>
      <c r="E657" s="2" t="s">
        <v>47</v>
      </c>
      <c r="F657" s="2" t="s">
        <v>103</v>
      </c>
      <c r="G657" s="2" t="s">
        <v>35</v>
      </c>
      <c r="H657" s="2">
        <v>34</v>
      </c>
      <c r="I657" s="7">
        <v>474.63</v>
      </c>
      <c r="J657" s="2">
        <v>10</v>
      </c>
      <c r="K657" s="7">
        <v>14523.68</v>
      </c>
      <c r="L657" s="2" t="s">
        <v>49</v>
      </c>
      <c r="M657" s="2" t="s">
        <v>2364</v>
      </c>
    </row>
    <row r="658" spans="1:13" x14ac:dyDescent="0.3">
      <c r="A658" s="2" t="s">
        <v>1000</v>
      </c>
      <c r="B658" s="5">
        <v>45968</v>
      </c>
      <c r="C658" s="2" t="s">
        <v>1001</v>
      </c>
      <c r="D658" s="2" t="s">
        <v>24</v>
      </c>
      <c r="E658" s="2" t="s">
        <v>41</v>
      </c>
      <c r="F658" s="2" t="s">
        <v>103</v>
      </c>
      <c r="G658" s="2" t="s">
        <v>35</v>
      </c>
      <c r="H658" s="2">
        <v>32</v>
      </c>
      <c r="I658" s="7">
        <v>455.22</v>
      </c>
      <c r="J658" s="2">
        <v>0</v>
      </c>
      <c r="K658" s="7">
        <v>14567.04</v>
      </c>
      <c r="L658" s="2" t="s">
        <v>49</v>
      </c>
      <c r="M658" s="2" t="s">
        <v>2364</v>
      </c>
    </row>
    <row r="659" spans="1:13" x14ac:dyDescent="0.3">
      <c r="A659" s="2" t="s">
        <v>2269</v>
      </c>
      <c r="B659" s="5">
        <v>45795</v>
      </c>
      <c r="C659" s="2" t="s">
        <v>2270</v>
      </c>
      <c r="D659" s="2" t="s">
        <v>53</v>
      </c>
      <c r="E659" s="2" t="s">
        <v>141</v>
      </c>
      <c r="F659" s="2" t="s">
        <v>103</v>
      </c>
      <c r="G659" s="2" t="s">
        <v>35</v>
      </c>
      <c r="H659" s="2">
        <v>38</v>
      </c>
      <c r="I659" s="7">
        <v>388.27</v>
      </c>
      <c r="J659" s="2">
        <v>0</v>
      </c>
      <c r="K659" s="7">
        <v>14754.26</v>
      </c>
      <c r="L659" s="2" t="s">
        <v>31</v>
      </c>
      <c r="M659" s="2" t="s">
        <v>2364</v>
      </c>
    </row>
    <row r="660" spans="1:13" x14ac:dyDescent="0.3">
      <c r="A660" s="2" t="s">
        <v>1235</v>
      </c>
      <c r="B660" s="5">
        <v>46121</v>
      </c>
      <c r="C660" s="2" t="s">
        <v>1236</v>
      </c>
      <c r="D660" s="2" t="s">
        <v>16</v>
      </c>
      <c r="E660" s="2" t="s">
        <v>111</v>
      </c>
      <c r="F660" s="2" t="s">
        <v>103</v>
      </c>
      <c r="G660" s="2" t="s">
        <v>35</v>
      </c>
      <c r="H660" s="2">
        <v>31</v>
      </c>
      <c r="I660" s="7">
        <v>548.03</v>
      </c>
      <c r="J660" s="2">
        <v>5</v>
      </c>
      <c r="K660" s="7">
        <v>16139.48</v>
      </c>
      <c r="L660" s="2" t="s">
        <v>49</v>
      </c>
      <c r="M660" s="2" t="s">
        <v>2364</v>
      </c>
    </row>
    <row r="661" spans="1:13" x14ac:dyDescent="0.3">
      <c r="A661" s="2" t="s">
        <v>1399</v>
      </c>
      <c r="B661" s="5">
        <v>46046</v>
      </c>
      <c r="C661" s="2" t="s">
        <v>1400</v>
      </c>
      <c r="D661" s="2" t="s">
        <v>46</v>
      </c>
      <c r="E661" s="2" t="s">
        <v>124</v>
      </c>
      <c r="F661" s="2" t="s">
        <v>103</v>
      </c>
      <c r="G661" s="2" t="s">
        <v>35</v>
      </c>
      <c r="H661" s="2">
        <v>38</v>
      </c>
      <c r="I661" s="7">
        <v>449.91</v>
      </c>
      <c r="J661" s="2">
        <v>5</v>
      </c>
      <c r="K661" s="7">
        <v>16241.75</v>
      </c>
      <c r="L661" s="2" t="s">
        <v>27</v>
      </c>
      <c r="M661" s="2" t="s">
        <v>2364</v>
      </c>
    </row>
    <row r="662" spans="1:13" x14ac:dyDescent="0.3">
      <c r="A662" s="2" t="s">
        <v>1885</v>
      </c>
      <c r="B662" s="5">
        <v>45854</v>
      </c>
      <c r="C662" s="2" t="s">
        <v>1886</v>
      </c>
      <c r="D662" s="2" t="s">
        <v>24</v>
      </c>
      <c r="E662" s="2" t="s">
        <v>41</v>
      </c>
      <c r="F662" s="2" t="s">
        <v>103</v>
      </c>
      <c r="G662" s="2" t="s">
        <v>35</v>
      </c>
      <c r="H662" s="2">
        <v>47</v>
      </c>
      <c r="I662" s="7">
        <v>348.99</v>
      </c>
      <c r="J662" s="2">
        <v>0</v>
      </c>
      <c r="K662" s="7">
        <v>16402.53</v>
      </c>
      <c r="L662" s="2" t="s">
        <v>31</v>
      </c>
      <c r="M662" s="2" t="s">
        <v>2365</v>
      </c>
    </row>
    <row r="663" spans="1:13" x14ac:dyDescent="0.3">
      <c r="A663" s="2" t="s">
        <v>2145</v>
      </c>
      <c r="B663" s="5">
        <v>45670</v>
      </c>
      <c r="C663" s="2" t="s">
        <v>2146</v>
      </c>
      <c r="D663" s="2" t="s">
        <v>24</v>
      </c>
      <c r="E663" s="2" t="s">
        <v>25</v>
      </c>
      <c r="F663" s="2" t="s">
        <v>103</v>
      </c>
      <c r="G663" s="2" t="s">
        <v>35</v>
      </c>
      <c r="H663" s="2">
        <v>35</v>
      </c>
      <c r="I663" s="7">
        <v>471.67</v>
      </c>
      <c r="J663" s="2">
        <v>0</v>
      </c>
      <c r="K663" s="7">
        <v>16508.45</v>
      </c>
      <c r="L663" s="2" t="s">
        <v>49</v>
      </c>
      <c r="M663" s="2" t="s">
        <v>2364</v>
      </c>
    </row>
    <row r="664" spans="1:13" x14ac:dyDescent="0.3">
      <c r="A664" s="2" t="s">
        <v>1980</v>
      </c>
      <c r="B664" s="5">
        <v>45603</v>
      </c>
      <c r="C664" s="2" t="s">
        <v>1981</v>
      </c>
      <c r="D664" s="2" t="s">
        <v>24</v>
      </c>
      <c r="E664" s="2" t="s">
        <v>41</v>
      </c>
      <c r="F664" s="2" t="s">
        <v>103</v>
      </c>
      <c r="G664" s="2" t="s">
        <v>35</v>
      </c>
      <c r="H664" s="2">
        <v>30</v>
      </c>
      <c r="I664" s="7">
        <v>555.65</v>
      </c>
      <c r="J664" s="2">
        <v>0</v>
      </c>
      <c r="K664" s="7">
        <v>16669.5</v>
      </c>
      <c r="L664" s="2" t="s">
        <v>27</v>
      </c>
      <c r="M664" s="2" t="s">
        <v>2364</v>
      </c>
    </row>
    <row r="665" spans="1:13" x14ac:dyDescent="0.3">
      <c r="A665" s="2" t="s">
        <v>2178</v>
      </c>
      <c r="B665" s="5">
        <v>45573</v>
      </c>
      <c r="C665" s="2" t="s">
        <v>1366</v>
      </c>
      <c r="D665" s="2" t="s">
        <v>53</v>
      </c>
      <c r="E665" s="2" t="s">
        <v>141</v>
      </c>
      <c r="F665" s="2" t="s">
        <v>103</v>
      </c>
      <c r="G665" s="2" t="s">
        <v>35</v>
      </c>
      <c r="H665" s="2">
        <v>31</v>
      </c>
      <c r="I665" s="7">
        <v>554.71</v>
      </c>
      <c r="J665" s="2">
        <v>0</v>
      </c>
      <c r="K665" s="7">
        <v>17196.009999999998</v>
      </c>
      <c r="L665" s="1" t="s">
        <v>2347</v>
      </c>
      <c r="M665" s="2" t="s">
        <v>2364</v>
      </c>
    </row>
    <row r="666" spans="1:13" x14ac:dyDescent="0.3">
      <c r="A666" s="2" t="s">
        <v>1409</v>
      </c>
      <c r="B666" s="5">
        <v>45715</v>
      </c>
      <c r="C666" s="2" t="s">
        <v>1410</v>
      </c>
      <c r="D666" s="2" t="s">
        <v>53</v>
      </c>
      <c r="E666" s="2" t="s">
        <v>134</v>
      </c>
      <c r="F666" s="2" t="s">
        <v>103</v>
      </c>
      <c r="G666" s="2" t="s">
        <v>35</v>
      </c>
      <c r="H666" s="2">
        <v>40</v>
      </c>
      <c r="I666" s="7">
        <v>434.3</v>
      </c>
      <c r="J666" s="2">
        <v>0</v>
      </c>
      <c r="K666" s="7">
        <v>17372</v>
      </c>
      <c r="L666" s="1" t="s">
        <v>2347</v>
      </c>
      <c r="M666" s="2" t="s">
        <v>2365</v>
      </c>
    </row>
    <row r="667" spans="1:13" x14ac:dyDescent="0.3">
      <c r="A667" s="2" t="s">
        <v>1524</v>
      </c>
      <c r="B667" s="5">
        <v>45941</v>
      </c>
      <c r="C667" s="2" t="s">
        <v>1525</v>
      </c>
      <c r="D667" s="2" t="s">
        <v>16</v>
      </c>
      <c r="E667" s="2" t="s">
        <v>17</v>
      </c>
      <c r="F667" s="2" t="s">
        <v>103</v>
      </c>
      <c r="G667" s="2" t="s">
        <v>35</v>
      </c>
      <c r="H667" s="2">
        <v>44</v>
      </c>
      <c r="I667" s="7">
        <v>400.86</v>
      </c>
      <c r="J667" s="2">
        <v>0</v>
      </c>
      <c r="K667" s="7">
        <v>17637.84</v>
      </c>
      <c r="L667" s="2" t="s">
        <v>27</v>
      </c>
      <c r="M667" s="2" t="s">
        <v>2364</v>
      </c>
    </row>
    <row r="668" spans="1:13" x14ac:dyDescent="0.3">
      <c r="A668" s="2" t="s">
        <v>162</v>
      </c>
      <c r="B668" s="5">
        <v>45751</v>
      </c>
      <c r="C668" s="2" t="s">
        <v>163</v>
      </c>
      <c r="D668" s="2" t="s">
        <v>46</v>
      </c>
      <c r="E668" s="2" t="s">
        <v>47</v>
      </c>
      <c r="F668" s="2" t="s">
        <v>103</v>
      </c>
      <c r="G668" s="2" t="s">
        <v>35</v>
      </c>
      <c r="H668" s="2">
        <v>40</v>
      </c>
      <c r="I668" s="7">
        <v>543.13</v>
      </c>
      <c r="J668" s="2">
        <v>15</v>
      </c>
      <c r="K668" s="7">
        <v>18466.419999999998</v>
      </c>
      <c r="L668" s="2" t="s">
        <v>49</v>
      </c>
      <c r="M668" s="2" t="s">
        <v>2364</v>
      </c>
    </row>
    <row r="669" spans="1:13" x14ac:dyDescent="0.3">
      <c r="A669" s="2" t="s">
        <v>658</v>
      </c>
      <c r="B669" s="5">
        <v>45928</v>
      </c>
      <c r="C669" s="2" t="s">
        <v>659</v>
      </c>
      <c r="D669" s="2" t="s">
        <v>53</v>
      </c>
      <c r="E669" s="2" t="s">
        <v>141</v>
      </c>
      <c r="F669" s="2" t="s">
        <v>103</v>
      </c>
      <c r="G669" s="2" t="s">
        <v>35</v>
      </c>
      <c r="H669" s="2">
        <v>42</v>
      </c>
      <c r="I669" s="7">
        <v>558.97</v>
      </c>
      <c r="J669" s="2">
        <v>15</v>
      </c>
      <c r="K669" s="7">
        <v>19955.23</v>
      </c>
      <c r="L669" s="2" t="s">
        <v>31</v>
      </c>
      <c r="M669" s="2" t="s">
        <v>2365</v>
      </c>
    </row>
    <row r="670" spans="1:13" x14ac:dyDescent="0.3">
      <c r="A670" s="2" t="s">
        <v>1636</v>
      </c>
      <c r="B670" s="5">
        <v>45952</v>
      </c>
      <c r="C670" s="2" t="s">
        <v>1637</v>
      </c>
      <c r="D670" s="2" t="s">
        <v>16</v>
      </c>
      <c r="E670" s="2" t="s">
        <v>91</v>
      </c>
      <c r="F670" s="2" t="s">
        <v>103</v>
      </c>
      <c r="G670" s="2" t="s">
        <v>35</v>
      </c>
      <c r="H670" s="2">
        <v>48</v>
      </c>
      <c r="I670" s="7">
        <v>525.29</v>
      </c>
      <c r="J670" s="2">
        <v>15</v>
      </c>
      <c r="K670" s="7">
        <v>21431.83</v>
      </c>
      <c r="L670" s="2" t="s">
        <v>27</v>
      </c>
      <c r="M670" s="2" t="s">
        <v>2365</v>
      </c>
    </row>
    <row r="671" spans="1:13" x14ac:dyDescent="0.3">
      <c r="A671" s="2" t="s">
        <v>2249</v>
      </c>
      <c r="B671" s="5">
        <v>46212</v>
      </c>
      <c r="C671" s="2" t="s">
        <v>2250</v>
      </c>
      <c r="D671" s="2" t="s">
        <v>53</v>
      </c>
      <c r="E671" s="2" t="s">
        <v>170</v>
      </c>
      <c r="F671" s="2" t="s">
        <v>103</v>
      </c>
      <c r="G671" s="2" t="s">
        <v>35</v>
      </c>
      <c r="H671" s="2">
        <v>50</v>
      </c>
      <c r="I671" s="7">
        <v>456.14</v>
      </c>
      <c r="J671" s="2">
        <v>0</v>
      </c>
      <c r="K671" s="7">
        <v>22807</v>
      </c>
      <c r="L671" s="1" t="s">
        <v>2347</v>
      </c>
      <c r="M671" s="2" t="s">
        <v>2364</v>
      </c>
    </row>
    <row r="672" spans="1:13" x14ac:dyDescent="0.3">
      <c r="A672" s="2" t="s">
        <v>1116</v>
      </c>
      <c r="B672" s="5">
        <v>45913</v>
      </c>
      <c r="C672" s="2" t="s">
        <v>1117</v>
      </c>
      <c r="D672" s="2" t="s">
        <v>16</v>
      </c>
      <c r="E672" s="2" t="s">
        <v>74</v>
      </c>
      <c r="F672" s="2" t="s">
        <v>103</v>
      </c>
      <c r="G672" s="2" t="s">
        <v>35</v>
      </c>
      <c r="H672" s="2">
        <v>46</v>
      </c>
      <c r="I672" s="7">
        <v>515.29</v>
      </c>
      <c r="J672" s="2">
        <v>0</v>
      </c>
      <c r="K672" s="7">
        <v>23703.34</v>
      </c>
      <c r="L672" s="2" t="s">
        <v>31</v>
      </c>
      <c r="M672" s="2" t="s">
        <v>2364</v>
      </c>
    </row>
    <row r="673" spans="1:13" x14ac:dyDescent="0.3">
      <c r="A673" s="2" t="s">
        <v>694</v>
      </c>
      <c r="B673" s="5">
        <v>45732</v>
      </c>
      <c r="C673" s="2" t="s">
        <v>695</v>
      </c>
      <c r="D673" s="2" t="s">
        <v>53</v>
      </c>
      <c r="E673" s="2" t="s">
        <v>54</v>
      </c>
      <c r="F673" s="2" t="s">
        <v>103</v>
      </c>
      <c r="G673" s="2" t="s">
        <v>35</v>
      </c>
      <c r="H673" s="2">
        <v>47</v>
      </c>
      <c r="I673" s="7">
        <v>581.71</v>
      </c>
      <c r="J673" s="2">
        <v>5</v>
      </c>
      <c r="K673" s="7">
        <v>25973.35</v>
      </c>
      <c r="L673" s="2" t="s">
        <v>27</v>
      </c>
      <c r="M673" s="2" t="s">
        <v>2365</v>
      </c>
    </row>
    <row r="674" spans="1:13" x14ac:dyDescent="0.3">
      <c r="A674" s="2" t="s">
        <v>1605</v>
      </c>
      <c r="B674" s="5">
        <v>45850</v>
      </c>
      <c r="C674" s="2" t="s">
        <v>1606</v>
      </c>
      <c r="D674" s="2" t="s">
        <v>24</v>
      </c>
      <c r="E674" s="2" t="s">
        <v>25</v>
      </c>
      <c r="F674" s="2" t="s">
        <v>103</v>
      </c>
      <c r="G674" s="2" t="s">
        <v>35</v>
      </c>
      <c r="H674" s="2">
        <v>47</v>
      </c>
      <c r="I674" s="7">
        <v>580.49</v>
      </c>
      <c r="J674" s="2">
        <v>0</v>
      </c>
      <c r="K674" s="7">
        <v>27283.03</v>
      </c>
      <c r="L674" s="2" t="s">
        <v>69</v>
      </c>
      <c r="M674" s="2" t="s">
        <v>2365</v>
      </c>
    </row>
    <row r="675" spans="1:13" x14ac:dyDescent="0.3">
      <c r="A675" s="2" t="s">
        <v>2139</v>
      </c>
      <c r="B675" s="5">
        <v>46065</v>
      </c>
      <c r="C675" s="2" t="s">
        <v>2140</v>
      </c>
      <c r="D675" s="2" t="s">
        <v>16</v>
      </c>
      <c r="E675" s="2" t="s">
        <v>111</v>
      </c>
      <c r="F675" s="2" t="s">
        <v>72</v>
      </c>
      <c r="G675" s="2" t="s">
        <v>73</v>
      </c>
      <c r="H675" s="2">
        <v>2</v>
      </c>
      <c r="I675" s="7">
        <v>171.06</v>
      </c>
      <c r="J675" s="2">
        <v>10</v>
      </c>
      <c r="K675" s="7">
        <v>307.91000000000003</v>
      </c>
      <c r="L675" s="2" t="s">
        <v>49</v>
      </c>
      <c r="M675" s="2" t="s">
        <v>2364</v>
      </c>
    </row>
    <row r="676" spans="1:13" x14ac:dyDescent="0.3">
      <c r="A676" s="2" t="s">
        <v>2186</v>
      </c>
      <c r="B676" s="5">
        <v>45913</v>
      </c>
      <c r="C676" s="2" t="s">
        <v>130</v>
      </c>
      <c r="D676" s="2" t="s">
        <v>24</v>
      </c>
      <c r="E676" s="2" t="s">
        <v>25</v>
      </c>
      <c r="F676" s="2" t="s">
        <v>72</v>
      </c>
      <c r="G676" s="2" t="s">
        <v>73</v>
      </c>
      <c r="H676" s="2">
        <v>2</v>
      </c>
      <c r="I676" s="7">
        <v>163.56</v>
      </c>
      <c r="J676" s="2">
        <v>5</v>
      </c>
      <c r="K676" s="7">
        <v>310.76</v>
      </c>
      <c r="L676" s="2" t="s">
        <v>49</v>
      </c>
      <c r="M676" s="2" t="s">
        <v>2365</v>
      </c>
    </row>
    <row r="677" spans="1:13" x14ac:dyDescent="0.3">
      <c r="A677" s="2" t="s">
        <v>1922</v>
      </c>
      <c r="B677" s="5">
        <v>46263</v>
      </c>
      <c r="C677" s="2" t="s">
        <v>247</v>
      </c>
      <c r="D677" s="2" t="s">
        <v>46</v>
      </c>
      <c r="E677" s="2" t="s">
        <v>78</v>
      </c>
      <c r="F677" s="2" t="s">
        <v>72</v>
      </c>
      <c r="G677" s="2" t="s">
        <v>73</v>
      </c>
      <c r="H677" s="2">
        <v>3</v>
      </c>
      <c r="I677" s="7">
        <v>198.2</v>
      </c>
      <c r="J677" s="2">
        <v>5</v>
      </c>
      <c r="K677" s="7">
        <v>564.87</v>
      </c>
      <c r="L677" s="1" t="s">
        <v>2347</v>
      </c>
      <c r="M677" s="2" t="s">
        <v>2364</v>
      </c>
    </row>
    <row r="678" spans="1:13" x14ac:dyDescent="0.3">
      <c r="A678" s="2" t="s">
        <v>1461</v>
      </c>
      <c r="B678" s="5">
        <v>45829</v>
      </c>
      <c r="C678" s="2" t="s">
        <v>1462</v>
      </c>
      <c r="D678" s="2" t="s">
        <v>24</v>
      </c>
      <c r="E678" s="2" t="s">
        <v>104</v>
      </c>
      <c r="F678" s="2" t="s">
        <v>72</v>
      </c>
      <c r="G678" s="2" t="s">
        <v>73</v>
      </c>
      <c r="H678" s="2">
        <v>4</v>
      </c>
      <c r="I678" s="7">
        <v>238.23</v>
      </c>
      <c r="J678" s="2">
        <v>5</v>
      </c>
      <c r="K678" s="7">
        <v>905.27</v>
      </c>
      <c r="L678" s="2" t="s">
        <v>69</v>
      </c>
      <c r="M678" s="2" t="s">
        <v>2364</v>
      </c>
    </row>
    <row r="679" spans="1:13" x14ac:dyDescent="0.3">
      <c r="A679" s="2" t="s">
        <v>1090</v>
      </c>
      <c r="B679" s="5">
        <v>46179</v>
      </c>
      <c r="C679" s="2" t="s">
        <v>1091</v>
      </c>
      <c r="D679" s="2" t="s">
        <v>24</v>
      </c>
      <c r="E679" s="2" t="s">
        <v>59</v>
      </c>
      <c r="F679" s="2" t="s">
        <v>72</v>
      </c>
      <c r="G679" s="2" t="s">
        <v>73</v>
      </c>
      <c r="H679" s="2">
        <v>2</v>
      </c>
      <c r="I679" s="7">
        <v>495.85</v>
      </c>
      <c r="J679" s="2">
        <v>0</v>
      </c>
      <c r="K679" s="7">
        <v>991.7</v>
      </c>
      <c r="L679" s="2" t="s">
        <v>31</v>
      </c>
      <c r="M679" s="2" t="s">
        <v>2364</v>
      </c>
    </row>
    <row r="680" spans="1:13" x14ac:dyDescent="0.3">
      <c r="A680" s="2" t="s">
        <v>538</v>
      </c>
      <c r="B680" s="5">
        <v>45685</v>
      </c>
      <c r="C680" s="2" t="s">
        <v>539</v>
      </c>
      <c r="D680" s="2" t="s">
        <v>53</v>
      </c>
      <c r="E680" s="2" t="s">
        <v>141</v>
      </c>
      <c r="F680" s="2" t="s">
        <v>72</v>
      </c>
      <c r="G680" s="2" t="s">
        <v>73</v>
      </c>
      <c r="H680" s="2">
        <v>3</v>
      </c>
      <c r="I680" s="7">
        <v>454.14</v>
      </c>
      <c r="J680" s="2">
        <v>20</v>
      </c>
      <c r="K680" s="7">
        <v>1089.94</v>
      </c>
      <c r="L680" s="2" t="s">
        <v>31</v>
      </c>
      <c r="M680" s="2" t="s">
        <v>2365</v>
      </c>
    </row>
    <row r="681" spans="1:13" x14ac:dyDescent="0.3">
      <c r="A681" s="2" t="s">
        <v>1973</v>
      </c>
      <c r="B681" s="5">
        <v>45916</v>
      </c>
      <c r="C681" s="2" t="s">
        <v>98</v>
      </c>
      <c r="D681" s="2" t="s">
        <v>16</v>
      </c>
      <c r="E681" s="2" t="s">
        <v>91</v>
      </c>
      <c r="F681" s="2" t="s">
        <v>72</v>
      </c>
      <c r="G681" s="2" t="s">
        <v>73</v>
      </c>
      <c r="H681" s="2">
        <v>7</v>
      </c>
      <c r="I681" s="7">
        <v>170.62</v>
      </c>
      <c r="J681" s="2">
        <v>5</v>
      </c>
      <c r="K681" s="7">
        <v>1134.6199999999999</v>
      </c>
      <c r="L681" s="1" t="s">
        <v>2347</v>
      </c>
      <c r="M681" s="2" t="s">
        <v>2365</v>
      </c>
    </row>
    <row r="682" spans="1:13" x14ac:dyDescent="0.3">
      <c r="A682" s="2" t="s">
        <v>70</v>
      </c>
      <c r="B682" s="5">
        <v>46194</v>
      </c>
      <c r="C682" s="2" t="s">
        <v>71</v>
      </c>
      <c r="D682" s="2" t="s">
        <v>16</v>
      </c>
      <c r="E682" s="2" t="s">
        <v>74</v>
      </c>
      <c r="F682" s="2" t="s">
        <v>72</v>
      </c>
      <c r="G682" s="2" t="s">
        <v>73</v>
      </c>
      <c r="H682" s="2">
        <v>4</v>
      </c>
      <c r="I682" s="7">
        <v>327.74</v>
      </c>
      <c r="J682" s="2">
        <v>10</v>
      </c>
      <c r="K682" s="7">
        <v>1179.8599999999999</v>
      </c>
      <c r="L682" s="2" t="s">
        <v>49</v>
      </c>
      <c r="M682" s="2" t="s">
        <v>2364</v>
      </c>
    </row>
    <row r="683" spans="1:13" x14ac:dyDescent="0.3">
      <c r="A683" s="2" t="s">
        <v>1672</v>
      </c>
      <c r="B683" s="5">
        <v>45779</v>
      </c>
      <c r="C683" s="2" t="s">
        <v>949</v>
      </c>
      <c r="D683" s="2" t="s">
        <v>46</v>
      </c>
      <c r="E683" s="2" t="s">
        <v>83</v>
      </c>
      <c r="F683" s="2" t="s">
        <v>72</v>
      </c>
      <c r="G683" s="2" t="s">
        <v>73</v>
      </c>
      <c r="H683" s="2">
        <v>6</v>
      </c>
      <c r="I683" s="7">
        <v>276.25</v>
      </c>
      <c r="J683" s="2">
        <v>15</v>
      </c>
      <c r="K683" s="7">
        <v>1408.88</v>
      </c>
      <c r="L683" s="2" t="s">
        <v>27</v>
      </c>
      <c r="M683" s="2" t="s">
        <v>2364</v>
      </c>
    </row>
    <row r="684" spans="1:13" x14ac:dyDescent="0.3">
      <c r="A684" s="2" t="s">
        <v>1342</v>
      </c>
      <c r="B684" s="5">
        <v>45657</v>
      </c>
      <c r="C684" s="2" t="s">
        <v>1343</v>
      </c>
      <c r="D684" s="2" t="s">
        <v>24</v>
      </c>
      <c r="E684" s="2" t="s">
        <v>41</v>
      </c>
      <c r="F684" s="2" t="s">
        <v>72</v>
      </c>
      <c r="G684" s="2" t="s">
        <v>73</v>
      </c>
      <c r="H684" s="2">
        <v>7</v>
      </c>
      <c r="I684" s="7">
        <v>225.47</v>
      </c>
      <c r="J684" s="2">
        <v>10</v>
      </c>
      <c r="K684" s="7">
        <v>1420.46</v>
      </c>
      <c r="L684" s="2" t="s">
        <v>27</v>
      </c>
      <c r="M684" s="2" t="s">
        <v>2364</v>
      </c>
    </row>
    <row r="685" spans="1:13" x14ac:dyDescent="0.3">
      <c r="A685" s="2" t="s">
        <v>1589</v>
      </c>
      <c r="B685" s="5">
        <v>45592</v>
      </c>
      <c r="C685" s="2" t="s">
        <v>1259</v>
      </c>
      <c r="D685" s="2" t="s">
        <v>53</v>
      </c>
      <c r="E685" s="2" t="s">
        <v>67</v>
      </c>
      <c r="F685" s="2" t="s">
        <v>72</v>
      </c>
      <c r="G685" s="2" t="s">
        <v>73</v>
      </c>
      <c r="H685" s="2">
        <v>8</v>
      </c>
      <c r="I685" s="7">
        <v>200.64</v>
      </c>
      <c r="J685" s="2">
        <v>0</v>
      </c>
      <c r="K685" s="7">
        <v>1605.12</v>
      </c>
      <c r="L685" s="2" t="s">
        <v>49</v>
      </c>
      <c r="M685" s="2" t="s">
        <v>2365</v>
      </c>
    </row>
    <row r="686" spans="1:13" x14ac:dyDescent="0.3">
      <c r="A686" s="2" t="s">
        <v>871</v>
      </c>
      <c r="B686" s="5">
        <v>46038</v>
      </c>
      <c r="C686" s="2" t="s">
        <v>872</v>
      </c>
      <c r="D686" s="2" t="s">
        <v>24</v>
      </c>
      <c r="E686" s="2" t="s">
        <v>104</v>
      </c>
      <c r="F686" s="2" t="s">
        <v>72</v>
      </c>
      <c r="G686" s="2" t="s">
        <v>73</v>
      </c>
      <c r="H686" s="2">
        <v>4</v>
      </c>
      <c r="I686" s="7">
        <v>406.94</v>
      </c>
      <c r="J686" s="2">
        <v>0</v>
      </c>
      <c r="K686" s="7">
        <v>1627.76</v>
      </c>
      <c r="L686" s="1" t="s">
        <v>2347</v>
      </c>
      <c r="M686" s="2" t="s">
        <v>2364</v>
      </c>
    </row>
    <row r="687" spans="1:13" x14ac:dyDescent="0.3">
      <c r="A687" s="2" t="s">
        <v>1900</v>
      </c>
      <c r="B687" s="5">
        <v>45631</v>
      </c>
      <c r="C687" s="2" t="s">
        <v>1901</v>
      </c>
      <c r="D687" s="2" t="s">
        <v>16</v>
      </c>
      <c r="E687" s="2" t="s">
        <v>160</v>
      </c>
      <c r="F687" s="2" t="s">
        <v>72</v>
      </c>
      <c r="G687" s="2" t="s">
        <v>73</v>
      </c>
      <c r="H687" s="2">
        <v>4</v>
      </c>
      <c r="I687" s="7">
        <v>449.14</v>
      </c>
      <c r="J687" s="2">
        <v>0</v>
      </c>
      <c r="K687" s="7">
        <v>1796.56</v>
      </c>
      <c r="L687" s="2" t="s">
        <v>69</v>
      </c>
      <c r="M687" s="2" t="s">
        <v>2364</v>
      </c>
    </row>
    <row r="688" spans="1:13" x14ac:dyDescent="0.3">
      <c r="A688" s="2" t="s">
        <v>1868</v>
      </c>
      <c r="B688" s="5">
        <v>45846</v>
      </c>
      <c r="C688" s="2" t="s">
        <v>1162</v>
      </c>
      <c r="D688" s="2" t="s">
        <v>46</v>
      </c>
      <c r="E688" s="2" t="s">
        <v>83</v>
      </c>
      <c r="F688" s="2" t="s">
        <v>72</v>
      </c>
      <c r="G688" s="2" t="s">
        <v>73</v>
      </c>
      <c r="H688" s="2">
        <v>5</v>
      </c>
      <c r="I688" s="7">
        <v>434.15</v>
      </c>
      <c r="J688" s="2">
        <v>15</v>
      </c>
      <c r="K688" s="7">
        <v>1845.14</v>
      </c>
      <c r="L688" s="2" t="s">
        <v>27</v>
      </c>
      <c r="M688" s="2" t="s">
        <v>2364</v>
      </c>
    </row>
    <row r="689" spans="1:13" x14ac:dyDescent="0.3">
      <c r="A689" s="2" t="s">
        <v>1365</v>
      </c>
      <c r="B689" s="5">
        <v>46017</v>
      </c>
      <c r="C689" s="2" t="s">
        <v>1366</v>
      </c>
      <c r="D689" s="2" t="s">
        <v>53</v>
      </c>
      <c r="E689" s="2" t="s">
        <v>134</v>
      </c>
      <c r="F689" s="2" t="s">
        <v>72</v>
      </c>
      <c r="G689" s="2" t="s">
        <v>73</v>
      </c>
      <c r="H689" s="2">
        <v>9</v>
      </c>
      <c r="I689" s="7">
        <v>227.8</v>
      </c>
      <c r="J689" s="2">
        <v>10</v>
      </c>
      <c r="K689" s="7">
        <v>1845.18</v>
      </c>
      <c r="L689" s="2" t="s">
        <v>27</v>
      </c>
      <c r="M689" s="2" t="s">
        <v>2364</v>
      </c>
    </row>
    <row r="690" spans="1:13" x14ac:dyDescent="0.3">
      <c r="A690" s="2" t="s">
        <v>1625</v>
      </c>
      <c r="B690" s="5">
        <v>46293</v>
      </c>
      <c r="C690" s="2" t="s">
        <v>1626</v>
      </c>
      <c r="D690" s="2" t="s">
        <v>24</v>
      </c>
      <c r="E690" s="2" t="s">
        <v>25</v>
      </c>
      <c r="F690" s="2" t="s">
        <v>72</v>
      </c>
      <c r="G690" s="2" t="s">
        <v>73</v>
      </c>
      <c r="H690" s="2">
        <v>11</v>
      </c>
      <c r="I690" s="7">
        <v>185.84</v>
      </c>
      <c r="J690" s="2">
        <v>0</v>
      </c>
      <c r="K690" s="7">
        <v>2044.24</v>
      </c>
      <c r="L690" s="2" t="s">
        <v>27</v>
      </c>
      <c r="M690" s="2" t="s">
        <v>2364</v>
      </c>
    </row>
    <row r="691" spans="1:13" x14ac:dyDescent="0.3">
      <c r="A691" s="2" t="s">
        <v>1734</v>
      </c>
      <c r="B691" s="5">
        <v>46163</v>
      </c>
      <c r="C691" s="2" t="s">
        <v>1735</v>
      </c>
      <c r="D691" s="2" t="s">
        <v>16</v>
      </c>
      <c r="E691" s="2" t="s">
        <v>160</v>
      </c>
      <c r="F691" s="2" t="s">
        <v>72</v>
      </c>
      <c r="G691" s="2" t="s">
        <v>73</v>
      </c>
      <c r="H691" s="2">
        <v>5</v>
      </c>
      <c r="I691" s="7">
        <v>447.85</v>
      </c>
      <c r="J691" s="2">
        <v>0</v>
      </c>
      <c r="K691" s="7">
        <v>2239.25</v>
      </c>
      <c r="L691" s="2" t="s">
        <v>49</v>
      </c>
      <c r="M691" s="2" t="s">
        <v>2364</v>
      </c>
    </row>
    <row r="692" spans="1:13" x14ac:dyDescent="0.3">
      <c r="A692" s="2" t="s">
        <v>453</v>
      </c>
      <c r="B692" s="5">
        <v>45794</v>
      </c>
      <c r="C692" s="2" t="s">
        <v>454</v>
      </c>
      <c r="D692" s="2" t="s">
        <v>46</v>
      </c>
      <c r="E692" s="2" t="s">
        <v>124</v>
      </c>
      <c r="F692" s="2" t="s">
        <v>72</v>
      </c>
      <c r="G692" s="2" t="s">
        <v>73</v>
      </c>
      <c r="H692" s="2">
        <v>5</v>
      </c>
      <c r="I692" s="7">
        <v>499.57</v>
      </c>
      <c r="J692" s="2">
        <v>10</v>
      </c>
      <c r="K692" s="7">
        <v>2248.0700000000002</v>
      </c>
      <c r="L692" s="2" t="s">
        <v>49</v>
      </c>
      <c r="M692" s="2" t="s">
        <v>2364</v>
      </c>
    </row>
    <row r="693" spans="1:13" x14ac:dyDescent="0.3">
      <c r="A693" s="2" t="s">
        <v>1431</v>
      </c>
      <c r="B693" s="5">
        <v>45661</v>
      </c>
      <c r="C693" s="2" t="s">
        <v>1432</v>
      </c>
      <c r="D693" s="2" t="s">
        <v>24</v>
      </c>
      <c r="E693" s="2" t="s">
        <v>36</v>
      </c>
      <c r="F693" s="2" t="s">
        <v>72</v>
      </c>
      <c r="G693" s="2" t="s">
        <v>73</v>
      </c>
      <c r="H693" s="2">
        <v>13</v>
      </c>
      <c r="I693" s="7">
        <v>212.69</v>
      </c>
      <c r="J693" s="2">
        <v>5</v>
      </c>
      <c r="K693" s="7">
        <v>2626.72</v>
      </c>
      <c r="L693" s="2" t="s">
        <v>49</v>
      </c>
      <c r="M693" s="2" t="s">
        <v>2364</v>
      </c>
    </row>
    <row r="694" spans="1:13" x14ac:dyDescent="0.3">
      <c r="A694" s="2" t="s">
        <v>2231</v>
      </c>
      <c r="B694" s="5">
        <v>45709</v>
      </c>
      <c r="C694" s="2" t="s">
        <v>2232</v>
      </c>
      <c r="D694" s="2" t="s">
        <v>53</v>
      </c>
      <c r="E694" s="2" t="s">
        <v>141</v>
      </c>
      <c r="F694" s="2" t="s">
        <v>72</v>
      </c>
      <c r="G694" s="2" t="s">
        <v>73</v>
      </c>
      <c r="H694" s="2">
        <v>18</v>
      </c>
      <c r="I694" s="7">
        <v>166.02</v>
      </c>
      <c r="J694" s="2">
        <v>5</v>
      </c>
      <c r="K694" s="7">
        <v>2838.94</v>
      </c>
      <c r="L694" s="1" t="s">
        <v>2347</v>
      </c>
      <c r="M694" s="2" t="s">
        <v>2365</v>
      </c>
    </row>
    <row r="695" spans="1:13" x14ac:dyDescent="0.3">
      <c r="A695" s="2" t="s">
        <v>1540</v>
      </c>
      <c r="B695" s="5">
        <v>46217</v>
      </c>
      <c r="C695" s="2" t="s">
        <v>1541</v>
      </c>
      <c r="D695" s="2" t="s">
        <v>46</v>
      </c>
      <c r="E695" s="2" t="s">
        <v>47</v>
      </c>
      <c r="F695" s="2" t="s">
        <v>72</v>
      </c>
      <c r="G695" s="2" t="s">
        <v>73</v>
      </c>
      <c r="H695" s="2">
        <v>22</v>
      </c>
      <c r="I695" s="7">
        <v>199.82</v>
      </c>
      <c r="J695" s="2">
        <v>15</v>
      </c>
      <c r="K695" s="7">
        <v>3736.63</v>
      </c>
      <c r="L695" s="2" t="s">
        <v>49</v>
      </c>
      <c r="M695" s="2" t="s">
        <v>2365</v>
      </c>
    </row>
    <row r="696" spans="1:13" x14ac:dyDescent="0.3">
      <c r="A696" s="2" t="s">
        <v>2326</v>
      </c>
      <c r="B696" s="5">
        <v>45835</v>
      </c>
      <c r="C696" s="2" t="s">
        <v>2327</v>
      </c>
      <c r="D696" s="2" t="s">
        <v>16</v>
      </c>
      <c r="E696" s="2" t="s">
        <v>160</v>
      </c>
      <c r="F696" s="2" t="s">
        <v>72</v>
      </c>
      <c r="G696" s="2" t="s">
        <v>73</v>
      </c>
      <c r="H696" s="2">
        <v>15</v>
      </c>
      <c r="I696" s="7">
        <v>254.15</v>
      </c>
      <c r="J696" s="2">
        <v>0</v>
      </c>
      <c r="K696" s="7">
        <v>3812.25</v>
      </c>
      <c r="L696" s="2" t="s">
        <v>27</v>
      </c>
      <c r="M696" s="2" t="s">
        <v>2364</v>
      </c>
    </row>
    <row r="697" spans="1:13" x14ac:dyDescent="0.3">
      <c r="A697" s="2" t="s">
        <v>774</v>
      </c>
      <c r="B697" s="5">
        <v>46051</v>
      </c>
      <c r="C697" s="2" t="s">
        <v>775</v>
      </c>
      <c r="D697" s="2" t="s">
        <v>24</v>
      </c>
      <c r="E697" s="2" t="s">
        <v>59</v>
      </c>
      <c r="F697" s="2" t="s">
        <v>72</v>
      </c>
      <c r="G697" s="2" t="s">
        <v>73</v>
      </c>
      <c r="H697" s="2">
        <v>13</v>
      </c>
      <c r="I697" s="7">
        <v>348.28</v>
      </c>
      <c r="J697" s="2">
        <v>10</v>
      </c>
      <c r="K697" s="7">
        <v>4074.88</v>
      </c>
      <c r="L697" s="2" t="s">
        <v>27</v>
      </c>
      <c r="M697" s="2" t="s">
        <v>2365</v>
      </c>
    </row>
    <row r="698" spans="1:13" x14ac:dyDescent="0.3">
      <c r="A698" s="2" t="s">
        <v>1376</v>
      </c>
      <c r="B698" s="5">
        <v>46066</v>
      </c>
      <c r="C698" s="2" t="s">
        <v>1377</v>
      </c>
      <c r="D698" s="2" t="s">
        <v>24</v>
      </c>
      <c r="E698" s="2" t="s">
        <v>104</v>
      </c>
      <c r="F698" s="2" t="s">
        <v>72</v>
      </c>
      <c r="G698" s="2" t="s">
        <v>73</v>
      </c>
      <c r="H698" s="2">
        <v>32</v>
      </c>
      <c r="I698" s="7">
        <v>151.53</v>
      </c>
      <c r="J698" s="2">
        <v>10</v>
      </c>
      <c r="K698" s="7">
        <v>4364.0600000000004</v>
      </c>
      <c r="L698" s="2" t="s">
        <v>49</v>
      </c>
      <c r="M698" s="2" t="s">
        <v>2364</v>
      </c>
    </row>
    <row r="699" spans="1:13" x14ac:dyDescent="0.3">
      <c r="A699" s="2" t="s">
        <v>255</v>
      </c>
      <c r="B699" s="5">
        <v>45685</v>
      </c>
      <c r="C699" s="2" t="s">
        <v>256</v>
      </c>
      <c r="D699" s="2" t="s">
        <v>46</v>
      </c>
      <c r="E699" s="2" t="s">
        <v>83</v>
      </c>
      <c r="F699" s="2" t="s">
        <v>72</v>
      </c>
      <c r="G699" s="2" t="s">
        <v>73</v>
      </c>
      <c r="H699" s="2">
        <v>17</v>
      </c>
      <c r="I699" s="7">
        <v>308.45</v>
      </c>
      <c r="J699" s="2">
        <v>15</v>
      </c>
      <c r="K699" s="7">
        <v>4457.1000000000004</v>
      </c>
      <c r="L699" s="2" t="s">
        <v>49</v>
      </c>
      <c r="M699" s="2" t="s">
        <v>2364</v>
      </c>
    </row>
    <row r="700" spans="1:13" x14ac:dyDescent="0.3">
      <c r="A700" s="2" t="s">
        <v>1520</v>
      </c>
      <c r="B700" s="5">
        <v>45850</v>
      </c>
      <c r="C700" s="2" t="s">
        <v>656</v>
      </c>
      <c r="D700" s="2" t="s">
        <v>16</v>
      </c>
      <c r="E700" s="2" t="s">
        <v>160</v>
      </c>
      <c r="F700" s="2" t="s">
        <v>72</v>
      </c>
      <c r="G700" s="2" t="s">
        <v>73</v>
      </c>
      <c r="H700" s="2">
        <v>13</v>
      </c>
      <c r="I700" s="7">
        <v>446.19</v>
      </c>
      <c r="J700" s="2">
        <v>20</v>
      </c>
      <c r="K700" s="7">
        <v>4640.38</v>
      </c>
      <c r="L700" s="2" t="s">
        <v>31</v>
      </c>
      <c r="M700" s="2" t="s">
        <v>2364</v>
      </c>
    </row>
    <row r="701" spans="1:13" x14ac:dyDescent="0.3">
      <c r="A701" s="2" t="s">
        <v>1002</v>
      </c>
      <c r="B701" s="5">
        <v>46085</v>
      </c>
      <c r="C701" s="2" t="s">
        <v>1003</v>
      </c>
      <c r="D701" s="2" t="s">
        <v>16</v>
      </c>
      <c r="E701" s="2" t="s">
        <v>17</v>
      </c>
      <c r="F701" s="2" t="s">
        <v>72</v>
      </c>
      <c r="G701" s="2" t="s">
        <v>73</v>
      </c>
      <c r="H701" s="2">
        <v>13</v>
      </c>
      <c r="I701" s="7">
        <v>455.41</v>
      </c>
      <c r="J701" s="2">
        <v>15</v>
      </c>
      <c r="K701" s="7">
        <v>5032.28</v>
      </c>
      <c r="L701" s="2" t="s">
        <v>31</v>
      </c>
      <c r="M701" s="2" t="s">
        <v>2364</v>
      </c>
    </row>
    <row r="702" spans="1:13" x14ac:dyDescent="0.3">
      <c r="A702" s="2" t="s">
        <v>2035</v>
      </c>
      <c r="B702" s="5">
        <v>45777</v>
      </c>
      <c r="C702" s="2" t="s">
        <v>2036</v>
      </c>
      <c r="D702" s="2" t="s">
        <v>16</v>
      </c>
      <c r="E702" s="2" t="s">
        <v>111</v>
      </c>
      <c r="F702" s="2" t="s">
        <v>72</v>
      </c>
      <c r="G702" s="2" t="s">
        <v>73</v>
      </c>
      <c r="H702" s="2">
        <v>38</v>
      </c>
      <c r="I702" s="7">
        <v>167.52</v>
      </c>
      <c r="J702" s="2">
        <v>20</v>
      </c>
      <c r="K702" s="7">
        <v>5092.6099999999997</v>
      </c>
      <c r="L702" s="2" t="s">
        <v>31</v>
      </c>
      <c r="M702" s="2" t="s">
        <v>2364</v>
      </c>
    </row>
    <row r="703" spans="1:13" x14ac:dyDescent="0.3">
      <c r="A703" s="2" t="s">
        <v>1876</v>
      </c>
      <c r="B703" s="5">
        <v>46036</v>
      </c>
      <c r="C703" s="2" t="s">
        <v>1877</v>
      </c>
      <c r="D703" s="2" t="s">
        <v>24</v>
      </c>
      <c r="E703" s="2" t="s">
        <v>36</v>
      </c>
      <c r="F703" s="2" t="s">
        <v>72</v>
      </c>
      <c r="G703" s="2" t="s">
        <v>73</v>
      </c>
      <c r="H703" s="2">
        <v>28</v>
      </c>
      <c r="I703" s="7">
        <v>213.45</v>
      </c>
      <c r="J703" s="2">
        <v>10</v>
      </c>
      <c r="K703" s="7">
        <v>5378.94</v>
      </c>
      <c r="L703" s="2" t="s">
        <v>69</v>
      </c>
      <c r="M703" s="2" t="s">
        <v>2364</v>
      </c>
    </row>
    <row r="704" spans="1:13" x14ac:dyDescent="0.3">
      <c r="A704" s="2" t="s">
        <v>704</v>
      </c>
      <c r="B704" s="5">
        <v>46169</v>
      </c>
      <c r="C704" s="2" t="s">
        <v>705</v>
      </c>
      <c r="D704" s="2" t="s">
        <v>24</v>
      </c>
      <c r="E704" s="2" t="s">
        <v>41</v>
      </c>
      <c r="F704" s="2" t="s">
        <v>72</v>
      </c>
      <c r="G704" s="2" t="s">
        <v>73</v>
      </c>
      <c r="H704" s="2">
        <v>27</v>
      </c>
      <c r="I704" s="7">
        <v>220.68</v>
      </c>
      <c r="J704" s="2">
        <v>5</v>
      </c>
      <c r="K704" s="7">
        <v>5660.44</v>
      </c>
      <c r="L704" s="2" t="s">
        <v>31</v>
      </c>
      <c r="M704" s="2" t="s">
        <v>2364</v>
      </c>
    </row>
    <row r="705" spans="1:13" x14ac:dyDescent="0.3">
      <c r="A705" s="2" t="s">
        <v>788</v>
      </c>
      <c r="B705" s="5">
        <v>46196</v>
      </c>
      <c r="C705" s="2" t="s">
        <v>789</v>
      </c>
      <c r="D705" s="2" t="s">
        <v>53</v>
      </c>
      <c r="E705" s="2" t="s">
        <v>54</v>
      </c>
      <c r="F705" s="2" t="s">
        <v>72</v>
      </c>
      <c r="G705" s="2" t="s">
        <v>73</v>
      </c>
      <c r="H705" s="2">
        <v>17</v>
      </c>
      <c r="I705" s="7">
        <v>361.05</v>
      </c>
      <c r="J705" s="2">
        <v>5</v>
      </c>
      <c r="K705" s="7">
        <v>5830.96</v>
      </c>
      <c r="L705" s="2" t="s">
        <v>49</v>
      </c>
      <c r="M705" s="2" t="s">
        <v>2364</v>
      </c>
    </row>
    <row r="706" spans="1:13" x14ac:dyDescent="0.3">
      <c r="A706" s="2" t="s">
        <v>588</v>
      </c>
      <c r="B706" s="5">
        <v>45920</v>
      </c>
      <c r="C706" s="2" t="s">
        <v>589</v>
      </c>
      <c r="D706" s="2" t="s">
        <v>16</v>
      </c>
      <c r="E706" s="2" t="s">
        <v>160</v>
      </c>
      <c r="F706" s="2" t="s">
        <v>72</v>
      </c>
      <c r="G706" s="2" t="s">
        <v>73</v>
      </c>
      <c r="H706" s="2">
        <v>15</v>
      </c>
      <c r="I706" s="7">
        <v>422.43</v>
      </c>
      <c r="J706" s="2">
        <v>5</v>
      </c>
      <c r="K706" s="7">
        <v>6019.63</v>
      </c>
      <c r="L706" s="2" t="s">
        <v>69</v>
      </c>
      <c r="M706" s="2" t="s">
        <v>2364</v>
      </c>
    </row>
    <row r="707" spans="1:13" x14ac:dyDescent="0.3">
      <c r="A707" s="2" t="s">
        <v>1609</v>
      </c>
      <c r="B707" s="5">
        <v>45998</v>
      </c>
      <c r="C707" s="2" t="s">
        <v>1610</v>
      </c>
      <c r="D707" s="2" t="s">
        <v>53</v>
      </c>
      <c r="E707" s="2" t="s">
        <v>67</v>
      </c>
      <c r="F707" s="2" t="s">
        <v>72</v>
      </c>
      <c r="G707" s="2" t="s">
        <v>73</v>
      </c>
      <c r="H707" s="2">
        <v>26</v>
      </c>
      <c r="I707" s="7">
        <v>302.49</v>
      </c>
      <c r="J707" s="2">
        <v>20</v>
      </c>
      <c r="K707" s="7">
        <v>6291.79</v>
      </c>
      <c r="L707" s="2" t="s">
        <v>27</v>
      </c>
      <c r="M707" s="2" t="s">
        <v>2364</v>
      </c>
    </row>
    <row r="708" spans="1:13" x14ac:dyDescent="0.3">
      <c r="A708" s="2" t="s">
        <v>535</v>
      </c>
      <c r="B708" s="5">
        <v>46083</v>
      </c>
      <c r="C708" s="2" t="s">
        <v>536</v>
      </c>
      <c r="D708" s="2" t="s">
        <v>24</v>
      </c>
      <c r="E708" s="2" t="s">
        <v>59</v>
      </c>
      <c r="F708" s="2" t="s">
        <v>72</v>
      </c>
      <c r="G708" s="2" t="s">
        <v>73</v>
      </c>
      <c r="H708" s="2">
        <v>47</v>
      </c>
      <c r="I708" s="7">
        <v>192.03</v>
      </c>
      <c r="J708" s="2">
        <v>0</v>
      </c>
      <c r="K708" s="7">
        <v>9025.41</v>
      </c>
      <c r="L708" s="2" t="s">
        <v>69</v>
      </c>
      <c r="M708" s="2" t="s">
        <v>2365</v>
      </c>
    </row>
    <row r="709" spans="1:13" x14ac:dyDescent="0.3">
      <c r="A709" s="2" t="s">
        <v>1379</v>
      </c>
      <c r="B709" s="5">
        <v>45753</v>
      </c>
      <c r="C709" s="2" t="s">
        <v>528</v>
      </c>
      <c r="D709" s="2" t="s">
        <v>16</v>
      </c>
      <c r="E709" s="2" t="s">
        <v>17</v>
      </c>
      <c r="F709" s="2" t="s">
        <v>72</v>
      </c>
      <c r="G709" s="2" t="s">
        <v>73</v>
      </c>
      <c r="H709" s="2">
        <v>29</v>
      </c>
      <c r="I709" s="7">
        <v>315.17</v>
      </c>
      <c r="J709" s="2">
        <v>0</v>
      </c>
      <c r="K709" s="7">
        <v>9139.93</v>
      </c>
      <c r="L709" s="2" t="s">
        <v>49</v>
      </c>
      <c r="M709" s="2" t="s">
        <v>2364</v>
      </c>
    </row>
    <row r="710" spans="1:13" x14ac:dyDescent="0.3">
      <c r="A710" s="2" t="s">
        <v>1831</v>
      </c>
      <c r="B710" s="5">
        <v>46171</v>
      </c>
      <c r="C710" s="2" t="s">
        <v>1832</v>
      </c>
      <c r="D710" s="2" t="s">
        <v>53</v>
      </c>
      <c r="E710" s="2" t="s">
        <v>67</v>
      </c>
      <c r="F710" s="2" t="s">
        <v>72</v>
      </c>
      <c r="G710" s="2" t="s">
        <v>73</v>
      </c>
      <c r="H710" s="2">
        <v>21</v>
      </c>
      <c r="I710" s="7">
        <v>443.76</v>
      </c>
      <c r="J710" s="2">
        <v>0</v>
      </c>
      <c r="K710" s="7">
        <v>9318.9599999999991</v>
      </c>
      <c r="L710" s="2" t="s">
        <v>69</v>
      </c>
      <c r="M710" s="2" t="s">
        <v>2365</v>
      </c>
    </row>
    <row r="711" spans="1:13" x14ac:dyDescent="0.3">
      <c r="A711" s="2" t="s">
        <v>2239</v>
      </c>
      <c r="B711" s="5">
        <v>46112</v>
      </c>
      <c r="C711" s="2" t="s">
        <v>2240</v>
      </c>
      <c r="D711" s="2" t="s">
        <v>53</v>
      </c>
      <c r="E711" s="2" t="s">
        <v>170</v>
      </c>
      <c r="F711" s="2" t="s">
        <v>72</v>
      </c>
      <c r="G711" s="2" t="s">
        <v>73</v>
      </c>
      <c r="H711" s="2">
        <v>21</v>
      </c>
      <c r="I711" s="7">
        <v>477.08</v>
      </c>
      <c r="J711" s="2">
        <v>0</v>
      </c>
      <c r="K711" s="7">
        <v>10018.68</v>
      </c>
      <c r="L711" s="2" t="s">
        <v>31</v>
      </c>
      <c r="M711" s="2" t="s">
        <v>2364</v>
      </c>
    </row>
    <row r="712" spans="1:13" x14ac:dyDescent="0.3">
      <c r="A712" s="2" t="s">
        <v>831</v>
      </c>
      <c r="B712" s="5">
        <v>46146</v>
      </c>
      <c r="C712" s="2" t="s">
        <v>832</v>
      </c>
      <c r="D712" s="2" t="s">
        <v>46</v>
      </c>
      <c r="E712" s="2" t="s">
        <v>83</v>
      </c>
      <c r="F712" s="2" t="s">
        <v>72</v>
      </c>
      <c r="G712" s="2" t="s">
        <v>73</v>
      </c>
      <c r="H712" s="2">
        <v>22</v>
      </c>
      <c r="I712" s="7">
        <v>463.26</v>
      </c>
      <c r="J712" s="2">
        <v>0</v>
      </c>
      <c r="K712" s="7">
        <v>10191.719999999999</v>
      </c>
      <c r="L712" s="2" t="s">
        <v>31</v>
      </c>
      <c r="M712" s="2" t="s">
        <v>2364</v>
      </c>
    </row>
    <row r="713" spans="1:13" x14ac:dyDescent="0.3">
      <c r="A713" s="2" t="s">
        <v>664</v>
      </c>
      <c r="B713" s="5">
        <v>45822</v>
      </c>
      <c r="C713" s="2" t="s">
        <v>665</v>
      </c>
      <c r="D713" s="2" t="s">
        <v>16</v>
      </c>
      <c r="E713" s="2" t="s">
        <v>111</v>
      </c>
      <c r="F713" s="2" t="s">
        <v>72</v>
      </c>
      <c r="G713" s="2" t="s">
        <v>73</v>
      </c>
      <c r="H713" s="2">
        <v>32</v>
      </c>
      <c r="I713" s="7">
        <v>354.88</v>
      </c>
      <c r="J713" s="2">
        <v>10</v>
      </c>
      <c r="K713" s="7">
        <v>10220.540000000001</v>
      </c>
      <c r="L713" s="2" t="s">
        <v>31</v>
      </c>
      <c r="M713" s="2" t="s">
        <v>2365</v>
      </c>
    </row>
    <row r="714" spans="1:13" x14ac:dyDescent="0.3">
      <c r="A714" s="2" t="s">
        <v>1754</v>
      </c>
      <c r="B714" s="5">
        <v>45876</v>
      </c>
      <c r="C714" s="2" t="s">
        <v>1755</v>
      </c>
      <c r="D714" s="2" t="s">
        <v>53</v>
      </c>
      <c r="E714" s="2" t="s">
        <v>141</v>
      </c>
      <c r="F714" s="2" t="s">
        <v>72</v>
      </c>
      <c r="G714" s="2" t="s">
        <v>73</v>
      </c>
      <c r="H714" s="2">
        <v>32</v>
      </c>
      <c r="I714" s="7">
        <v>385</v>
      </c>
      <c r="J714" s="2">
        <v>10</v>
      </c>
      <c r="K714" s="7">
        <v>11088</v>
      </c>
      <c r="L714" s="2" t="s">
        <v>27</v>
      </c>
      <c r="M714" s="2" t="s">
        <v>2364</v>
      </c>
    </row>
    <row r="715" spans="1:13" x14ac:dyDescent="0.3">
      <c r="A715" s="2" t="s">
        <v>1453</v>
      </c>
      <c r="B715" s="5">
        <v>46064</v>
      </c>
      <c r="C715" s="2" t="s">
        <v>1454</v>
      </c>
      <c r="D715" s="2" t="s">
        <v>53</v>
      </c>
      <c r="E715" s="2" t="s">
        <v>141</v>
      </c>
      <c r="F715" s="2" t="s">
        <v>72</v>
      </c>
      <c r="G715" s="2" t="s">
        <v>73</v>
      </c>
      <c r="H715" s="2">
        <v>47</v>
      </c>
      <c r="I715" s="7">
        <v>289.66000000000003</v>
      </c>
      <c r="J715" s="2">
        <v>15</v>
      </c>
      <c r="K715" s="7">
        <v>11571.92</v>
      </c>
      <c r="L715" s="2" t="s">
        <v>49</v>
      </c>
      <c r="M715" s="2" t="s">
        <v>2364</v>
      </c>
    </row>
    <row r="716" spans="1:13" x14ac:dyDescent="0.3">
      <c r="A716" s="2" t="s">
        <v>1576</v>
      </c>
      <c r="B716" s="5">
        <v>46234</v>
      </c>
      <c r="C716" s="2" t="s">
        <v>376</v>
      </c>
      <c r="D716" s="2" t="s">
        <v>53</v>
      </c>
      <c r="E716" s="2" t="s">
        <v>134</v>
      </c>
      <c r="F716" s="2" t="s">
        <v>72</v>
      </c>
      <c r="G716" s="2" t="s">
        <v>73</v>
      </c>
      <c r="H716" s="2">
        <v>50</v>
      </c>
      <c r="I716" s="7">
        <v>335.95</v>
      </c>
      <c r="J716" s="2">
        <v>20</v>
      </c>
      <c r="K716" s="7">
        <v>13438</v>
      </c>
      <c r="L716" s="2" t="s">
        <v>27</v>
      </c>
      <c r="M716" s="2" t="s">
        <v>2364</v>
      </c>
    </row>
    <row r="717" spans="1:13" x14ac:dyDescent="0.3">
      <c r="A717" s="2" t="s">
        <v>568</v>
      </c>
      <c r="B717" s="5">
        <v>46079</v>
      </c>
      <c r="C717" s="2" t="s">
        <v>569</v>
      </c>
      <c r="D717" s="2" t="s">
        <v>24</v>
      </c>
      <c r="E717" s="2" t="s">
        <v>41</v>
      </c>
      <c r="F717" s="2" t="s">
        <v>72</v>
      </c>
      <c r="G717" s="2" t="s">
        <v>73</v>
      </c>
      <c r="H717" s="2">
        <v>39</v>
      </c>
      <c r="I717" s="7">
        <v>459.03</v>
      </c>
      <c r="J717" s="2">
        <v>20</v>
      </c>
      <c r="K717" s="7">
        <v>14321.74</v>
      </c>
      <c r="L717" s="2" t="s">
        <v>27</v>
      </c>
      <c r="M717" s="2" t="s">
        <v>2364</v>
      </c>
    </row>
    <row r="718" spans="1:13" x14ac:dyDescent="0.3">
      <c r="A718" s="2" t="s">
        <v>586</v>
      </c>
      <c r="B718" s="5">
        <v>45587</v>
      </c>
      <c r="C718" s="2" t="s">
        <v>587</v>
      </c>
      <c r="D718" s="2" t="s">
        <v>16</v>
      </c>
      <c r="E718" s="2" t="s">
        <v>91</v>
      </c>
      <c r="F718" s="2" t="s">
        <v>72</v>
      </c>
      <c r="G718" s="2" t="s">
        <v>73</v>
      </c>
      <c r="H718" s="2">
        <v>40</v>
      </c>
      <c r="I718" s="7">
        <v>360.72</v>
      </c>
      <c r="J718" s="2">
        <v>0</v>
      </c>
      <c r="K718" s="7">
        <v>14428.8</v>
      </c>
      <c r="L718" s="2" t="s">
        <v>27</v>
      </c>
      <c r="M718" s="2" t="s">
        <v>2364</v>
      </c>
    </row>
    <row r="719" spans="1:13" x14ac:dyDescent="0.3">
      <c r="A719" s="2" t="s">
        <v>459</v>
      </c>
      <c r="B719" s="5">
        <v>46042</v>
      </c>
      <c r="C719" s="2" t="s">
        <v>460</v>
      </c>
      <c r="D719" s="2" t="s">
        <v>24</v>
      </c>
      <c r="E719" s="2" t="s">
        <v>59</v>
      </c>
      <c r="F719" s="2" t="s">
        <v>72</v>
      </c>
      <c r="G719" s="2" t="s">
        <v>73</v>
      </c>
      <c r="H719" s="2">
        <v>43</v>
      </c>
      <c r="I719" s="7">
        <v>335.63</v>
      </c>
      <c r="J719" s="2">
        <v>0</v>
      </c>
      <c r="K719" s="7">
        <v>14432.09</v>
      </c>
      <c r="L719" s="1" t="s">
        <v>2347</v>
      </c>
      <c r="M719" s="2" t="s">
        <v>2364</v>
      </c>
    </row>
    <row r="720" spans="1:13" x14ac:dyDescent="0.3">
      <c r="A720" s="2" t="s">
        <v>1898</v>
      </c>
      <c r="B720" s="5">
        <v>45759</v>
      </c>
      <c r="C720" s="2" t="s">
        <v>1899</v>
      </c>
      <c r="D720" s="2" t="s">
        <v>46</v>
      </c>
      <c r="E720" s="2" t="s">
        <v>124</v>
      </c>
      <c r="F720" s="2" t="s">
        <v>72</v>
      </c>
      <c r="G720" s="2" t="s">
        <v>73</v>
      </c>
      <c r="H720" s="2">
        <v>44</v>
      </c>
      <c r="I720" s="7">
        <v>362.13</v>
      </c>
      <c r="J720" s="2">
        <v>5</v>
      </c>
      <c r="K720" s="7">
        <v>15137.03</v>
      </c>
      <c r="L720" s="2" t="s">
        <v>69</v>
      </c>
      <c r="M720" s="2" t="s">
        <v>2365</v>
      </c>
    </row>
    <row r="721" spans="1:13" x14ac:dyDescent="0.3">
      <c r="A721" s="2" t="s">
        <v>139</v>
      </c>
      <c r="B721" s="5">
        <v>46141</v>
      </c>
      <c r="C721" s="2" t="s">
        <v>140</v>
      </c>
      <c r="D721" s="2" t="s">
        <v>53</v>
      </c>
      <c r="E721" s="2" t="s">
        <v>141</v>
      </c>
      <c r="F721" s="2" t="s">
        <v>72</v>
      </c>
      <c r="G721" s="2" t="s">
        <v>73</v>
      </c>
      <c r="H721" s="2">
        <v>35</v>
      </c>
      <c r="I721" s="7">
        <v>448.85</v>
      </c>
      <c r="J721" s="2">
        <v>0</v>
      </c>
      <c r="K721" s="7">
        <v>15709.75</v>
      </c>
      <c r="L721" s="2" t="s">
        <v>31</v>
      </c>
      <c r="M721" s="2" t="s">
        <v>2364</v>
      </c>
    </row>
    <row r="722" spans="1:13" x14ac:dyDescent="0.3">
      <c r="A722" s="2" t="s">
        <v>1828</v>
      </c>
      <c r="B722" s="5">
        <v>46192</v>
      </c>
      <c r="C722" s="2" t="s">
        <v>1829</v>
      </c>
      <c r="D722" s="2" t="s">
        <v>53</v>
      </c>
      <c r="E722" s="2" t="s">
        <v>134</v>
      </c>
      <c r="F722" s="2" t="s">
        <v>72</v>
      </c>
      <c r="G722" s="2" t="s">
        <v>73</v>
      </c>
      <c r="H722" s="2">
        <v>40</v>
      </c>
      <c r="I722" s="7">
        <v>476.63</v>
      </c>
      <c r="J722" s="2">
        <v>15</v>
      </c>
      <c r="K722" s="7">
        <v>16205.42</v>
      </c>
      <c r="L722" s="2" t="s">
        <v>31</v>
      </c>
      <c r="M722" s="2" t="s">
        <v>2364</v>
      </c>
    </row>
    <row r="723" spans="1:13" x14ac:dyDescent="0.3">
      <c r="A723" s="2" t="s">
        <v>1402</v>
      </c>
      <c r="B723" s="5">
        <v>45932</v>
      </c>
      <c r="C723" s="2" t="s">
        <v>1403</v>
      </c>
      <c r="D723" s="2" t="s">
        <v>46</v>
      </c>
      <c r="E723" s="2" t="s">
        <v>83</v>
      </c>
      <c r="F723" s="2" t="s">
        <v>82</v>
      </c>
      <c r="G723" s="2" t="s">
        <v>73</v>
      </c>
      <c r="H723" s="2">
        <v>1</v>
      </c>
      <c r="I723" s="7">
        <v>587.17999999999995</v>
      </c>
      <c r="J723" s="2">
        <v>5</v>
      </c>
      <c r="K723" s="7">
        <v>557.82000000000005</v>
      </c>
      <c r="L723" s="1" t="s">
        <v>2347</v>
      </c>
      <c r="M723" s="2" t="s">
        <v>2364</v>
      </c>
    </row>
    <row r="724" spans="1:13" x14ac:dyDescent="0.3">
      <c r="A724" s="2" t="s">
        <v>1251</v>
      </c>
      <c r="B724" s="5">
        <v>45848</v>
      </c>
      <c r="C724" s="2" t="s">
        <v>1252</v>
      </c>
      <c r="D724" s="2" t="s">
        <v>46</v>
      </c>
      <c r="E724" s="2" t="s">
        <v>47</v>
      </c>
      <c r="F724" s="2" t="s">
        <v>82</v>
      </c>
      <c r="G724" s="2" t="s">
        <v>73</v>
      </c>
      <c r="H724" s="2">
        <v>2</v>
      </c>
      <c r="I724" s="7">
        <v>356.65</v>
      </c>
      <c r="J724" s="2">
        <v>5</v>
      </c>
      <c r="K724" s="7">
        <v>677.63</v>
      </c>
      <c r="L724" s="2" t="s">
        <v>69</v>
      </c>
      <c r="M724" s="2" t="s">
        <v>2365</v>
      </c>
    </row>
    <row r="725" spans="1:13" x14ac:dyDescent="0.3">
      <c r="A725" s="2" t="s">
        <v>1866</v>
      </c>
      <c r="B725" s="5">
        <v>45808</v>
      </c>
      <c r="C725" s="2" t="s">
        <v>1867</v>
      </c>
      <c r="D725" s="2" t="s">
        <v>46</v>
      </c>
      <c r="E725" s="2" t="s">
        <v>244</v>
      </c>
      <c r="F725" s="2" t="s">
        <v>82</v>
      </c>
      <c r="G725" s="2" t="s">
        <v>73</v>
      </c>
      <c r="H725" s="2">
        <v>3</v>
      </c>
      <c r="I725" s="7">
        <v>311.76</v>
      </c>
      <c r="J725" s="2">
        <v>0</v>
      </c>
      <c r="K725" s="7">
        <v>935.28</v>
      </c>
      <c r="L725" s="1" t="s">
        <v>2347</v>
      </c>
      <c r="M725" s="2" t="s">
        <v>2364</v>
      </c>
    </row>
    <row r="726" spans="1:13" x14ac:dyDescent="0.3">
      <c r="A726" s="2" t="s">
        <v>548</v>
      </c>
      <c r="B726" s="5">
        <v>45717</v>
      </c>
      <c r="C726" s="2" t="s">
        <v>549</v>
      </c>
      <c r="D726" s="2" t="s">
        <v>46</v>
      </c>
      <c r="E726" s="2" t="s">
        <v>244</v>
      </c>
      <c r="F726" s="2" t="s">
        <v>82</v>
      </c>
      <c r="G726" s="2" t="s">
        <v>73</v>
      </c>
      <c r="H726" s="2">
        <v>3</v>
      </c>
      <c r="I726" s="7">
        <v>362.32</v>
      </c>
      <c r="J726" s="2">
        <v>10</v>
      </c>
      <c r="K726" s="7">
        <v>978.26</v>
      </c>
      <c r="L726" s="2" t="s">
        <v>31</v>
      </c>
      <c r="M726" s="2" t="s">
        <v>2365</v>
      </c>
    </row>
    <row r="727" spans="1:13" x14ac:dyDescent="0.3">
      <c r="A727" s="2" t="s">
        <v>946</v>
      </c>
      <c r="B727" s="5">
        <v>46079</v>
      </c>
      <c r="C727" s="2" t="s">
        <v>947</v>
      </c>
      <c r="D727" s="2" t="s">
        <v>46</v>
      </c>
      <c r="E727" s="2" t="s">
        <v>78</v>
      </c>
      <c r="F727" s="2" t="s">
        <v>82</v>
      </c>
      <c r="G727" s="2" t="s">
        <v>73</v>
      </c>
      <c r="H727" s="2">
        <v>5</v>
      </c>
      <c r="I727" s="7">
        <v>376.56</v>
      </c>
      <c r="J727" s="2">
        <v>15</v>
      </c>
      <c r="K727" s="7">
        <v>1600.38</v>
      </c>
      <c r="L727" s="2" t="s">
        <v>49</v>
      </c>
      <c r="M727" s="2" t="s">
        <v>2364</v>
      </c>
    </row>
    <row r="728" spans="1:13" x14ac:dyDescent="0.3">
      <c r="A728" s="2" t="s">
        <v>1314</v>
      </c>
      <c r="B728" s="5">
        <v>45710</v>
      </c>
      <c r="C728" s="2" t="s">
        <v>1315</v>
      </c>
      <c r="D728" s="2" t="s">
        <v>53</v>
      </c>
      <c r="E728" s="2" t="s">
        <v>67</v>
      </c>
      <c r="F728" s="2" t="s">
        <v>82</v>
      </c>
      <c r="G728" s="2" t="s">
        <v>73</v>
      </c>
      <c r="H728" s="2">
        <v>3</v>
      </c>
      <c r="I728" s="7">
        <v>617.09</v>
      </c>
      <c r="J728" s="2">
        <v>10</v>
      </c>
      <c r="K728" s="7">
        <v>1666.14</v>
      </c>
      <c r="L728" s="1" t="s">
        <v>2347</v>
      </c>
      <c r="M728" s="2" t="s">
        <v>2364</v>
      </c>
    </row>
    <row r="729" spans="1:13" x14ac:dyDescent="0.3">
      <c r="A729" s="2" t="s">
        <v>2045</v>
      </c>
      <c r="B729" s="5">
        <v>46162</v>
      </c>
      <c r="C729" s="2" t="s">
        <v>2046</v>
      </c>
      <c r="D729" s="2" t="s">
        <v>24</v>
      </c>
      <c r="E729" s="2" t="s">
        <v>25</v>
      </c>
      <c r="F729" s="2" t="s">
        <v>82</v>
      </c>
      <c r="G729" s="2" t="s">
        <v>73</v>
      </c>
      <c r="H729" s="2">
        <v>3</v>
      </c>
      <c r="I729" s="7">
        <v>617.29</v>
      </c>
      <c r="J729" s="2">
        <v>5</v>
      </c>
      <c r="K729" s="7">
        <v>1759.28</v>
      </c>
      <c r="L729" s="1" t="s">
        <v>2347</v>
      </c>
      <c r="M729" s="2" t="s">
        <v>2364</v>
      </c>
    </row>
    <row r="730" spans="1:13" x14ac:dyDescent="0.3">
      <c r="A730" s="2" t="s">
        <v>864</v>
      </c>
      <c r="B730" s="5">
        <v>45897</v>
      </c>
      <c r="C730" s="2" t="s">
        <v>865</v>
      </c>
      <c r="D730" s="2" t="s">
        <v>24</v>
      </c>
      <c r="E730" s="2" t="s">
        <v>36</v>
      </c>
      <c r="F730" s="2" t="s">
        <v>82</v>
      </c>
      <c r="G730" s="2" t="s">
        <v>73</v>
      </c>
      <c r="H730" s="2">
        <v>6</v>
      </c>
      <c r="I730" s="7">
        <v>424.29</v>
      </c>
      <c r="J730" s="2">
        <v>20</v>
      </c>
      <c r="K730" s="7">
        <v>2036.59</v>
      </c>
      <c r="L730" s="2" t="s">
        <v>31</v>
      </c>
      <c r="M730" s="2" t="s">
        <v>2365</v>
      </c>
    </row>
    <row r="731" spans="1:13" x14ac:dyDescent="0.3">
      <c r="A731" s="2" t="s">
        <v>2222</v>
      </c>
      <c r="B731" s="5">
        <v>46196</v>
      </c>
      <c r="C731" s="2" t="s">
        <v>89</v>
      </c>
      <c r="D731" s="2" t="s">
        <v>16</v>
      </c>
      <c r="E731" s="2" t="s">
        <v>111</v>
      </c>
      <c r="F731" s="2" t="s">
        <v>82</v>
      </c>
      <c r="G731" s="2" t="s">
        <v>73</v>
      </c>
      <c r="H731" s="2">
        <v>8</v>
      </c>
      <c r="I731" s="7">
        <v>310.63</v>
      </c>
      <c r="J731" s="2">
        <v>5</v>
      </c>
      <c r="K731" s="7">
        <v>2360.79</v>
      </c>
      <c r="L731" s="2" t="s">
        <v>49</v>
      </c>
      <c r="M731" s="2" t="s">
        <v>2364</v>
      </c>
    </row>
    <row r="732" spans="1:13" x14ac:dyDescent="0.3">
      <c r="A732" s="2" t="s">
        <v>1869</v>
      </c>
      <c r="B732" s="5">
        <v>45681</v>
      </c>
      <c r="C732" s="2" t="s">
        <v>1870</v>
      </c>
      <c r="D732" s="2" t="s">
        <v>16</v>
      </c>
      <c r="E732" s="2" t="s">
        <v>74</v>
      </c>
      <c r="F732" s="2" t="s">
        <v>82</v>
      </c>
      <c r="G732" s="2" t="s">
        <v>73</v>
      </c>
      <c r="H732" s="2">
        <v>5</v>
      </c>
      <c r="I732" s="7">
        <v>479.01</v>
      </c>
      <c r="J732" s="2">
        <v>0</v>
      </c>
      <c r="K732" s="7">
        <v>2395.0500000000002</v>
      </c>
      <c r="L732" s="1" t="s">
        <v>2347</v>
      </c>
      <c r="M732" s="2" t="s">
        <v>2364</v>
      </c>
    </row>
    <row r="733" spans="1:13" x14ac:dyDescent="0.3">
      <c r="A733" s="2" t="s">
        <v>404</v>
      </c>
      <c r="B733" s="5">
        <v>45631</v>
      </c>
      <c r="C733" s="2" t="s">
        <v>405</v>
      </c>
      <c r="D733" s="2" t="s">
        <v>53</v>
      </c>
      <c r="E733" s="2" t="s">
        <v>54</v>
      </c>
      <c r="F733" s="2" t="s">
        <v>82</v>
      </c>
      <c r="G733" s="2" t="s">
        <v>73</v>
      </c>
      <c r="H733" s="2">
        <v>6</v>
      </c>
      <c r="I733" s="7">
        <v>493.27</v>
      </c>
      <c r="J733" s="2">
        <v>10</v>
      </c>
      <c r="K733" s="7">
        <v>2663.66</v>
      </c>
      <c r="L733" s="2" t="s">
        <v>69</v>
      </c>
      <c r="M733" s="2" t="s">
        <v>2364</v>
      </c>
    </row>
    <row r="734" spans="1:13" x14ac:dyDescent="0.3">
      <c r="A734" s="2" t="s">
        <v>1050</v>
      </c>
      <c r="B734" s="5">
        <v>46191</v>
      </c>
      <c r="C734" s="2" t="s">
        <v>1051</v>
      </c>
      <c r="D734" s="2" t="s">
        <v>24</v>
      </c>
      <c r="E734" s="2" t="s">
        <v>25</v>
      </c>
      <c r="F734" s="2" t="s">
        <v>82</v>
      </c>
      <c r="G734" s="2" t="s">
        <v>73</v>
      </c>
      <c r="H734" s="2">
        <v>4</v>
      </c>
      <c r="I734" s="7">
        <v>786.54</v>
      </c>
      <c r="J734" s="2">
        <v>0</v>
      </c>
      <c r="K734" s="7">
        <v>3146.16</v>
      </c>
      <c r="L734" s="1" t="s">
        <v>2347</v>
      </c>
      <c r="M734" s="2" t="s">
        <v>2365</v>
      </c>
    </row>
    <row r="735" spans="1:13" x14ac:dyDescent="0.3">
      <c r="A735" s="2" t="s">
        <v>2081</v>
      </c>
      <c r="B735" s="5">
        <v>46054</v>
      </c>
      <c r="C735" s="2" t="s">
        <v>1051</v>
      </c>
      <c r="D735" s="2" t="s">
        <v>53</v>
      </c>
      <c r="E735" s="2" t="s">
        <v>67</v>
      </c>
      <c r="F735" s="2" t="s">
        <v>82</v>
      </c>
      <c r="G735" s="2" t="s">
        <v>73</v>
      </c>
      <c r="H735" s="2">
        <v>11</v>
      </c>
      <c r="I735" s="7">
        <v>379.66</v>
      </c>
      <c r="J735" s="2">
        <v>20</v>
      </c>
      <c r="K735" s="7">
        <v>3341.01</v>
      </c>
      <c r="L735" s="2" t="s">
        <v>31</v>
      </c>
      <c r="M735" s="2" t="s">
        <v>2365</v>
      </c>
    </row>
    <row r="736" spans="1:13" x14ac:dyDescent="0.3">
      <c r="A736" s="2" t="s">
        <v>1677</v>
      </c>
      <c r="B736" s="5">
        <v>46173</v>
      </c>
      <c r="C736" s="2" t="s">
        <v>1678</v>
      </c>
      <c r="D736" s="2" t="s">
        <v>53</v>
      </c>
      <c r="E736" s="2" t="s">
        <v>54</v>
      </c>
      <c r="F736" s="2" t="s">
        <v>82</v>
      </c>
      <c r="G736" s="2" t="s">
        <v>73</v>
      </c>
      <c r="H736" s="2">
        <v>7</v>
      </c>
      <c r="I736" s="7">
        <v>543.16999999999996</v>
      </c>
      <c r="J736" s="2">
        <v>0</v>
      </c>
      <c r="K736" s="7">
        <v>3802.19</v>
      </c>
      <c r="L736" s="2" t="s">
        <v>69</v>
      </c>
      <c r="M736" s="2" t="s">
        <v>2364</v>
      </c>
    </row>
    <row r="737" spans="1:13" x14ac:dyDescent="0.3">
      <c r="A737" s="2" t="s">
        <v>1278</v>
      </c>
      <c r="B737" s="5">
        <v>45634</v>
      </c>
      <c r="C737" s="2" t="s">
        <v>1279</v>
      </c>
      <c r="D737" s="2" t="s">
        <v>24</v>
      </c>
      <c r="E737" s="2" t="s">
        <v>36</v>
      </c>
      <c r="F737" s="2" t="s">
        <v>82</v>
      </c>
      <c r="G737" s="2" t="s">
        <v>73</v>
      </c>
      <c r="H737" s="2">
        <v>12</v>
      </c>
      <c r="I737" s="7">
        <v>360.39</v>
      </c>
      <c r="J737" s="2">
        <v>0</v>
      </c>
      <c r="K737" s="7">
        <v>4324.68</v>
      </c>
      <c r="L737" s="2" t="s">
        <v>31</v>
      </c>
      <c r="M737" s="2" t="s">
        <v>2364</v>
      </c>
    </row>
    <row r="738" spans="1:13" x14ac:dyDescent="0.3">
      <c r="A738" s="2" t="s">
        <v>1009</v>
      </c>
      <c r="B738" s="5">
        <v>45967</v>
      </c>
      <c r="C738" s="2" t="s">
        <v>1010</v>
      </c>
      <c r="D738" s="2" t="s">
        <v>46</v>
      </c>
      <c r="E738" s="2" t="s">
        <v>244</v>
      </c>
      <c r="F738" s="2" t="s">
        <v>82</v>
      </c>
      <c r="G738" s="2" t="s">
        <v>73</v>
      </c>
      <c r="H738" s="2">
        <v>12</v>
      </c>
      <c r="I738" s="7">
        <v>450.82</v>
      </c>
      <c r="J738" s="2">
        <v>20</v>
      </c>
      <c r="K738" s="7">
        <v>4327.87</v>
      </c>
      <c r="L738" s="1" t="s">
        <v>2347</v>
      </c>
      <c r="M738" s="2" t="s">
        <v>2364</v>
      </c>
    </row>
    <row r="739" spans="1:13" x14ac:dyDescent="0.3">
      <c r="A739" s="2" t="s">
        <v>1956</v>
      </c>
      <c r="B739" s="5">
        <v>45599</v>
      </c>
      <c r="C739" s="2" t="s">
        <v>472</v>
      </c>
      <c r="D739" s="2" t="s">
        <v>46</v>
      </c>
      <c r="E739" s="2" t="s">
        <v>47</v>
      </c>
      <c r="F739" s="2" t="s">
        <v>82</v>
      </c>
      <c r="G739" s="2" t="s">
        <v>73</v>
      </c>
      <c r="H739" s="2">
        <v>13</v>
      </c>
      <c r="I739" s="7">
        <v>378.25</v>
      </c>
      <c r="J739" s="2">
        <v>10</v>
      </c>
      <c r="K739" s="7">
        <v>4425.53</v>
      </c>
      <c r="L739" s="2" t="s">
        <v>27</v>
      </c>
      <c r="M739" s="2" t="s">
        <v>2364</v>
      </c>
    </row>
    <row r="740" spans="1:13" x14ac:dyDescent="0.3">
      <c r="A740" s="2" t="s">
        <v>2073</v>
      </c>
      <c r="B740" s="5">
        <v>46284</v>
      </c>
      <c r="C740" s="2" t="s">
        <v>2074</v>
      </c>
      <c r="D740" s="2" t="s">
        <v>16</v>
      </c>
      <c r="E740" s="2" t="s">
        <v>91</v>
      </c>
      <c r="F740" s="2" t="s">
        <v>82</v>
      </c>
      <c r="G740" s="2" t="s">
        <v>73</v>
      </c>
      <c r="H740" s="2">
        <v>9</v>
      </c>
      <c r="I740" s="7">
        <v>594.96</v>
      </c>
      <c r="J740" s="2">
        <v>0</v>
      </c>
      <c r="K740" s="7">
        <v>5354.64</v>
      </c>
      <c r="L740" s="2" t="s">
        <v>27</v>
      </c>
      <c r="M740" s="2" t="s">
        <v>2364</v>
      </c>
    </row>
    <row r="741" spans="1:13" x14ac:dyDescent="0.3">
      <c r="A741" s="2" t="s">
        <v>469</v>
      </c>
      <c r="B741" s="5">
        <v>45886</v>
      </c>
      <c r="C741" s="2" t="s">
        <v>470</v>
      </c>
      <c r="D741" s="2" t="s">
        <v>46</v>
      </c>
      <c r="E741" s="2" t="s">
        <v>124</v>
      </c>
      <c r="F741" s="2" t="s">
        <v>82</v>
      </c>
      <c r="G741" s="2" t="s">
        <v>73</v>
      </c>
      <c r="H741" s="2">
        <v>15</v>
      </c>
      <c r="I741" s="7">
        <v>395.69</v>
      </c>
      <c r="J741" s="2">
        <v>5</v>
      </c>
      <c r="K741" s="7">
        <v>5638.58</v>
      </c>
      <c r="L741" s="2" t="s">
        <v>31</v>
      </c>
      <c r="M741" s="2" t="s">
        <v>2365</v>
      </c>
    </row>
    <row r="742" spans="1:13" x14ac:dyDescent="0.3">
      <c r="A742" s="2" t="s">
        <v>1529</v>
      </c>
      <c r="B742" s="5">
        <v>45851</v>
      </c>
      <c r="C742" s="2" t="s">
        <v>1530</v>
      </c>
      <c r="D742" s="2" t="s">
        <v>24</v>
      </c>
      <c r="E742" s="2" t="s">
        <v>59</v>
      </c>
      <c r="F742" s="2" t="s">
        <v>82</v>
      </c>
      <c r="G742" s="2" t="s">
        <v>73</v>
      </c>
      <c r="H742" s="2">
        <v>12</v>
      </c>
      <c r="I742" s="7">
        <v>510.58</v>
      </c>
      <c r="J742" s="2">
        <v>5</v>
      </c>
      <c r="K742" s="7">
        <v>5820.61</v>
      </c>
      <c r="L742" s="2" t="s">
        <v>49</v>
      </c>
      <c r="M742" s="2" t="s">
        <v>2365</v>
      </c>
    </row>
    <row r="743" spans="1:13" x14ac:dyDescent="0.3">
      <c r="A743" s="2" t="s">
        <v>908</v>
      </c>
      <c r="B743" s="5">
        <v>45726</v>
      </c>
      <c r="C743" s="2" t="s">
        <v>909</v>
      </c>
      <c r="D743" s="2" t="s">
        <v>53</v>
      </c>
      <c r="E743" s="2" t="s">
        <v>67</v>
      </c>
      <c r="F743" s="2" t="s">
        <v>82</v>
      </c>
      <c r="G743" s="2" t="s">
        <v>73</v>
      </c>
      <c r="H743" s="2">
        <v>8</v>
      </c>
      <c r="I743" s="7">
        <v>747.73</v>
      </c>
      <c r="J743" s="2">
        <v>0</v>
      </c>
      <c r="K743" s="7">
        <v>5981.84</v>
      </c>
      <c r="L743" s="2" t="s">
        <v>27</v>
      </c>
      <c r="M743" s="2" t="s">
        <v>2365</v>
      </c>
    </row>
    <row r="744" spans="1:13" x14ac:dyDescent="0.3">
      <c r="A744" s="2" t="s">
        <v>532</v>
      </c>
      <c r="B744" s="5">
        <v>46021</v>
      </c>
      <c r="C744" s="2" t="s">
        <v>533</v>
      </c>
      <c r="D744" s="2" t="s">
        <v>46</v>
      </c>
      <c r="E744" s="2" t="s">
        <v>78</v>
      </c>
      <c r="F744" s="2" t="s">
        <v>82</v>
      </c>
      <c r="G744" s="2" t="s">
        <v>73</v>
      </c>
      <c r="H744" s="2">
        <v>9</v>
      </c>
      <c r="I744" s="7">
        <v>788.38</v>
      </c>
      <c r="J744" s="2">
        <v>15</v>
      </c>
      <c r="K744" s="7">
        <v>6031.11</v>
      </c>
      <c r="L744" s="2" t="s">
        <v>49</v>
      </c>
      <c r="M744" s="2" t="s">
        <v>2364</v>
      </c>
    </row>
    <row r="745" spans="1:13" x14ac:dyDescent="0.3">
      <c r="A745" s="2" t="s">
        <v>1737</v>
      </c>
      <c r="B745" s="5">
        <v>45802</v>
      </c>
      <c r="C745" s="2" t="s">
        <v>1738</v>
      </c>
      <c r="D745" s="2" t="s">
        <v>16</v>
      </c>
      <c r="E745" s="2" t="s">
        <v>74</v>
      </c>
      <c r="F745" s="2" t="s">
        <v>82</v>
      </c>
      <c r="G745" s="2" t="s">
        <v>73</v>
      </c>
      <c r="H745" s="2">
        <v>16</v>
      </c>
      <c r="I745" s="7">
        <v>445.23</v>
      </c>
      <c r="J745" s="2">
        <v>0</v>
      </c>
      <c r="K745" s="7">
        <v>7123.68</v>
      </c>
      <c r="L745" s="2" t="s">
        <v>31</v>
      </c>
      <c r="M745" s="2" t="s">
        <v>2364</v>
      </c>
    </row>
    <row r="746" spans="1:13" x14ac:dyDescent="0.3">
      <c r="A746" s="2" t="s">
        <v>80</v>
      </c>
      <c r="B746" s="5">
        <v>45819</v>
      </c>
      <c r="C746" s="2" t="s">
        <v>81</v>
      </c>
      <c r="D746" s="2" t="s">
        <v>46</v>
      </c>
      <c r="E746" s="2" t="s">
        <v>83</v>
      </c>
      <c r="F746" s="2" t="s">
        <v>82</v>
      </c>
      <c r="G746" s="2" t="s">
        <v>73</v>
      </c>
      <c r="H746" s="2">
        <v>14</v>
      </c>
      <c r="I746" s="7">
        <v>546.63</v>
      </c>
      <c r="J746" s="2">
        <v>0</v>
      </c>
      <c r="K746" s="7">
        <v>7652.82</v>
      </c>
      <c r="L746" s="2" t="s">
        <v>69</v>
      </c>
      <c r="M746" s="2" t="s">
        <v>2364</v>
      </c>
    </row>
    <row r="747" spans="1:13" x14ac:dyDescent="0.3">
      <c r="A747" s="2" t="s">
        <v>2293</v>
      </c>
      <c r="B747" s="5">
        <v>46029</v>
      </c>
      <c r="C747" s="2" t="s">
        <v>2294</v>
      </c>
      <c r="D747" s="2" t="s">
        <v>16</v>
      </c>
      <c r="E747" s="2" t="s">
        <v>111</v>
      </c>
      <c r="F747" s="2" t="s">
        <v>82</v>
      </c>
      <c r="G747" s="2" t="s">
        <v>73</v>
      </c>
      <c r="H747" s="2">
        <v>18</v>
      </c>
      <c r="I747" s="7">
        <v>462.39</v>
      </c>
      <c r="J747" s="2">
        <v>0</v>
      </c>
      <c r="K747" s="7">
        <v>8323.02</v>
      </c>
      <c r="L747" s="2" t="s">
        <v>31</v>
      </c>
      <c r="M747" s="2" t="s">
        <v>2364</v>
      </c>
    </row>
    <row r="748" spans="1:13" x14ac:dyDescent="0.3">
      <c r="A748" s="2" t="s">
        <v>948</v>
      </c>
      <c r="B748" s="5">
        <v>45913</v>
      </c>
      <c r="C748" s="2" t="s">
        <v>949</v>
      </c>
      <c r="D748" s="2" t="s">
        <v>53</v>
      </c>
      <c r="E748" s="2" t="s">
        <v>54</v>
      </c>
      <c r="F748" s="2" t="s">
        <v>82</v>
      </c>
      <c r="G748" s="2" t="s">
        <v>73</v>
      </c>
      <c r="H748" s="2">
        <v>18</v>
      </c>
      <c r="I748" s="7">
        <v>495.9</v>
      </c>
      <c r="J748" s="2">
        <v>0</v>
      </c>
      <c r="K748" s="7">
        <v>8926.2000000000007</v>
      </c>
      <c r="L748" s="2" t="s">
        <v>31</v>
      </c>
      <c r="M748" s="2" t="s">
        <v>2364</v>
      </c>
    </row>
    <row r="749" spans="1:13" x14ac:dyDescent="0.3">
      <c r="A749" s="2" t="s">
        <v>1308</v>
      </c>
      <c r="B749" s="5">
        <v>45765</v>
      </c>
      <c r="C749" s="2" t="s">
        <v>1309</v>
      </c>
      <c r="D749" s="2" t="s">
        <v>24</v>
      </c>
      <c r="E749" s="2" t="s">
        <v>104</v>
      </c>
      <c r="F749" s="2" t="s">
        <v>82</v>
      </c>
      <c r="G749" s="2" t="s">
        <v>73</v>
      </c>
      <c r="H749" s="2">
        <v>16</v>
      </c>
      <c r="I749" s="7">
        <v>577.67999999999995</v>
      </c>
      <c r="J749" s="2">
        <v>0</v>
      </c>
      <c r="K749" s="7">
        <v>9242.8799999999992</v>
      </c>
      <c r="L749" s="2" t="s">
        <v>27</v>
      </c>
      <c r="M749" s="2" t="s">
        <v>2364</v>
      </c>
    </row>
    <row r="750" spans="1:13" x14ac:dyDescent="0.3">
      <c r="A750" s="2" t="s">
        <v>1411</v>
      </c>
      <c r="B750" s="5">
        <v>45671</v>
      </c>
      <c r="C750" s="2" t="s">
        <v>1412</v>
      </c>
      <c r="D750" s="2" t="s">
        <v>16</v>
      </c>
      <c r="E750" s="2" t="s">
        <v>160</v>
      </c>
      <c r="F750" s="2" t="s">
        <v>82</v>
      </c>
      <c r="G750" s="2" t="s">
        <v>73</v>
      </c>
      <c r="H750" s="2">
        <v>18</v>
      </c>
      <c r="I750" s="7">
        <v>578.11</v>
      </c>
      <c r="J750" s="2">
        <v>10</v>
      </c>
      <c r="K750" s="7">
        <v>9365.3799999999992</v>
      </c>
      <c r="L750" s="2" t="s">
        <v>27</v>
      </c>
      <c r="M750" s="2" t="s">
        <v>2364</v>
      </c>
    </row>
    <row r="751" spans="1:13" x14ac:dyDescent="0.3">
      <c r="A751" s="2" t="s">
        <v>1207</v>
      </c>
      <c r="B751" s="5">
        <v>45863</v>
      </c>
      <c r="C751" s="2" t="s">
        <v>1208</v>
      </c>
      <c r="D751" s="2" t="s">
        <v>46</v>
      </c>
      <c r="E751" s="2" t="s">
        <v>78</v>
      </c>
      <c r="F751" s="2" t="s">
        <v>82</v>
      </c>
      <c r="G751" s="2" t="s">
        <v>73</v>
      </c>
      <c r="H751" s="2">
        <v>21</v>
      </c>
      <c r="I751" s="7">
        <v>458.24</v>
      </c>
      <c r="J751" s="2">
        <v>0</v>
      </c>
      <c r="K751" s="7">
        <v>9623.0400000000009</v>
      </c>
      <c r="L751" s="1" t="s">
        <v>2347</v>
      </c>
      <c r="M751" s="2" t="s">
        <v>2364</v>
      </c>
    </row>
    <row r="752" spans="1:13" x14ac:dyDescent="0.3">
      <c r="A752" s="2" t="s">
        <v>1057</v>
      </c>
      <c r="B752" s="5">
        <v>46213</v>
      </c>
      <c r="C752" s="2" t="s">
        <v>1058</v>
      </c>
      <c r="D752" s="2" t="s">
        <v>16</v>
      </c>
      <c r="E752" s="2" t="s">
        <v>91</v>
      </c>
      <c r="F752" s="2" t="s">
        <v>82</v>
      </c>
      <c r="G752" s="2" t="s">
        <v>73</v>
      </c>
      <c r="H752" s="2">
        <v>18</v>
      </c>
      <c r="I752" s="7">
        <v>549.09</v>
      </c>
      <c r="J752" s="2">
        <v>0</v>
      </c>
      <c r="K752" s="7">
        <v>9883.6200000000008</v>
      </c>
      <c r="L752" s="1" t="s">
        <v>2347</v>
      </c>
      <c r="M752" s="2" t="s">
        <v>2364</v>
      </c>
    </row>
    <row r="753" spans="1:13" x14ac:dyDescent="0.3">
      <c r="A753" s="2" t="s">
        <v>1786</v>
      </c>
      <c r="B753" s="5">
        <v>45729</v>
      </c>
      <c r="C753" s="2" t="s">
        <v>1642</v>
      </c>
      <c r="D753" s="2" t="s">
        <v>46</v>
      </c>
      <c r="E753" s="2" t="s">
        <v>47</v>
      </c>
      <c r="F753" s="2" t="s">
        <v>82</v>
      </c>
      <c r="G753" s="2" t="s">
        <v>73</v>
      </c>
      <c r="H753" s="2">
        <v>19</v>
      </c>
      <c r="I753" s="7">
        <v>654.32000000000005</v>
      </c>
      <c r="J753" s="2">
        <v>20</v>
      </c>
      <c r="K753" s="7">
        <v>9945.66</v>
      </c>
      <c r="L753" s="1" t="s">
        <v>2347</v>
      </c>
      <c r="M753" s="2" t="s">
        <v>2364</v>
      </c>
    </row>
    <row r="754" spans="1:13" x14ac:dyDescent="0.3">
      <c r="A754" s="2" t="s">
        <v>746</v>
      </c>
      <c r="B754" s="5">
        <v>45928</v>
      </c>
      <c r="C754" s="2" t="s">
        <v>747</v>
      </c>
      <c r="D754" s="2" t="s">
        <v>53</v>
      </c>
      <c r="E754" s="2" t="s">
        <v>54</v>
      </c>
      <c r="F754" s="2" t="s">
        <v>82</v>
      </c>
      <c r="G754" s="2" t="s">
        <v>73</v>
      </c>
      <c r="H754" s="2">
        <v>26</v>
      </c>
      <c r="I754" s="7">
        <v>450.69</v>
      </c>
      <c r="J754" s="2">
        <v>10</v>
      </c>
      <c r="K754" s="7">
        <v>10546.15</v>
      </c>
      <c r="L754" s="2" t="s">
        <v>69</v>
      </c>
      <c r="M754" s="2" t="s">
        <v>2365</v>
      </c>
    </row>
    <row r="755" spans="1:13" x14ac:dyDescent="0.3">
      <c r="A755" s="2" t="s">
        <v>2122</v>
      </c>
      <c r="B755" s="5">
        <v>45952</v>
      </c>
      <c r="C755" s="2" t="s">
        <v>475</v>
      </c>
      <c r="D755" s="2" t="s">
        <v>46</v>
      </c>
      <c r="E755" s="2" t="s">
        <v>124</v>
      </c>
      <c r="F755" s="2" t="s">
        <v>82</v>
      </c>
      <c r="G755" s="2" t="s">
        <v>73</v>
      </c>
      <c r="H755" s="2">
        <v>33</v>
      </c>
      <c r="I755" s="7">
        <v>357.83</v>
      </c>
      <c r="J755" s="2">
        <v>10</v>
      </c>
      <c r="K755" s="7">
        <v>10627.55</v>
      </c>
      <c r="L755" s="2" t="s">
        <v>31</v>
      </c>
      <c r="M755" s="2" t="s">
        <v>2364</v>
      </c>
    </row>
    <row r="756" spans="1:13" x14ac:dyDescent="0.3">
      <c r="A756" s="2" t="s">
        <v>1846</v>
      </c>
      <c r="B756" s="5">
        <v>46195</v>
      </c>
      <c r="C756" s="2" t="s">
        <v>282</v>
      </c>
      <c r="D756" s="2" t="s">
        <v>53</v>
      </c>
      <c r="E756" s="2" t="s">
        <v>67</v>
      </c>
      <c r="F756" s="2" t="s">
        <v>82</v>
      </c>
      <c r="G756" s="2" t="s">
        <v>73</v>
      </c>
      <c r="H756" s="2">
        <v>15</v>
      </c>
      <c r="I756" s="7">
        <v>710.36</v>
      </c>
      <c r="J756" s="2">
        <v>0</v>
      </c>
      <c r="K756" s="7">
        <v>10655.4</v>
      </c>
      <c r="L756" s="2" t="s">
        <v>31</v>
      </c>
      <c r="M756" s="2" t="s">
        <v>2364</v>
      </c>
    </row>
    <row r="757" spans="1:13" x14ac:dyDescent="0.3">
      <c r="A757" s="2" t="s">
        <v>1442</v>
      </c>
      <c r="B757" s="5">
        <v>46029</v>
      </c>
      <c r="C757" s="2" t="s">
        <v>1430</v>
      </c>
      <c r="D757" s="2" t="s">
        <v>24</v>
      </c>
      <c r="E757" s="2" t="s">
        <v>59</v>
      </c>
      <c r="F757" s="2" t="s">
        <v>82</v>
      </c>
      <c r="G757" s="2" t="s">
        <v>73</v>
      </c>
      <c r="H757" s="2">
        <v>27</v>
      </c>
      <c r="I757" s="7">
        <v>395.64</v>
      </c>
      <c r="J757" s="2">
        <v>0</v>
      </c>
      <c r="K757" s="7">
        <v>10682.28</v>
      </c>
      <c r="L757" s="2" t="s">
        <v>31</v>
      </c>
      <c r="M757" s="2" t="s">
        <v>2364</v>
      </c>
    </row>
    <row r="758" spans="1:13" x14ac:dyDescent="0.3">
      <c r="A758" s="2" t="s">
        <v>2226</v>
      </c>
      <c r="B758" s="5">
        <v>46147</v>
      </c>
      <c r="C758" s="2" t="s">
        <v>2227</v>
      </c>
      <c r="D758" s="2" t="s">
        <v>16</v>
      </c>
      <c r="E758" s="2" t="s">
        <v>17</v>
      </c>
      <c r="F758" s="2" t="s">
        <v>82</v>
      </c>
      <c r="G758" s="2" t="s">
        <v>73</v>
      </c>
      <c r="H758" s="2">
        <v>23</v>
      </c>
      <c r="I758" s="7">
        <v>527.59</v>
      </c>
      <c r="J758" s="2">
        <v>10</v>
      </c>
      <c r="K758" s="7">
        <v>10921.11</v>
      </c>
      <c r="L758" s="2" t="s">
        <v>49</v>
      </c>
      <c r="M758" s="2" t="s">
        <v>2364</v>
      </c>
    </row>
    <row r="759" spans="1:13" x14ac:dyDescent="0.3">
      <c r="A759" s="2" t="s">
        <v>1821</v>
      </c>
      <c r="B759" s="5">
        <v>46115</v>
      </c>
      <c r="C759" s="2" t="s">
        <v>1822</v>
      </c>
      <c r="D759" s="2" t="s">
        <v>24</v>
      </c>
      <c r="E759" s="2" t="s">
        <v>59</v>
      </c>
      <c r="F759" s="2" t="s">
        <v>82</v>
      </c>
      <c r="G759" s="2" t="s">
        <v>73</v>
      </c>
      <c r="H759" s="2">
        <v>26</v>
      </c>
      <c r="I759" s="7">
        <v>457.45</v>
      </c>
      <c r="J759" s="2">
        <v>5</v>
      </c>
      <c r="K759" s="7">
        <v>11299.01</v>
      </c>
      <c r="L759" s="2" t="s">
        <v>31</v>
      </c>
      <c r="M759" s="2" t="s">
        <v>2364</v>
      </c>
    </row>
    <row r="760" spans="1:13" x14ac:dyDescent="0.3">
      <c r="A760" s="2" t="s">
        <v>623</v>
      </c>
      <c r="B760" s="5">
        <v>45705</v>
      </c>
      <c r="C760" s="2" t="s">
        <v>546</v>
      </c>
      <c r="D760" s="2" t="s">
        <v>24</v>
      </c>
      <c r="E760" s="2" t="s">
        <v>59</v>
      </c>
      <c r="F760" s="2" t="s">
        <v>82</v>
      </c>
      <c r="G760" s="2" t="s">
        <v>73</v>
      </c>
      <c r="H760" s="2">
        <v>19</v>
      </c>
      <c r="I760" s="7">
        <v>720.79</v>
      </c>
      <c r="J760" s="2">
        <v>15</v>
      </c>
      <c r="K760" s="7">
        <v>11640.76</v>
      </c>
      <c r="L760" s="2" t="s">
        <v>31</v>
      </c>
      <c r="M760" s="2" t="s">
        <v>2365</v>
      </c>
    </row>
    <row r="761" spans="1:13" x14ac:dyDescent="0.3">
      <c r="A761" s="2" t="s">
        <v>275</v>
      </c>
      <c r="B761" s="5">
        <v>45712</v>
      </c>
      <c r="C761" s="2" t="s">
        <v>276</v>
      </c>
      <c r="D761" s="2" t="s">
        <v>24</v>
      </c>
      <c r="E761" s="2" t="s">
        <v>25</v>
      </c>
      <c r="F761" s="2" t="s">
        <v>82</v>
      </c>
      <c r="G761" s="2" t="s">
        <v>73</v>
      </c>
      <c r="H761" s="2">
        <v>43</v>
      </c>
      <c r="I761" s="7">
        <v>301.3</v>
      </c>
      <c r="J761" s="2">
        <v>10</v>
      </c>
      <c r="K761" s="7">
        <v>11660.31</v>
      </c>
      <c r="L761" s="1" t="s">
        <v>2347</v>
      </c>
      <c r="M761" s="2" t="s">
        <v>2364</v>
      </c>
    </row>
    <row r="762" spans="1:13" x14ac:dyDescent="0.3">
      <c r="A762" s="2" t="s">
        <v>187</v>
      </c>
      <c r="B762" s="5">
        <v>46054</v>
      </c>
      <c r="C762" s="2" t="s">
        <v>188</v>
      </c>
      <c r="D762" s="2" t="s">
        <v>16</v>
      </c>
      <c r="E762" s="2" t="s">
        <v>17</v>
      </c>
      <c r="F762" s="2" t="s">
        <v>82</v>
      </c>
      <c r="G762" s="2" t="s">
        <v>73</v>
      </c>
      <c r="H762" s="2">
        <v>20</v>
      </c>
      <c r="I762" s="7">
        <v>656.14</v>
      </c>
      <c r="J762" s="2">
        <v>10</v>
      </c>
      <c r="K762" s="7">
        <v>11810.52</v>
      </c>
      <c r="L762" s="2" t="s">
        <v>69</v>
      </c>
      <c r="M762" s="2" t="s">
        <v>2365</v>
      </c>
    </row>
    <row r="763" spans="1:13" x14ac:dyDescent="0.3">
      <c r="A763" s="2" t="s">
        <v>1537</v>
      </c>
      <c r="B763" s="5">
        <v>46124</v>
      </c>
      <c r="C763" s="2" t="s">
        <v>1538</v>
      </c>
      <c r="D763" s="2" t="s">
        <v>24</v>
      </c>
      <c r="E763" s="2" t="s">
        <v>59</v>
      </c>
      <c r="F763" s="2" t="s">
        <v>82</v>
      </c>
      <c r="G763" s="2" t="s">
        <v>73</v>
      </c>
      <c r="H763" s="2">
        <v>26</v>
      </c>
      <c r="I763" s="7">
        <v>458.47</v>
      </c>
      <c r="J763" s="2">
        <v>0</v>
      </c>
      <c r="K763" s="7">
        <v>11920.22</v>
      </c>
      <c r="L763" s="2" t="s">
        <v>69</v>
      </c>
      <c r="M763" s="2" t="s">
        <v>2364</v>
      </c>
    </row>
    <row r="764" spans="1:13" x14ac:dyDescent="0.3">
      <c r="A764" s="2" t="s">
        <v>2210</v>
      </c>
      <c r="B764" s="5">
        <v>46293</v>
      </c>
      <c r="C764" s="2" t="s">
        <v>1928</v>
      </c>
      <c r="D764" s="2" t="s">
        <v>46</v>
      </c>
      <c r="E764" s="2" t="s">
        <v>78</v>
      </c>
      <c r="F764" s="2" t="s">
        <v>82</v>
      </c>
      <c r="G764" s="2" t="s">
        <v>73</v>
      </c>
      <c r="H764" s="2">
        <v>26</v>
      </c>
      <c r="I764" s="7">
        <v>495.88</v>
      </c>
      <c r="J764" s="2">
        <v>5</v>
      </c>
      <c r="K764" s="7">
        <v>12248.24</v>
      </c>
      <c r="L764" s="2" t="s">
        <v>27</v>
      </c>
      <c r="M764" s="2" t="s">
        <v>2364</v>
      </c>
    </row>
    <row r="765" spans="1:13" x14ac:dyDescent="0.3">
      <c r="A765" s="2" t="s">
        <v>2308</v>
      </c>
      <c r="B765" s="5">
        <v>46176</v>
      </c>
      <c r="C765" s="2" t="s">
        <v>2309</v>
      </c>
      <c r="D765" s="2" t="s">
        <v>46</v>
      </c>
      <c r="E765" s="2" t="s">
        <v>244</v>
      </c>
      <c r="F765" s="2" t="s">
        <v>82</v>
      </c>
      <c r="G765" s="2" t="s">
        <v>73</v>
      </c>
      <c r="H765" s="2">
        <v>31</v>
      </c>
      <c r="I765" s="7">
        <v>441.23</v>
      </c>
      <c r="J765" s="2">
        <v>10</v>
      </c>
      <c r="K765" s="7">
        <v>12310.32</v>
      </c>
      <c r="L765" s="2" t="s">
        <v>69</v>
      </c>
      <c r="M765" s="2" t="s">
        <v>2364</v>
      </c>
    </row>
    <row r="766" spans="1:13" x14ac:dyDescent="0.3">
      <c r="A766" s="2" t="s">
        <v>1237</v>
      </c>
      <c r="B766" s="5">
        <v>45817</v>
      </c>
      <c r="C766" s="2" t="s">
        <v>1238</v>
      </c>
      <c r="D766" s="2" t="s">
        <v>16</v>
      </c>
      <c r="E766" s="2" t="s">
        <v>91</v>
      </c>
      <c r="F766" s="2" t="s">
        <v>82</v>
      </c>
      <c r="G766" s="2" t="s">
        <v>73</v>
      </c>
      <c r="H766" s="2">
        <v>43</v>
      </c>
      <c r="I766" s="7">
        <v>320.12</v>
      </c>
      <c r="J766" s="2">
        <v>5</v>
      </c>
      <c r="K766" s="7">
        <v>13076.9</v>
      </c>
      <c r="L766" s="2" t="s">
        <v>49</v>
      </c>
      <c r="M766" s="2" t="s">
        <v>2365</v>
      </c>
    </row>
    <row r="767" spans="1:13" x14ac:dyDescent="0.3">
      <c r="A767" s="2" t="s">
        <v>2224</v>
      </c>
      <c r="B767" s="5">
        <v>45698</v>
      </c>
      <c r="C767" s="2" t="s">
        <v>2225</v>
      </c>
      <c r="D767" s="2" t="s">
        <v>53</v>
      </c>
      <c r="E767" s="2" t="s">
        <v>170</v>
      </c>
      <c r="F767" s="2" t="s">
        <v>82</v>
      </c>
      <c r="G767" s="2" t="s">
        <v>73</v>
      </c>
      <c r="H767" s="2">
        <v>18</v>
      </c>
      <c r="I767" s="7">
        <v>729.65</v>
      </c>
      <c r="J767" s="2">
        <v>0</v>
      </c>
      <c r="K767" s="7">
        <v>13133.7</v>
      </c>
      <c r="L767" s="2" t="s">
        <v>27</v>
      </c>
      <c r="M767" s="2" t="s">
        <v>2365</v>
      </c>
    </row>
    <row r="768" spans="1:13" x14ac:dyDescent="0.3">
      <c r="A768" s="2" t="s">
        <v>2267</v>
      </c>
      <c r="B768" s="5">
        <v>45818</v>
      </c>
      <c r="C768" s="2" t="s">
        <v>1315</v>
      </c>
      <c r="D768" s="2" t="s">
        <v>24</v>
      </c>
      <c r="E768" s="2" t="s">
        <v>25</v>
      </c>
      <c r="F768" s="2" t="s">
        <v>82</v>
      </c>
      <c r="G768" s="2" t="s">
        <v>73</v>
      </c>
      <c r="H768" s="2">
        <v>28</v>
      </c>
      <c r="I768" s="7">
        <v>593.09</v>
      </c>
      <c r="J768" s="2">
        <v>20</v>
      </c>
      <c r="K768" s="7">
        <v>13285.22</v>
      </c>
      <c r="L768" s="2" t="s">
        <v>49</v>
      </c>
      <c r="M768" s="2" t="s">
        <v>2365</v>
      </c>
    </row>
    <row r="769" spans="1:13" x14ac:dyDescent="0.3">
      <c r="A769" s="2" t="s">
        <v>1927</v>
      </c>
      <c r="B769" s="5">
        <v>45742</v>
      </c>
      <c r="C769" s="2" t="s">
        <v>1928</v>
      </c>
      <c r="D769" s="2" t="s">
        <v>16</v>
      </c>
      <c r="E769" s="2" t="s">
        <v>74</v>
      </c>
      <c r="F769" s="2" t="s">
        <v>82</v>
      </c>
      <c r="G769" s="2" t="s">
        <v>73</v>
      </c>
      <c r="H769" s="2">
        <v>25</v>
      </c>
      <c r="I769" s="7">
        <v>535.44000000000005</v>
      </c>
      <c r="J769" s="2">
        <v>0</v>
      </c>
      <c r="K769" s="7">
        <v>13386</v>
      </c>
      <c r="L769" s="2" t="s">
        <v>31</v>
      </c>
      <c r="M769" s="2" t="s">
        <v>2364</v>
      </c>
    </row>
    <row r="770" spans="1:13" x14ac:dyDescent="0.3">
      <c r="A770" s="2" t="s">
        <v>1730</v>
      </c>
      <c r="B770" s="5">
        <v>46244</v>
      </c>
      <c r="C770" s="2" t="s">
        <v>1731</v>
      </c>
      <c r="D770" s="2" t="s">
        <v>24</v>
      </c>
      <c r="E770" s="2" t="s">
        <v>104</v>
      </c>
      <c r="F770" s="2" t="s">
        <v>82</v>
      </c>
      <c r="G770" s="2" t="s">
        <v>73</v>
      </c>
      <c r="H770" s="2">
        <v>29</v>
      </c>
      <c r="I770" s="7">
        <v>469.02</v>
      </c>
      <c r="J770" s="2">
        <v>0</v>
      </c>
      <c r="K770" s="7">
        <v>13601.58</v>
      </c>
      <c r="L770" s="2" t="s">
        <v>69</v>
      </c>
      <c r="M770" s="2" t="s">
        <v>2364</v>
      </c>
    </row>
    <row r="771" spans="1:13" x14ac:dyDescent="0.3">
      <c r="A771" s="2" t="s">
        <v>1150</v>
      </c>
      <c r="B771" s="5">
        <v>46160</v>
      </c>
      <c r="C771" s="2" t="s">
        <v>1151</v>
      </c>
      <c r="D771" s="2" t="s">
        <v>24</v>
      </c>
      <c r="E771" s="2" t="s">
        <v>36</v>
      </c>
      <c r="F771" s="2" t="s">
        <v>82</v>
      </c>
      <c r="G771" s="2" t="s">
        <v>73</v>
      </c>
      <c r="H771" s="2">
        <v>24</v>
      </c>
      <c r="I771" s="7">
        <v>637.80999999999995</v>
      </c>
      <c r="J771" s="2">
        <v>10</v>
      </c>
      <c r="K771" s="7">
        <v>13776.7</v>
      </c>
      <c r="L771" s="2" t="s">
        <v>69</v>
      </c>
      <c r="M771" s="2" t="s">
        <v>2364</v>
      </c>
    </row>
    <row r="772" spans="1:13" x14ac:dyDescent="0.3">
      <c r="A772" s="2" t="s">
        <v>712</v>
      </c>
      <c r="B772" s="5">
        <v>45995</v>
      </c>
      <c r="C772" s="2" t="s">
        <v>713</v>
      </c>
      <c r="D772" s="2" t="s">
        <v>24</v>
      </c>
      <c r="E772" s="2" t="s">
        <v>41</v>
      </c>
      <c r="F772" s="2" t="s">
        <v>82</v>
      </c>
      <c r="G772" s="2" t="s">
        <v>73</v>
      </c>
      <c r="H772" s="2">
        <v>44</v>
      </c>
      <c r="I772" s="7">
        <v>356</v>
      </c>
      <c r="J772" s="2">
        <v>10</v>
      </c>
      <c r="K772" s="7">
        <v>14097.6</v>
      </c>
      <c r="L772" s="2" t="s">
        <v>27</v>
      </c>
      <c r="M772" s="2" t="s">
        <v>2364</v>
      </c>
    </row>
    <row r="773" spans="1:13" x14ac:dyDescent="0.3">
      <c r="A773" s="2" t="s">
        <v>428</v>
      </c>
      <c r="B773" s="5">
        <v>45958</v>
      </c>
      <c r="C773" s="2" t="s">
        <v>429</v>
      </c>
      <c r="D773" s="2" t="s">
        <v>16</v>
      </c>
      <c r="E773" s="2" t="s">
        <v>17</v>
      </c>
      <c r="F773" s="2" t="s">
        <v>82</v>
      </c>
      <c r="G773" s="2" t="s">
        <v>73</v>
      </c>
      <c r="H773" s="2">
        <v>22</v>
      </c>
      <c r="I773" s="7">
        <v>718.94</v>
      </c>
      <c r="J773" s="2">
        <v>10</v>
      </c>
      <c r="K773" s="7">
        <v>14235.01</v>
      </c>
      <c r="L773" s="2" t="s">
        <v>49</v>
      </c>
      <c r="M773" s="2" t="s">
        <v>2365</v>
      </c>
    </row>
    <row r="774" spans="1:13" x14ac:dyDescent="0.3">
      <c r="A774" s="2" t="s">
        <v>2198</v>
      </c>
      <c r="B774" s="5">
        <v>45912</v>
      </c>
      <c r="C774" s="2" t="s">
        <v>618</v>
      </c>
      <c r="D774" s="2" t="s">
        <v>53</v>
      </c>
      <c r="E774" s="2" t="s">
        <v>54</v>
      </c>
      <c r="F774" s="2" t="s">
        <v>82</v>
      </c>
      <c r="G774" s="2" t="s">
        <v>73</v>
      </c>
      <c r="H774" s="2">
        <v>36</v>
      </c>
      <c r="I774" s="7">
        <v>396.91</v>
      </c>
      <c r="J774" s="2">
        <v>0</v>
      </c>
      <c r="K774" s="7">
        <v>14288.76</v>
      </c>
      <c r="L774" s="2" t="s">
        <v>27</v>
      </c>
      <c r="M774" s="2" t="s">
        <v>2364</v>
      </c>
    </row>
    <row r="775" spans="1:13" x14ac:dyDescent="0.3">
      <c r="A775" s="2" t="s">
        <v>819</v>
      </c>
      <c r="B775" s="5">
        <v>45761</v>
      </c>
      <c r="C775" s="2" t="s">
        <v>820</v>
      </c>
      <c r="D775" s="2" t="s">
        <v>16</v>
      </c>
      <c r="E775" s="2" t="s">
        <v>160</v>
      </c>
      <c r="F775" s="2" t="s">
        <v>82</v>
      </c>
      <c r="G775" s="2" t="s">
        <v>73</v>
      </c>
      <c r="H775" s="2">
        <v>29</v>
      </c>
      <c r="I775" s="7">
        <v>550.74</v>
      </c>
      <c r="J775" s="2">
        <v>10</v>
      </c>
      <c r="K775" s="7">
        <v>14374.31</v>
      </c>
      <c r="L775" s="2" t="s">
        <v>31</v>
      </c>
      <c r="M775" s="2" t="s">
        <v>2364</v>
      </c>
    </row>
    <row r="776" spans="1:13" x14ac:dyDescent="0.3">
      <c r="A776" s="2" t="s">
        <v>1782</v>
      </c>
      <c r="B776" s="5">
        <v>46294</v>
      </c>
      <c r="C776" s="2" t="s">
        <v>1525</v>
      </c>
      <c r="D776" s="2" t="s">
        <v>53</v>
      </c>
      <c r="E776" s="2" t="s">
        <v>54</v>
      </c>
      <c r="F776" s="2" t="s">
        <v>82</v>
      </c>
      <c r="G776" s="2" t="s">
        <v>73</v>
      </c>
      <c r="H776" s="2">
        <v>33</v>
      </c>
      <c r="I776" s="7">
        <v>486.25</v>
      </c>
      <c r="J776" s="2">
        <v>10</v>
      </c>
      <c r="K776" s="7">
        <v>14441.63</v>
      </c>
      <c r="L776" s="2" t="s">
        <v>31</v>
      </c>
      <c r="M776" s="2" t="s">
        <v>2364</v>
      </c>
    </row>
    <row r="777" spans="1:13" x14ac:dyDescent="0.3">
      <c r="A777" s="2" t="s">
        <v>691</v>
      </c>
      <c r="B777" s="5">
        <v>46217</v>
      </c>
      <c r="C777" s="2" t="s">
        <v>692</v>
      </c>
      <c r="D777" s="2" t="s">
        <v>16</v>
      </c>
      <c r="E777" s="2" t="s">
        <v>74</v>
      </c>
      <c r="F777" s="2" t="s">
        <v>82</v>
      </c>
      <c r="G777" s="2" t="s">
        <v>73</v>
      </c>
      <c r="H777" s="2">
        <v>35</v>
      </c>
      <c r="I777" s="7">
        <v>524.15</v>
      </c>
      <c r="J777" s="2">
        <v>20</v>
      </c>
      <c r="K777" s="7">
        <v>14676.2</v>
      </c>
      <c r="L777" s="2" t="s">
        <v>69</v>
      </c>
      <c r="M777" s="2" t="s">
        <v>2364</v>
      </c>
    </row>
    <row r="778" spans="1:13" x14ac:dyDescent="0.3">
      <c r="A778" s="2" t="s">
        <v>2280</v>
      </c>
      <c r="B778" s="5">
        <v>46094</v>
      </c>
      <c r="C778" s="2" t="s">
        <v>2281</v>
      </c>
      <c r="D778" s="2" t="s">
        <v>16</v>
      </c>
      <c r="E778" s="2" t="s">
        <v>17</v>
      </c>
      <c r="F778" s="2" t="s">
        <v>82</v>
      </c>
      <c r="G778" s="2" t="s">
        <v>73</v>
      </c>
      <c r="H778" s="2">
        <v>40</v>
      </c>
      <c r="I778" s="7">
        <v>367.76</v>
      </c>
      <c r="J778" s="2">
        <v>0</v>
      </c>
      <c r="K778" s="7">
        <v>14710.4</v>
      </c>
      <c r="L778" s="2" t="s">
        <v>69</v>
      </c>
      <c r="M778" s="2" t="s">
        <v>2364</v>
      </c>
    </row>
    <row r="779" spans="1:13" x14ac:dyDescent="0.3">
      <c r="A779" s="2" t="s">
        <v>737</v>
      </c>
      <c r="B779" s="5">
        <v>46179</v>
      </c>
      <c r="C779" s="2" t="s">
        <v>738</v>
      </c>
      <c r="D779" s="2" t="s">
        <v>24</v>
      </c>
      <c r="E779" s="2" t="s">
        <v>41</v>
      </c>
      <c r="F779" s="2" t="s">
        <v>82</v>
      </c>
      <c r="G779" s="2" t="s">
        <v>73</v>
      </c>
      <c r="H779" s="2">
        <v>26</v>
      </c>
      <c r="I779" s="7">
        <v>565.84</v>
      </c>
      <c r="J779" s="2">
        <v>0</v>
      </c>
      <c r="K779" s="7">
        <v>14711.84</v>
      </c>
      <c r="L779" s="2" t="s">
        <v>27</v>
      </c>
      <c r="M779" s="2" t="s">
        <v>2364</v>
      </c>
    </row>
    <row r="780" spans="1:13" x14ac:dyDescent="0.3">
      <c r="A780" s="2" t="s">
        <v>1895</v>
      </c>
      <c r="B780" s="5">
        <v>46067</v>
      </c>
      <c r="C780" s="2" t="s">
        <v>662</v>
      </c>
      <c r="D780" s="2" t="s">
        <v>53</v>
      </c>
      <c r="E780" s="2" t="s">
        <v>54</v>
      </c>
      <c r="F780" s="2" t="s">
        <v>82</v>
      </c>
      <c r="G780" s="2" t="s">
        <v>73</v>
      </c>
      <c r="H780" s="2">
        <v>42</v>
      </c>
      <c r="I780" s="7">
        <v>429.08</v>
      </c>
      <c r="J780" s="2">
        <v>15</v>
      </c>
      <c r="K780" s="7">
        <v>15318.16</v>
      </c>
      <c r="L780" s="2" t="s">
        <v>27</v>
      </c>
      <c r="M780" s="2" t="s">
        <v>2365</v>
      </c>
    </row>
    <row r="781" spans="1:13" x14ac:dyDescent="0.3">
      <c r="A781" s="2" t="s">
        <v>1814</v>
      </c>
      <c r="B781" s="5">
        <v>46236</v>
      </c>
      <c r="C781" s="2" t="s">
        <v>1815</v>
      </c>
      <c r="D781" s="2" t="s">
        <v>16</v>
      </c>
      <c r="E781" s="2" t="s">
        <v>74</v>
      </c>
      <c r="F781" s="2" t="s">
        <v>82</v>
      </c>
      <c r="G781" s="2" t="s">
        <v>73</v>
      </c>
      <c r="H781" s="2">
        <v>41</v>
      </c>
      <c r="I781" s="7">
        <v>394.53</v>
      </c>
      <c r="J781" s="2">
        <v>0</v>
      </c>
      <c r="K781" s="7">
        <v>16175.73</v>
      </c>
      <c r="L781" s="2" t="s">
        <v>69</v>
      </c>
      <c r="M781" s="2" t="s">
        <v>2364</v>
      </c>
    </row>
    <row r="782" spans="1:13" x14ac:dyDescent="0.3">
      <c r="A782" s="2" t="s">
        <v>1478</v>
      </c>
      <c r="B782" s="5">
        <v>45722</v>
      </c>
      <c r="C782" s="2" t="s">
        <v>1479</v>
      </c>
      <c r="D782" s="2" t="s">
        <v>16</v>
      </c>
      <c r="E782" s="2" t="s">
        <v>111</v>
      </c>
      <c r="F782" s="2" t="s">
        <v>82</v>
      </c>
      <c r="G782" s="2" t="s">
        <v>73</v>
      </c>
      <c r="H782" s="2">
        <v>49</v>
      </c>
      <c r="I782" s="7">
        <v>337.74</v>
      </c>
      <c r="J782" s="2">
        <v>0</v>
      </c>
      <c r="K782" s="7">
        <v>16549.259999999998</v>
      </c>
      <c r="L782" s="2" t="s">
        <v>27</v>
      </c>
      <c r="M782" s="2" t="s">
        <v>2364</v>
      </c>
    </row>
    <row r="783" spans="1:13" x14ac:dyDescent="0.3">
      <c r="A783" s="2" t="s">
        <v>1263</v>
      </c>
      <c r="B783" s="5">
        <v>45735</v>
      </c>
      <c r="C783" s="2" t="s">
        <v>1264</v>
      </c>
      <c r="D783" s="2" t="s">
        <v>16</v>
      </c>
      <c r="E783" s="2" t="s">
        <v>17</v>
      </c>
      <c r="F783" s="2" t="s">
        <v>82</v>
      </c>
      <c r="G783" s="2" t="s">
        <v>73</v>
      </c>
      <c r="H783" s="2">
        <v>37</v>
      </c>
      <c r="I783" s="7">
        <v>455.64</v>
      </c>
      <c r="J783" s="2">
        <v>0</v>
      </c>
      <c r="K783" s="7">
        <v>16858.68</v>
      </c>
      <c r="L783" s="2" t="s">
        <v>49</v>
      </c>
      <c r="M783" s="2" t="s">
        <v>2364</v>
      </c>
    </row>
    <row r="784" spans="1:13" x14ac:dyDescent="0.3">
      <c r="A784" s="2" t="s">
        <v>1902</v>
      </c>
      <c r="B784" s="5">
        <v>45997</v>
      </c>
      <c r="C784" s="2" t="s">
        <v>1903</v>
      </c>
      <c r="D784" s="2" t="s">
        <v>16</v>
      </c>
      <c r="E784" s="2" t="s">
        <v>111</v>
      </c>
      <c r="F784" s="2" t="s">
        <v>82</v>
      </c>
      <c r="G784" s="2" t="s">
        <v>73</v>
      </c>
      <c r="H784" s="2">
        <v>46</v>
      </c>
      <c r="I784" s="7">
        <v>379.47</v>
      </c>
      <c r="J784" s="2">
        <v>0</v>
      </c>
      <c r="K784" s="7">
        <v>17455.62</v>
      </c>
      <c r="L784" s="2" t="s">
        <v>27</v>
      </c>
      <c r="M784" s="2" t="s">
        <v>2365</v>
      </c>
    </row>
    <row r="785" spans="1:13" x14ac:dyDescent="0.3">
      <c r="A785" s="2" t="s">
        <v>671</v>
      </c>
      <c r="B785" s="5">
        <v>46279</v>
      </c>
      <c r="C785" s="2" t="s">
        <v>672</v>
      </c>
      <c r="D785" s="2" t="s">
        <v>46</v>
      </c>
      <c r="E785" s="2" t="s">
        <v>78</v>
      </c>
      <c r="F785" s="2" t="s">
        <v>82</v>
      </c>
      <c r="G785" s="2" t="s">
        <v>73</v>
      </c>
      <c r="H785" s="2">
        <v>29</v>
      </c>
      <c r="I785" s="7">
        <v>680.47</v>
      </c>
      <c r="J785" s="2">
        <v>10</v>
      </c>
      <c r="K785" s="7">
        <v>17760.27</v>
      </c>
      <c r="L785" s="2" t="s">
        <v>49</v>
      </c>
      <c r="M785" s="2" t="s">
        <v>2364</v>
      </c>
    </row>
    <row r="786" spans="1:13" x14ac:dyDescent="0.3">
      <c r="A786" s="2" t="s">
        <v>1030</v>
      </c>
      <c r="B786" s="5">
        <v>46301</v>
      </c>
      <c r="C786" s="2" t="s">
        <v>786</v>
      </c>
      <c r="D786" s="2" t="s">
        <v>16</v>
      </c>
      <c r="E786" s="2" t="s">
        <v>74</v>
      </c>
      <c r="F786" s="2" t="s">
        <v>82</v>
      </c>
      <c r="G786" s="2" t="s">
        <v>73</v>
      </c>
      <c r="H786" s="2">
        <v>34</v>
      </c>
      <c r="I786" s="7">
        <v>553.53</v>
      </c>
      <c r="J786" s="2">
        <v>0</v>
      </c>
      <c r="K786" s="7">
        <v>18820.02</v>
      </c>
      <c r="L786" s="2" t="s">
        <v>69</v>
      </c>
      <c r="M786" s="2" t="s">
        <v>2364</v>
      </c>
    </row>
    <row r="787" spans="1:13" x14ac:dyDescent="0.3">
      <c r="A787" s="2" t="s">
        <v>172</v>
      </c>
      <c r="B787" s="5">
        <v>46207</v>
      </c>
      <c r="C787" s="2" t="s">
        <v>173</v>
      </c>
      <c r="D787" s="2" t="s">
        <v>16</v>
      </c>
      <c r="E787" s="2" t="s">
        <v>74</v>
      </c>
      <c r="F787" s="2" t="s">
        <v>82</v>
      </c>
      <c r="G787" s="2" t="s">
        <v>73</v>
      </c>
      <c r="H787" s="2">
        <v>32</v>
      </c>
      <c r="I787" s="7">
        <v>627.63</v>
      </c>
      <c r="J787" s="2">
        <v>0</v>
      </c>
      <c r="K787" s="7">
        <v>20084.16</v>
      </c>
      <c r="L787" s="2" t="s">
        <v>31</v>
      </c>
      <c r="M787" s="2" t="s">
        <v>2364</v>
      </c>
    </row>
    <row r="788" spans="1:13" x14ac:dyDescent="0.3">
      <c r="A788" s="2" t="s">
        <v>1843</v>
      </c>
      <c r="B788" s="5">
        <v>46303</v>
      </c>
      <c r="C788" s="2" t="s">
        <v>1844</v>
      </c>
      <c r="D788" s="2" t="s">
        <v>16</v>
      </c>
      <c r="E788" s="2" t="s">
        <v>74</v>
      </c>
      <c r="F788" s="2" t="s">
        <v>82</v>
      </c>
      <c r="G788" s="2" t="s">
        <v>73</v>
      </c>
      <c r="H788" s="2">
        <v>31</v>
      </c>
      <c r="I788" s="7">
        <v>685.6</v>
      </c>
      <c r="J788" s="2">
        <v>5</v>
      </c>
      <c r="K788" s="7">
        <v>20190.919999999998</v>
      </c>
      <c r="L788" s="2" t="s">
        <v>31</v>
      </c>
      <c r="M788" s="2" t="s">
        <v>2364</v>
      </c>
    </row>
    <row r="789" spans="1:13" x14ac:dyDescent="0.3">
      <c r="A789" s="2" t="s">
        <v>249</v>
      </c>
      <c r="B789" s="5">
        <v>46000</v>
      </c>
      <c r="C789" s="2" t="s">
        <v>250</v>
      </c>
      <c r="D789" s="2" t="s">
        <v>46</v>
      </c>
      <c r="E789" s="2" t="s">
        <v>124</v>
      </c>
      <c r="F789" s="2" t="s">
        <v>82</v>
      </c>
      <c r="G789" s="2" t="s">
        <v>73</v>
      </c>
      <c r="H789" s="2">
        <v>44</v>
      </c>
      <c r="I789" s="7">
        <v>492.47</v>
      </c>
      <c r="J789" s="2">
        <v>5</v>
      </c>
      <c r="K789" s="7">
        <v>20585.25</v>
      </c>
      <c r="L789" s="2" t="s">
        <v>69</v>
      </c>
      <c r="M789" s="2" t="s">
        <v>2364</v>
      </c>
    </row>
    <row r="790" spans="1:13" x14ac:dyDescent="0.3">
      <c r="A790" s="2" t="s">
        <v>630</v>
      </c>
      <c r="B790" s="5">
        <v>45795</v>
      </c>
      <c r="C790" s="2" t="s">
        <v>631</v>
      </c>
      <c r="D790" s="2" t="s">
        <v>16</v>
      </c>
      <c r="E790" s="2" t="s">
        <v>160</v>
      </c>
      <c r="F790" s="2" t="s">
        <v>82</v>
      </c>
      <c r="G790" s="2" t="s">
        <v>73</v>
      </c>
      <c r="H790" s="2">
        <v>43</v>
      </c>
      <c r="I790" s="7">
        <v>505.66</v>
      </c>
      <c r="J790" s="2">
        <v>5</v>
      </c>
      <c r="K790" s="7">
        <v>20656.21</v>
      </c>
      <c r="L790" s="1" t="s">
        <v>2347</v>
      </c>
      <c r="M790" s="2" t="s">
        <v>2364</v>
      </c>
    </row>
    <row r="791" spans="1:13" x14ac:dyDescent="0.3">
      <c r="A791" s="2" t="s">
        <v>808</v>
      </c>
      <c r="B791" s="5">
        <v>45924</v>
      </c>
      <c r="C791" s="2" t="s">
        <v>809</v>
      </c>
      <c r="D791" s="2" t="s">
        <v>24</v>
      </c>
      <c r="E791" s="2" t="s">
        <v>41</v>
      </c>
      <c r="F791" s="2" t="s">
        <v>82</v>
      </c>
      <c r="G791" s="2" t="s">
        <v>73</v>
      </c>
      <c r="H791" s="2">
        <v>34</v>
      </c>
      <c r="I791" s="7">
        <v>648.09</v>
      </c>
      <c r="J791" s="2">
        <v>5</v>
      </c>
      <c r="K791" s="7">
        <v>20933.310000000001</v>
      </c>
      <c r="L791" s="2" t="s">
        <v>31</v>
      </c>
      <c r="M791" s="2" t="s">
        <v>2365</v>
      </c>
    </row>
    <row r="792" spans="1:13" x14ac:dyDescent="0.3">
      <c r="A792" s="2" t="s">
        <v>1557</v>
      </c>
      <c r="B792" s="5">
        <v>45784</v>
      </c>
      <c r="C792" s="2" t="s">
        <v>1122</v>
      </c>
      <c r="D792" s="2" t="s">
        <v>24</v>
      </c>
      <c r="E792" s="2" t="s">
        <v>41</v>
      </c>
      <c r="F792" s="2" t="s">
        <v>82</v>
      </c>
      <c r="G792" s="2" t="s">
        <v>73</v>
      </c>
      <c r="H792" s="2">
        <v>50</v>
      </c>
      <c r="I792" s="7">
        <v>422.9</v>
      </c>
      <c r="J792" s="2">
        <v>0</v>
      </c>
      <c r="K792" s="7">
        <v>21145</v>
      </c>
      <c r="L792" s="1" t="s">
        <v>2347</v>
      </c>
      <c r="M792" s="2" t="s">
        <v>2365</v>
      </c>
    </row>
    <row r="793" spans="1:13" x14ac:dyDescent="0.3">
      <c r="A793" s="2" t="s">
        <v>329</v>
      </c>
      <c r="B793" s="5">
        <v>46045</v>
      </c>
      <c r="C793" s="2" t="s">
        <v>330</v>
      </c>
      <c r="D793" s="2" t="s">
        <v>53</v>
      </c>
      <c r="E793" s="2" t="s">
        <v>54</v>
      </c>
      <c r="F793" s="2" t="s">
        <v>82</v>
      </c>
      <c r="G793" s="2" t="s">
        <v>73</v>
      </c>
      <c r="H793" s="2">
        <v>31</v>
      </c>
      <c r="I793" s="7">
        <v>706.82</v>
      </c>
      <c r="J793" s="2">
        <v>0</v>
      </c>
      <c r="K793" s="7">
        <v>21911.42</v>
      </c>
      <c r="L793" s="2" t="s">
        <v>31</v>
      </c>
      <c r="M793" s="2" t="s">
        <v>2364</v>
      </c>
    </row>
    <row r="794" spans="1:13" x14ac:dyDescent="0.3">
      <c r="A794" s="2" t="s">
        <v>806</v>
      </c>
      <c r="B794" s="5">
        <v>45653</v>
      </c>
      <c r="C794" s="2" t="s">
        <v>153</v>
      </c>
      <c r="D794" s="2" t="s">
        <v>24</v>
      </c>
      <c r="E794" s="2" t="s">
        <v>36</v>
      </c>
      <c r="F794" s="2" t="s">
        <v>82</v>
      </c>
      <c r="G794" s="2" t="s">
        <v>73</v>
      </c>
      <c r="H794" s="2">
        <v>34</v>
      </c>
      <c r="I794" s="7">
        <v>773.52</v>
      </c>
      <c r="J794" s="2">
        <v>10</v>
      </c>
      <c r="K794" s="7">
        <v>23669.71</v>
      </c>
      <c r="L794" s="1" t="s">
        <v>2347</v>
      </c>
      <c r="M794" s="2" t="s">
        <v>2364</v>
      </c>
    </row>
    <row r="795" spans="1:13" x14ac:dyDescent="0.3">
      <c r="A795" s="2" t="s">
        <v>1468</v>
      </c>
      <c r="B795" s="5">
        <v>45801</v>
      </c>
      <c r="C795" s="2" t="s">
        <v>1469</v>
      </c>
      <c r="D795" s="2" t="s">
        <v>24</v>
      </c>
      <c r="E795" s="2" t="s">
        <v>36</v>
      </c>
      <c r="F795" s="2" t="s">
        <v>82</v>
      </c>
      <c r="G795" s="2" t="s">
        <v>73</v>
      </c>
      <c r="H795" s="2">
        <v>46</v>
      </c>
      <c r="I795" s="7">
        <v>603.1</v>
      </c>
      <c r="J795" s="2">
        <v>10</v>
      </c>
      <c r="K795" s="7">
        <v>24968.34</v>
      </c>
      <c r="L795" s="2" t="s">
        <v>49</v>
      </c>
      <c r="M795" s="2" t="s">
        <v>2364</v>
      </c>
    </row>
    <row r="796" spans="1:13" x14ac:dyDescent="0.3">
      <c r="A796" s="2" t="s">
        <v>1878</v>
      </c>
      <c r="B796" s="5">
        <v>46237</v>
      </c>
      <c r="C796" s="2" t="s">
        <v>725</v>
      </c>
      <c r="D796" s="2" t="s">
        <v>53</v>
      </c>
      <c r="E796" s="2" t="s">
        <v>67</v>
      </c>
      <c r="F796" s="2" t="s">
        <v>82</v>
      </c>
      <c r="G796" s="2" t="s">
        <v>73</v>
      </c>
      <c r="H796" s="2">
        <v>39</v>
      </c>
      <c r="I796" s="7">
        <v>661.32</v>
      </c>
      <c r="J796" s="2">
        <v>0</v>
      </c>
      <c r="K796" s="7">
        <v>25791.48</v>
      </c>
      <c r="L796" s="2" t="s">
        <v>49</v>
      </c>
      <c r="M796" s="2" t="s">
        <v>2365</v>
      </c>
    </row>
    <row r="797" spans="1:13" x14ac:dyDescent="0.3">
      <c r="A797" s="2" t="s">
        <v>1986</v>
      </c>
      <c r="B797" s="5">
        <v>45607</v>
      </c>
      <c r="C797" s="2" t="s">
        <v>1987</v>
      </c>
      <c r="D797" s="2" t="s">
        <v>16</v>
      </c>
      <c r="E797" s="2" t="s">
        <v>111</v>
      </c>
      <c r="F797" s="2" t="s">
        <v>82</v>
      </c>
      <c r="G797" s="2" t="s">
        <v>73</v>
      </c>
      <c r="H797" s="2">
        <v>45</v>
      </c>
      <c r="I797" s="7">
        <v>580.89</v>
      </c>
      <c r="J797" s="2">
        <v>0</v>
      </c>
      <c r="K797" s="7">
        <v>26140.05</v>
      </c>
      <c r="L797" s="2" t="s">
        <v>27</v>
      </c>
      <c r="M797" s="2" t="s">
        <v>2364</v>
      </c>
    </row>
    <row r="798" spans="1:13" x14ac:dyDescent="0.3">
      <c r="A798" s="2" t="s">
        <v>1104</v>
      </c>
      <c r="B798" s="5">
        <v>46139</v>
      </c>
      <c r="C798" s="2" t="s">
        <v>741</v>
      </c>
      <c r="D798" s="2" t="s">
        <v>53</v>
      </c>
      <c r="E798" s="2" t="s">
        <v>141</v>
      </c>
      <c r="F798" s="2" t="s">
        <v>82</v>
      </c>
      <c r="G798" s="2" t="s">
        <v>73</v>
      </c>
      <c r="H798" s="2">
        <v>36</v>
      </c>
      <c r="I798" s="7">
        <v>790.44</v>
      </c>
      <c r="J798" s="2">
        <v>5</v>
      </c>
      <c r="K798" s="7">
        <v>27033.05</v>
      </c>
      <c r="L798" s="2" t="s">
        <v>49</v>
      </c>
      <c r="M798" s="2" t="s">
        <v>2364</v>
      </c>
    </row>
    <row r="799" spans="1:13" x14ac:dyDescent="0.3">
      <c r="A799" s="2" t="s">
        <v>911</v>
      </c>
      <c r="B799" s="5">
        <v>45891</v>
      </c>
      <c r="C799" s="2" t="s">
        <v>912</v>
      </c>
      <c r="D799" s="2" t="s">
        <v>53</v>
      </c>
      <c r="E799" s="2" t="s">
        <v>134</v>
      </c>
      <c r="F799" s="2" t="s">
        <v>82</v>
      </c>
      <c r="G799" s="2" t="s">
        <v>73</v>
      </c>
      <c r="H799" s="2">
        <v>45</v>
      </c>
      <c r="I799" s="7">
        <v>654.98</v>
      </c>
      <c r="J799" s="2">
        <v>5</v>
      </c>
      <c r="K799" s="7">
        <v>28000.400000000001</v>
      </c>
      <c r="L799" s="2" t="s">
        <v>49</v>
      </c>
      <c r="M799" s="2" t="s">
        <v>2364</v>
      </c>
    </row>
    <row r="800" spans="1:13" x14ac:dyDescent="0.3">
      <c r="A800" s="2" t="s">
        <v>1692</v>
      </c>
      <c r="B800" s="5">
        <v>45592</v>
      </c>
      <c r="C800" s="2" t="s">
        <v>1693</v>
      </c>
      <c r="D800" s="2" t="s">
        <v>46</v>
      </c>
      <c r="E800" s="2" t="s">
        <v>244</v>
      </c>
      <c r="F800" s="2" t="s">
        <v>82</v>
      </c>
      <c r="G800" s="2" t="s">
        <v>73</v>
      </c>
      <c r="H800" s="2">
        <v>39</v>
      </c>
      <c r="I800" s="7">
        <v>718.61</v>
      </c>
      <c r="J800" s="2">
        <v>0</v>
      </c>
      <c r="K800" s="7">
        <v>28025.79</v>
      </c>
      <c r="L800" s="1" t="s">
        <v>2347</v>
      </c>
      <c r="M800" s="2" t="s">
        <v>2365</v>
      </c>
    </row>
    <row r="801" spans="1:13" x14ac:dyDescent="0.3">
      <c r="A801" s="2" t="s">
        <v>1719</v>
      </c>
      <c r="B801" s="5">
        <v>45759</v>
      </c>
      <c r="C801" s="2" t="s">
        <v>710</v>
      </c>
      <c r="D801" s="2" t="s">
        <v>53</v>
      </c>
      <c r="E801" s="2" t="s">
        <v>134</v>
      </c>
      <c r="F801" s="2" t="s">
        <v>82</v>
      </c>
      <c r="G801" s="2" t="s">
        <v>73</v>
      </c>
      <c r="H801" s="2">
        <v>45</v>
      </c>
      <c r="I801" s="7">
        <v>630.27</v>
      </c>
      <c r="J801" s="2">
        <v>0</v>
      </c>
      <c r="K801" s="7">
        <v>28362.15</v>
      </c>
      <c r="L801" s="2" t="s">
        <v>27</v>
      </c>
      <c r="M801" s="2" t="s">
        <v>2365</v>
      </c>
    </row>
    <row r="802" spans="1:13" x14ac:dyDescent="0.3">
      <c r="A802" s="2" t="s">
        <v>1113</v>
      </c>
      <c r="B802" s="5">
        <v>45753</v>
      </c>
      <c r="C802" s="2" t="s">
        <v>1114</v>
      </c>
      <c r="D802" s="2" t="s">
        <v>16</v>
      </c>
      <c r="E802" s="2" t="s">
        <v>17</v>
      </c>
      <c r="F802" s="2" t="s">
        <v>82</v>
      </c>
      <c r="G802" s="2" t="s">
        <v>73</v>
      </c>
      <c r="H802" s="2">
        <v>48</v>
      </c>
      <c r="I802" s="7">
        <v>628.04999999999995</v>
      </c>
      <c r="J802" s="2">
        <v>0</v>
      </c>
      <c r="K802" s="7">
        <v>30146.400000000001</v>
      </c>
      <c r="L802" s="1" t="s">
        <v>2347</v>
      </c>
      <c r="M802" s="2" t="s">
        <v>2364</v>
      </c>
    </row>
    <row r="803" spans="1:13" x14ac:dyDescent="0.3">
      <c r="A803" s="2" t="s">
        <v>1959</v>
      </c>
      <c r="B803" s="5">
        <v>45702</v>
      </c>
      <c r="C803" s="2" t="s">
        <v>1183</v>
      </c>
      <c r="D803" s="2" t="s">
        <v>16</v>
      </c>
      <c r="E803" s="2" t="s">
        <v>160</v>
      </c>
      <c r="F803" s="2" t="s">
        <v>82</v>
      </c>
      <c r="G803" s="2" t="s">
        <v>73</v>
      </c>
      <c r="H803" s="2">
        <v>44</v>
      </c>
      <c r="I803" s="7">
        <v>780.56</v>
      </c>
      <c r="J803" s="2">
        <v>10</v>
      </c>
      <c r="K803" s="7">
        <v>30910.18</v>
      </c>
      <c r="L803" s="2" t="s">
        <v>31</v>
      </c>
      <c r="M803" s="2" t="s">
        <v>2364</v>
      </c>
    </row>
    <row r="804" spans="1:13" x14ac:dyDescent="0.3">
      <c r="A804" s="2" t="s">
        <v>2050</v>
      </c>
      <c r="B804" s="5">
        <v>45640</v>
      </c>
      <c r="C804" s="2" t="s">
        <v>2051</v>
      </c>
      <c r="D804" s="2" t="s">
        <v>46</v>
      </c>
      <c r="E804" s="2" t="s">
        <v>83</v>
      </c>
      <c r="F804" s="2" t="s">
        <v>82</v>
      </c>
      <c r="G804" s="2" t="s">
        <v>73</v>
      </c>
      <c r="H804" s="2">
        <v>45</v>
      </c>
      <c r="I804" s="7">
        <v>706.49</v>
      </c>
      <c r="J804" s="2">
        <v>0</v>
      </c>
      <c r="K804" s="7">
        <v>31792.05</v>
      </c>
      <c r="L804" s="2" t="s">
        <v>31</v>
      </c>
      <c r="M804" s="2" t="s">
        <v>2364</v>
      </c>
    </row>
    <row r="805" spans="1:13" x14ac:dyDescent="0.3">
      <c r="A805" s="2" t="s">
        <v>1095</v>
      </c>
      <c r="B805" s="5">
        <v>46003</v>
      </c>
      <c r="C805" s="2" t="s">
        <v>1096</v>
      </c>
      <c r="D805" s="2" t="s">
        <v>24</v>
      </c>
      <c r="E805" s="2" t="s">
        <v>36</v>
      </c>
      <c r="F805" s="2" t="s">
        <v>63</v>
      </c>
      <c r="G805" s="2" t="s">
        <v>15</v>
      </c>
      <c r="H805" s="2">
        <v>1</v>
      </c>
      <c r="I805" s="7">
        <v>40.479999999999997</v>
      </c>
      <c r="J805" s="2">
        <v>10</v>
      </c>
      <c r="K805" s="7">
        <v>36.43</v>
      </c>
      <c r="L805" s="2" t="s">
        <v>31</v>
      </c>
      <c r="M805" s="2" t="s">
        <v>2365</v>
      </c>
    </row>
    <row r="806" spans="1:13" x14ac:dyDescent="0.3">
      <c r="A806" s="2" t="s">
        <v>326</v>
      </c>
      <c r="B806" s="5">
        <v>46078</v>
      </c>
      <c r="C806" s="2" t="s">
        <v>327</v>
      </c>
      <c r="D806" s="2" t="s">
        <v>24</v>
      </c>
      <c r="E806" s="2" t="s">
        <v>59</v>
      </c>
      <c r="F806" s="2" t="s">
        <v>63</v>
      </c>
      <c r="G806" s="2" t="s">
        <v>15</v>
      </c>
      <c r="H806" s="2">
        <v>1</v>
      </c>
      <c r="I806" s="7">
        <v>36.97</v>
      </c>
      <c r="J806" s="2">
        <v>0</v>
      </c>
      <c r="K806" s="7">
        <v>36.97</v>
      </c>
      <c r="L806" s="1" t="s">
        <v>2347</v>
      </c>
      <c r="M806" s="2" t="s">
        <v>2365</v>
      </c>
    </row>
    <row r="807" spans="1:13" x14ac:dyDescent="0.3">
      <c r="A807" s="2" t="s">
        <v>1522</v>
      </c>
      <c r="B807" s="5">
        <v>46184</v>
      </c>
      <c r="C807" s="2" t="s">
        <v>1523</v>
      </c>
      <c r="D807" s="2" t="s">
        <v>46</v>
      </c>
      <c r="E807" s="2" t="s">
        <v>83</v>
      </c>
      <c r="F807" s="2" t="s">
        <v>63</v>
      </c>
      <c r="G807" s="2" t="s">
        <v>15</v>
      </c>
      <c r="H807" s="2">
        <v>1</v>
      </c>
      <c r="I807" s="7">
        <v>37.020000000000003</v>
      </c>
      <c r="J807" s="2">
        <v>0</v>
      </c>
      <c r="K807" s="7">
        <v>37.020000000000003</v>
      </c>
      <c r="L807" s="2" t="s">
        <v>31</v>
      </c>
      <c r="M807" s="2" t="s">
        <v>2364</v>
      </c>
    </row>
    <row r="808" spans="1:13" x14ac:dyDescent="0.3">
      <c r="A808" s="2" t="s">
        <v>1200</v>
      </c>
      <c r="B808" s="5">
        <v>46294</v>
      </c>
      <c r="C808" s="2" t="s">
        <v>1201</v>
      </c>
      <c r="D808" s="2" t="s">
        <v>46</v>
      </c>
      <c r="E808" s="2" t="s">
        <v>47</v>
      </c>
      <c r="F808" s="2" t="s">
        <v>63</v>
      </c>
      <c r="G808" s="2" t="s">
        <v>15</v>
      </c>
      <c r="H808" s="2">
        <v>2</v>
      </c>
      <c r="I808" s="7">
        <v>41.01</v>
      </c>
      <c r="J808" s="2">
        <v>10</v>
      </c>
      <c r="K808" s="7">
        <v>73.819999999999993</v>
      </c>
      <c r="L808" s="2" t="s">
        <v>27</v>
      </c>
      <c r="M808" s="2" t="s">
        <v>2364</v>
      </c>
    </row>
    <row r="809" spans="1:13" x14ac:dyDescent="0.3">
      <c r="A809" s="2" t="s">
        <v>1833</v>
      </c>
      <c r="B809" s="5">
        <v>45871</v>
      </c>
      <c r="C809" s="2" t="s">
        <v>1834</v>
      </c>
      <c r="D809" s="2" t="s">
        <v>53</v>
      </c>
      <c r="E809" s="2" t="s">
        <v>134</v>
      </c>
      <c r="F809" s="2" t="s">
        <v>63</v>
      </c>
      <c r="G809" s="2" t="s">
        <v>15</v>
      </c>
      <c r="H809" s="2">
        <v>3</v>
      </c>
      <c r="I809" s="7">
        <v>29.14</v>
      </c>
      <c r="J809" s="2">
        <v>10</v>
      </c>
      <c r="K809" s="7">
        <v>78.680000000000007</v>
      </c>
      <c r="L809" s="1" t="s">
        <v>2347</v>
      </c>
      <c r="M809" s="2" t="s">
        <v>2364</v>
      </c>
    </row>
    <row r="810" spans="1:13" x14ac:dyDescent="0.3">
      <c r="A810" s="2" t="s">
        <v>1911</v>
      </c>
      <c r="B810" s="5">
        <v>45935</v>
      </c>
      <c r="C810" s="2" t="s">
        <v>928</v>
      </c>
      <c r="D810" s="2" t="s">
        <v>16</v>
      </c>
      <c r="E810" s="2" t="s">
        <v>160</v>
      </c>
      <c r="F810" s="2" t="s">
        <v>63</v>
      </c>
      <c r="G810" s="2" t="s">
        <v>15</v>
      </c>
      <c r="H810" s="2">
        <v>5</v>
      </c>
      <c r="I810" s="7">
        <v>47.02</v>
      </c>
      <c r="J810" s="2">
        <v>10</v>
      </c>
      <c r="K810" s="7">
        <v>211.59</v>
      </c>
      <c r="L810" s="2" t="s">
        <v>69</v>
      </c>
      <c r="M810" s="2" t="s">
        <v>2364</v>
      </c>
    </row>
    <row r="811" spans="1:13" x14ac:dyDescent="0.3">
      <c r="A811" s="2" t="s">
        <v>168</v>
      </c>
      <c r="B811" s="5">
        <v>46085</v>
      </c>
      <c r="C811" s="2" t="s">
        <v>169</v>
      </c>
      <c r="D811" s="2" t="s">
        <v>53</v>
      </c>
      <c r="E811" s="2" t="s">
        <v>170</v>
      </c>
      <c r="F811" s="2" t="s">
        <v>63</v>
      </c>
      <c r="G811" s="2" t="s">
        <v>15</v>
      </c>
      <c r="H811" s="2">
        <v>4</v>
      </c>
      <c r="I811" s="7">
        <v>69.52</v>
      </c>
      <c r="J811" s="2">
        <v>10</v>
      </c>
      <c r="K811" s="7">
        <v>250.27</v>
      </c>
      <c r="L811" s="2" t="s">
        <v>49</v>
      </c>
      <c r="M811" s="2" t="s">
        <v>2364</v>
      </c>
    </row>
    <row r="812" spans="1:13" x14ac:dyDescent="0.3">
      <c r="A812" s="2" t="s">
        <v>2345</v>
      </c>
      <c r="B812" s="5">
        <v>45685</v>
      </c>
      <c r="C812" s="2" t="s">
        <v>2346</v>
      </c>
      <c r="D812" s="2" t="s">
        <v>24</v>
      </c>
      <c r="E812" s="2" t="s">
        <v>36</v>
      </c>
      <c r="F812" s="2" t="s">
        <v>63</v>
      </c>
      <c r="G812" s="2" t="s">
        <v>15</v>
      </c>
      <c r="H812" s="2">
        <v>10</v>
      </c>
      <c r="I812" s="7">
        <v>32.840000000000003</v>
      </c>
      <c r="J812" s="2">
        <v>10</v>
      </c>
      <c r="K812" s="7">
        <v>295.56</v>
      </c>
      <c r="L812" s="2" t="s">
        <v>31</v>
      </c>
      <c r="M812" s="2" t="s">
        <v>2364</v>
      </c>
    </row>
    <row r="813" spans="1:13" x14ac:dyDescent="0.3">
      <c r="A813" s="2" t="s">
        <v>837</v>
      </c>
      <c r="B813" s="5">
        <v>46138</v>
      </c>
      <c r="C813" s="2" t="s">
        <v>838</v>
      </c>
      <c r="D813" s="2" t="s">
        <v>24</v>
      </c>
      <c r="E813" s="2" t="s">
        <v>104</v>
      </c>
      <c r="F813" s="2" t="s">
        <v>63</v>
      </c>
      <c r="G813" s="2" t="s">
        <v>15</v>
      </c>
      <c r="H813" s="2">
        <v>6</v>
      </c>
      <c r="I813" s="7">
        <v>68.040000000000006</v>
      </c>
      <c r="J813" s="2">
        <v>20</v>
      </c>
      <c r="K813" s="7">
        <v>326.58999999999997</v>
      </c>
      <c r="L813" s="2" t="s">
        <v>69</v>
      </c>
      <c r="M813" s="2" t="s">
        <v>2365</v>
      </c>
    </row>
    <row r="814" spans="1:13" x14ac:dyDescent="0.3">
      <c r="A814" s="2" t="s">
        <v>545</v>
      </c>
      <c r="B814" s="5">
        <v>46281</v>
      </c>
      <c r="C814" s="2" t="s">
        <v>546</v>
      </c>
      <c r="D814" s="2" t="s">
        <v>24</v>
      </c>
      <c r="E814" s="2" t="s">
        <v>104</v>
      </c>
      <c r="F814" s="2" t="s">
        <v>63</v>
      </c>
      <c r="G814" s="2" t="s">
        <v>15</v>
      </c>
      <c r="H814" s="2">
        <v>18</v>
      </c>
      <c r="I814" s="7">
        <v>26.65</v>
      </c>
      <c r="J814" s="2">
        <v>10</v>
      </c>
      <c r="K814" s="7">
        <v>431.73</v>
      </c>
      <c r="L814" s="2" t="s">
        <v>49</v>
      </c>
      <c r="M814" s="2" t="s">
        <v>2364</v>
      </c>
    </row>
    <row r="815" spans="1:13" x14ac:dyDescent="0.3">
      <c r="A815" s="2" t="s">
        <v>61</v>
      </c>
      <c r="B815" s="5">
        <v>45680</v>
      </c>
      <c r="C815" s="2" t="s">
        <v>62</v>
      </c>
      <c r="D815" s="2" t="s">
        <v>24</v>
      </c>
      <c r="E815" s="2" t="s">
        <v>59</v>
      </c>
      <c r="F815" s="2" t="s">
        <v>63</v>
      </c>
      <c r="G815" s="2" t="s">
        <v>15</v>
      </c>
      <c r="H815" s="2">
        <v>11</v>
      </c>
      <c r="I815" s="7">
        <v>54.47</v>
      </c>
      <c r="J815" s="2">
        <v>5</v>
      </c>
      <c r="K815" s="7">
        <v>569.21</v>
      </c>
      <c r="L815" s="2" t="s">
        <v>27</v>
      </c>
      <c r="M815" s="2" t="s">
        <v>2364</v>
      </c>
    </row>
    <row r="816" spans="1:13" x14ac:dyDescent="0.3">
      <c r="A816" s="2" t="s">
        <v>1396</v>
      </c>
      <c r="B816" s="5">
        <v>45769</v>
      </c>
      <c r="C816" s="2" t="s">
        <v>368</v>
      </c>
      <c r="D816" s="2" t="s">
        <v>53</v>
      </c>
      <c r="E816" s="2" t="s">
        <v>170</v>
      </c>
      <c r="F816" s="2" t="s">
        <v>63</v>
      </c>
      <c r="G816" s="2" t="s">
        <v>15</v>
      </c>
      <c r="H816" s="2">
        <v>16</v>
      </c>
      <c r="I816" s="7">
        <v>35.79</v>
      </c>
      <c r="J816" s="2">
        <v>0</v>
      </c>
      <c r="K816" s="7">
        <v>572.64</v>
      </c>
      <c r="L816" s="2" t="s">
        <v>31</v>
      </c>
      <c r="M816" s="2" t="s">
        <v>2364</v>
      </c>
    </row>
    <row r="817" spans="1:13" x14ac:dyDescent="0.3">
      <c r="A817" s="2" t="s">
        <v>1711</v>
      </c>
      <c r="B817" s="5">
        <v>45800</v>
      </c>
      <c r="C817" s="2" t="s">
        <v>1712</v>
      </c>
      <c r="D817" s="2" t="s">
        <v>16</v>
      </c>
      <c r="E817" s="2" t="s">
        <v>111</v>
      </c>
      <c r="F817" s="2" t="s">
        <v>63</v>
      </c>
      <c r="G817" s="2" t="s">
        <v>15</v>
      </c>
      <c r="H817" s="2">
        <v>17</v>
      </c>
      <c r="I817" s="7">
        <v>34.25</v>
      </c>
      <c r="J817" s="2">
        <v>0</v>
      </c>
      <c r="K817" s="7">
        <v>582.25</v>
      </c>
      <c r="L817" s="2" t="s">
        <v>49</v>
      </c>
      <c r="M817" s="2" t="s">
        <v>2364</v>
      </c>
    </row>
    <row r="818" spans="1:13" x14ac:dyDescent="0.3">
      <c r="A818" s="2" t="s">
        <v>1361</v>
      </c>
      <c r="B818" s="5">
        <v>46044</v>
      </c>
      <c r="C818" s="2" t="s">
        <v>1099</v>
      </c>
      <c r="D818" s="2" t="s">
        <v>53</v>
      </c>
      <c r="E818" s="2" t="s">
        <v>54</v>
      </c>
      <c r="F818" s="2" t="s">
        <v>63</v>
      </c>
      <c r="G818" s="2" t="s">
        <v>15</v>
      </c>
      <c r="H818" s="2">
        <v>18</v>
      </c>
      <c r="I818" s="7">
        <v>40.07</v>
      </c>
      <c r="J818" s="2">
        <v>10</v>
      </c>
      <c r="K818" s="7">
        <v>649.13</v>
      </c>
      <c r="L818" s="1" t="s">
        <v>2347</v>
      </c>
      <c r="M818" s="2" t="s">
        <v>2364</v>
      </c>
    </row>
    <row r="819" spans="1:13" x14ac:dyDescent="0.3">
      <c r="A819" s="2" t="s">
        <v>2335</v>
      </c>
      <c r="B819" s="5">
        <v>46224</v>
      </c>
      <c r="C819" s="2" t="s">
        <v>625</v>
      </c>
      <c r="D819" s="2" t="s">
        <v>24</v>
      </c>
      <c r="E819" s="2" t="s">
        <v>104</v>
      </c>
      <c r="F819" s="2" t="s">
        <v>63</v>
      </c>
      <c r="G819" s="2" t="s">
        <v>15</v>
      </c>
      <c r="H819" s="2">
        <v>13</v>
      </c>
      <c r="I819" s="7">
        <v>53.27</v>
      </c>
      <c r="J819" s="2">
        <v>0</v>
      </c>
      <c r="K819" s="7">
        <v>692.51</v>
      </c>
      <c r="L819" s="2" t="s">
        <v>49</v>
      </c>
      <c r="M819" s="2" t="s">
        <v>2364</v>
      </c>
    </row>
    <row r="820" spans="1:13" x14ac:dyDescent="0.3">
      <c r="A820" s="2" t="s">
        <v>1392</v>
      </c>
      <c r="B820" s="5">
        <v>46061</v>
      </c>
      <c r="C820" s="2" t="s">
        <v>1393</v>
      </c>
      <c r="D820" s="2" t="s">
        <v>16</v>
      </c>
      <c r="E820" s="2" t="s">
        <v>91</v>
      </c>
      <c r="F820" s="2" t="s">
        <v>63</v>
      </c>
      <c r="G820" s="2" t="s">
        <v>15</v>
      </c>
      <c r="H820" s="2">
        <v>16</v>
      </c>
      <c r="I820" s="7">
        <v>55.14</v>
      </c>
      <c r="J820" s="2">
        <v>20</v>
      </c>
      <c r="K820" s="7">
        <v>705.79</v>
      </c>
      <c r="L820" s="2" t="s">
        <v>27</v>
      </c>
      <c r="M820" s="2" t="s">
        <v>2364</v>
      </c>
    </row>
    <row r="821" spans="1:13" x14ac:dyDescent="0.3">
      <c r="A821" s="2" t="s">
        <v>1583</v>
      </c>
      <c r="B821" s="5">
        <v>45863</v>
      </c>
      <c r="C821" s="2" t="s">
        <v>1584</v>
      </c>
      <c r="D821" s="2" t="s">
        <v>16</v>
      </c>
      <c r="E821" s="2" t="s">
        <v>91</v>
      </c>
      <c r="F821" s="2" t="s">
        <v>63</v>
      </c>
      <c r="G821" s="2" t="s">
        <v>15</v>
      </c>
      <c r="H821" s="2">
        <v>24</v>
      </c>
      <c r="I821" s="7">
        <v>37.840000000000003</v>
      </c>
      <c r="J821" s="2">
        <v>20</v>
      </c>
      <c r="K821" s="7">
        <v>726.53</v>
      </c>
      <c r="L821" s="1" t="s">
        <v>2347</v>
      </c>
      <c r="M821" s="2" t="s">
        <v>2364</v>
      </c>
    </row>
    <row r="822" spans="1:13" x14ac:dyDescent="0.3">
      <c r="A822" s="2" t="s">
        <v>1745</v>
      </c>
      <c r="B822" s="5">
        <v>46091</v>
      </c>
      <c r="C822" s="2" t="s">
        <v>1746</v>
      </c>
      <c r="D822" s="2" t="s">
        <v>46</v>
      </c>
      <c r="E822" s="2" t="s">
        <v>47</v>
      </c>
      <c r="F822" s="2" t="s">
        <v>63</v>
      </c>
      <c r="G822" s="2" t="s">
        <v>15</v>
      </c>
      <c r="H822" s="2">
        <v>14</v>
      </c>
      <c r="I822" s="7">
        <v>56.99</v>
      </c>
      <c r="J822" s="2">
        <v>5</v>
      </c>
      <c r="K822" s="7">
        <v>757.97</v>
      </c>
      <c r="L822" s="1" t="s">
        <v>2347</v>
      </c>
      <c r="M822" s="2" t="s">
        <v>2364</v>
      </c>
    </row>
    <row r="823" spans="1:13" x14ac:dyDescent="0.3">
      <c r="A823" s="2" t="s">
        <v>1644</v>
      </c>
      <c r="B823" s="5">
        <v>45632</v>
      </c>
      <c r="C823" s="2" t="s">
        <v>1645</v>
      </c>
      <c r="D823" s="2" t="s">
        <v>46</v>
      </c>
      <c r="E823" s="2" t="s">
        <v>244</v>
      </c>
      <c r="F823" s="2" t="s">
        <v>63</v>
      </c>
      <c r="G823" s="2" t="s">
        <v>15</v>
      </c>
      <c r="H823" s="2">
        <v>24</v>
      </c>
      <c r="I823" s="7">
        <v>31.83</v>
      </c>
      <c r="J823" s="2">
        <v>0</v>
      </c>
      <c r="K823" s="7">
        <v>763.92</v>
      </c>
      <c r="L823" s="1" t="s">
        <v>2347</v>
      </c>
      <c r="M823" s="2" t="s">
        <v>2364</v>
      </c>
    </row>
    <row r="824" spans="1:13" x14ac:dyDescent="0.3">
      <c r="A824" s="2" t="s">
        <v>1983</v>
      </c>
      <c r="B824" s="5">
        <v>45662</v>
      </c>
      <c r="C824" s="2" t="s">
        <v>1180</v>
      </c>
      <c r="D824" s="2" t="s">
        <v>46</v>
      </c>
      <c r="E824" s="2" t="s">
        <v>78</v>
      </c>
      <c r="F824" s="2" t="s">
        <v>63</v>
      </c>
      <c r="G824" s="2" t="s">
        <v>15</v>
      </c>
      <c r="H824" s="2">
        <v>10</v>
      </c>
      <c r="I824" s="7">
        <v>79.69</v>
      </c>
      <c r="J824" s="2">
        <v>0</v>
      </c>
      <c r="K824" s="7">
        <v>796.9</v>
      </c>
      <c r="L824" s="2" t="s">
        <v>69</v>
      </c>
      <c r="M824" s="2" t="s">
        <v>2365</v>
      </c>
    </row>
    <row r="825" spans="1:13" x14ac:dyDescent="0.3">
      <c r="A825" s="2" t="s">
        <v>1841</v>
      </c>
      <c r="B825" s="5">
        <v>45883</v>
      </c>
      <c r="C825" s="2" t="s">
        <v>1842</v>
      </c>
      <c r="D825" s="2" t="s">
        <v>16</v>
      </c>
      <c r="E825" s="2" t="s">
        <v>91</v>
      </c>
      <c r="F825" s="2" t="s">
        <v>63</v>
      </c>
      <c r="G825" s="2" t="s">
        <v>15</v>
      </c>
      <c r="H825" s="2">
        <v>22</v>
      </c>
      <c r="I825" s="7">
        <v>38.549999999999997</v>
      </c>
      <c r="J825" s="2">
        <v>5</v>
      </c>
      <c r="K825" s="7">
        <v>805.69</v>
      </c>
      <c r="L825" s="1" t="s">
        <v>2347</v>
      </c>
      <c r="M825" s="2" t="s">
        <v>2365</v>
      </c>
    </row>
    <row r="826" spans="1:13" x14ac:dyDescent="0.3">
      <c r="A826" s="2" t="s">
        <v>510</v>
      </c>
      <c r="B826" s="5">
        <v>46123</v>
      </c>
      <c r="C826" s="2" t="s">
        <v>511</v>
      </c>
      <c r="D826" s="2" t="s">
        <v>53</v>
      </c>
      <c r="E826" s="2" t="s">
        <v>170</v>
      </c>
      <c r="F826" s="2" t="s">
        <v>63</v>
      </c>
      <c r="G826" s="2" t="s">
        <v>15</v>
      </c>
      <c r="H826" s="2">
        <v>13</v>
      </c>
      <c r="I826" s="7">
        <v>65.83</v>
      </c>
      <c r="J826" s="2">
        <v>0</v>
      </c>
      <c r="K826" s="7">
        <v>855.79</v>
      </c>
      <c r="L826" s="1" t="s">
        <v>2347</v>
      </c>
      <c r="M826" s="2" t="s">
        <v>2364</v>
      </c>
    </row>
    <row r="827" spans="1:13" x14ac:dyDescent="0.3">
      <c r="A827" s="2" t="s">
        <v>449</v>
      </c>
      <c r="B827" s="5">
        <v>46139</v>
      </c>
      <c r="C827" s="2" t="s">
        <v>450</v>
      </c>
      <c r="D827" s="2" t="s">
        <v>16</v>
      </c>
      <c r="E827" s="2" t="s">
        <v>17</v>
      </c>
      <c r="F827" s="2" t="s">
        <v>63</v>
      </c>
      <c r="G827" s="2" t="s">
        <v>15</v>
      </c>
      <c r="H827" s="2">
        <v>24</v>
      </c>
      <c r="I827" s="7">
        <v>47.71</v>
      </c>
      <c r="J827" s="2">
        <v>20</v>
      </c>
      <c r="K827" s="7">
        <v>916.03</v>
      </c>
      <c r="L827" s="2" t="s">
        <v>27</v>
      </c>
      <c r="M827" s="2" t="s">
        <v>2365</v>
      </c>
    </row>
    <row r="828" spans="1:13" x14ac:dyDescent="0.3">
      <c r="A828" s="2" t="s">
        <v>1653</v>
      </c>
      <c r="B828" s="5">
        <v>45962</v>
      </c>
      <c r="C828" s="2" t="s">
        <v>1654</v>
      </c>
      <c r="D828" s="2" t="s">
        <v>46</v>
      </c>
      <c r="E828" s="2" t="s">
        <v>83</v>
      </c>
      <c r="F828" s="2" t="s">
        <v>63</v>
      </c>
      <c r="G828" s="2" t="s">
        <v>15</v>
      </c>
      <c r="H828" s="2">
        <v>16</v>
      </c>
      <c r="I828" s="7">
        <v>61.48</v>
      </c>
      <c r="J828" s="2">
        <v>5</v>
      </c>
      <c r="K828" s="7">
        <v>934.5</v>
      </c>
      <c r="L828" s="2" t="s">
        <v>69</v>
      </c>
      <c r="M828" s="2" t="s">
        <v>2364</v>
      </c>
    </row>
    <row r="829" spans="1:13" x14ac:dyDescent="0.3">
      <c r="A829" s="2" t="s">
        <v>1020</v>
      </c>
      <c r="B829" s="5">
        <v>45900</v>
      </c>
      <c r="C829" s="2" t="s">
        <v>1021</v>
      </c>
      <c r="D829" s="2" t="s">
        <v>46</v>
      </c>
      <c r="E829" s="2" t="s">
        <v>78</v>
      </c>
      <c r="F829" s="2" t="s">
        <v>63</v>
      </c>
      <c r="G829" s="2" t="s">
        <v>15</v>
      </c>
      <c r="H829" s="2">
        <v>31</v>
      </c>
      <c r="I829" s="7">
        <v>36.51</v>
      </c>
      <c r="J829" s="2">
        <v>10</v>
      </c>
      <c r="K829" s="7">
        <v>1018.63</v>
      </c>
      <c r="L829" s="2" t="s">
        <v>49</v>
      </c>
      <c r="M829" s="2" t="s">
        <v>2365</v>
      </c>
    </row>
    <row r="830" spans="1:13" x14ac:dyDescent="0.3">
      <c r="A830" s="2" t="s">
        <v>1348</v>
      </c>
      <c r="B830" s="5">
        <v>46182</v>
      </c>
      <c r="C830" s="2" t="s">
        <v>1349</v>
      </c>
      <c r="D830" s="2" t="s">
        <v>24</v>
      </c>
      <c r="E830" s="2" t="s">
        <v>41</v>
      </c>
      <c r="F830" s="2" t="s">
        <v>63</v>
      </c>
      <c r="G830" s="2" t="s">
        <v>15</v>
      </c>
      <c r="H830" s="2">
        <v>15</v>
      </c>
      <c r="I830" s="7">
        <v>78.209999999999994</v>
      </c>
      <c r="J830" s="2">
        <v>5</v>
      </c>
      <c r="K830" s="7">
        <v>1114.49</v>
      </c>
      <c r="L830" s="2" t="s">
        <v>69</v>
      </c>
      <c r="M830" s="2" t="s">
        <v>2365</v>
      </c>
    </row>
    <row r="831" spans="1:13" x14ac:dyDescent="0.3">
      <c r="A831" s="2" t="s">
        <v>1012</v>
      </c>
      <c r="B831" s="5">
        <v>45999</v>
      </c>
      <c r="C831" s="2" t="s">
        <v>522</v>
      </c>
      <c r="D831" s="2" t="s">
        <v>16</v>
      </c>
      <c r="E831" s="2" t="s">
        <v>160</v>
      </c>
      <c r="F831" s="2" t="s">
        <v>63</v>
      </c>
      <c r="G831" s="2" t="s">
        <v>15</v>
      </c>
      <c r="H831" s="2">
        <v>16</v>
      </c>
      <c r="I831" s="7">
        <v>78.27</v>
      </c>
      <c r="J831" s="2">
        <v>10</v>
      </c>
      <c r="K831" s="7">
        <v>1127.0899999999999</v>
      </c>
      <c r="L831" s="2" t="s">
        <v>31</v>
      </c>
      <c r="M831" s="2" t="s">
        <v>2365</v>
      </c>
    </row>
    <row r="832" spans="1:13" x14ac:dyDescent="0.3">
      <c r="A832" s="2" t="s">
        <v>896</v>
      </c>
      <c r="B832" s="5">
        <v>45719</v>
      </c>
      <c r="C832" s="2" t="s">
        <v>897</v>
      </c>
      <c r="D832" s="2" t="s">
        <v>24</v>
      </c>
      <c r="E832" s="2" t="s">
        <v>59</v>
      </c>
      <c r="F832" s="2" t="s">
        <v>63</v>
      </c>
      <c r="G832" s="2" t="s">
        <v>15</v>
      </c>
      <c r="H832" s="2">
        <v>35</v>
      </c>
      <c r="I832" s="7">
        <v>35.79</v>
      </c>
      <c r="J832" s="2">
        <v>5</v>
      </c>
      <c r="K832" s="7">
        <v>1190.02</v>
      </c>
      <c r="L832" s="2" t="s">
        <v>69</v>
      </c>
      <c r="M832" s="2" t="s">
        <v>2365</v>
      </c>
    </row>
    <row r="833" spans="1:13" x14ac:dyDescent="0.3">
      <c r="A833" s="2" t="s">
        <v>295</v>
      </c>
      <c r="B833" s="5">
        <v>46172</v>
      </c>
      <c r="C833" s="2" t="s">
        <v>296</v>
      </c>
      <c r="D833" s="2" t="s">
        <v>46</v>
      </c>
      <c r="E833" s="2" t="s">
        <v>83</v>
      </c>
      <c r="F833" s="2" t="s">
        <v>63</v>
      </c>
      <c r="G833" s="2" t="s">
        <v>15</v>
      </c>
      <c r="H833" s="2">
        <v>30</v>
      </c>
      <c r="I833" s="7">
        <v>43.97</v>
      </c>
      <c r="J833" s="2">
        <v>5</v>
      </c>
      <c r="K833" s="7">
        <v>1253.1400000000001</v>
      </c>
      <c r="L833" s="1" t="s">
        <v>2347</v>
      </c>
      <c r="M833" s="2" t="s">
        <v>2364</v>
      </c>
    </row>
    <row r="834" spans="1:13" x14ac:dyDescent="0.3">
      <c r="A834" s="2" t="s">
        <v>1798</v>
      </c>
      <c r="B834" s="5">
        <v>46056</v>
      </c>
      <c r="C834" s="2" t="s">
        <v>1799</v>
      </c>
      <c r="D834" s="2" t="s">
        <v>46</v>
      </c>
      <c r="E834" s="2" t="s">
        <v>244</v>
      </c>
      <c r="F834" s="2" t="s">
        <v>63</v>
      </c>
      <c r="G834" s="2" t="s">
        <v>15</v>
      </c>
      <c r="H834" s="2">
        <v>38</v>
      </c>
      <c r="I834" s="7">
        <v>34.840000000000003</v>
      </c>
      <c r="J834" s="2">
        <v>5</v>
      </c>
      <c r="K834" s="7">
        <v>1257.72</v>
      </c>
      <c r="L834" s="2" t="s">
        <v>49</v>
      </c>
      <c r="M834" s="2" t="s">
        <v>2364</v>
      </c>
    </row>
    <row r="835" spans="1:13" x14ac:dyDescent="0.3">
      <c r="A835" s="2" t="s">
        <v>1485</v>
      </c>
      <c r="B835" s="5">
        <v>45726</v>
      </c>
      <c r="C835" s="2" t="s">
        <v>1486</v>
      </c>
      <c r="D835" s="2" t="s">
        <v>53</v>
      </c>
      <c r="E835" s="2" t="s">
        <v>54</v>
      </c>
      <c r="F835" s="2" t="s">
        <v>63</v>
      </c>
      <c r="G835" s="2" t="s">
        <v>15</v>
      </c>
      <c r="H835" s="2">
        <v>17</v>
      </c>
      <c r="I835" s="7">
        <v>74.180000000000007</v>
      </c>
      <c r="J835" s="2">
        <v>0</v>
      </c>
      <c r="K835" s="7">
        <v>1261.06</v>
      </c>
      <c r="L835" s="2" t="s">
        <v>69</v>
      </c>
      <c r="M835" s="2" t="s">
        <v>2365</v>
      </c>
    </row>
    <row r="836" spans="1:13" x14ac:dyDescent="0.3">
      <c r="A836" s="2" t="s">
        <v>2310</v>
      </c>
      <c r="B836" s="5">
        <v>45731</v>
      </c>
      <c r="C836" s="2" t="s">
        <v>2311</v>
      </c>
      <c r="D836" s="2" t="s">
        <v>24</v>
      </c>
      <c r="E836" s="2" t="s">
        <v>41</v>
      </c>
      <c r="F836" s="2" t="s">
        <v>63</v>
      </c>
      <c r="G836" s="2" t="s">
        <v>15</v>
      </c>
      <c r="H836" s="2">
        <v>39</v>
      </c>
      <c r="I836" s="7">
        <v>36.21</v>
      </c>
      <c r="J836" s="2">
        <v>10</v>
      </c>
      <c r="K836" s="7">
        <v>1270.97</v>
      </c>
      <c r="L836" s="2" t="s">
        <v>49</v>
      </c>
      <c r="M836" s="2" t="s">
        <v>2364</v>
      </c>
    </row>
    <row r="837" spans="1:13" x14ac:dyDescent="0.3">
      <c r="A837" s="2" t="s">
        <v>1849</v>
      </c>
      <c r="B837" s="5">
        <v>45990</v>
      </c>
      <c r="C837" s="2" t="s">
        <v>827</v>
      </c>
      <c r="D837" s="2" t="s">
        <v>16</v>
      </c>
      <c r="E837" s="2" t="s">
        <v>160</v>
      </c>
      <c r="F837" s="2" t="s">
        <v>63</v>
      </c>
      <c r="G837" s="2" t="s">
        <v>15</v>
      </c>
      <c r="H837" s="2">
        <v>25</v>
      </c>
      <c r="I837" s="7">
        <v>51.16</v>
      </c>
      <c r="J837" s="2">
        <v>0</v>
      </c>
      <c r="K837" s="7">
        <v>1279</v>
      </c>
      <c r="L837" s="1" t="s">
        <v>2347</v>
      </c>
      <c r="M837" s="2" t="s">
        <v>2364</v>
      </c>
    </row>
    <row r="838" spans="1:13" x14ac:dyDescent="0.3">
      <c r="A838" s="2" t="s">
        <v>606</v>
      </c>
      <c r="B838" s="5">
        <v>45706</v>
      </c>
      <c r="C838" s="2" t="s">
        <v>607</v>
      </c>
      <c r="D838" s="2" t="s">
        <v>46</v>
      </c>
      <c r="E838" s="2" t="s">
        <v>124</v>
      </c>
      <c r="F838" s="2" t="s">
        <v>63</v>
      </c>
      <c r="G838" s="2" t="s">
        <v>15</v>
      </c>
      <c r="H838" s="2">
        <v>28</v>
      </c>
      <c r="I838" s="7">
        <v>57.94</v>
      </c>
      <c r="J838" s="2">
        <v>20</v>
      </c>
      <c r="K838" s="7">
        <v>1297.8599999999999</v>
      </c>
      <c r="L838" s="2" t="s">
        <v>31</v>
      </c>
      <c r="M838" s="2" t="s">
        <v>2364</v>
      </c>
    </row>
    <row r="839" spans="1:13" x14ac:dyDescent="0.3">
      <c r="A839" s="2" t="s">
        <v>884</v>
      </c>
      <c r="B839" s="5">
        <v>45854</v>
      </c>
      <c r="C839" s="2" t="s">
        <v>885</v>
      </c>
      <c r="D839" s="2" t="s">
        <v>16</v>
      </c>
      <c r="E839" s="2" t="s">
        <v>160</v>
      </c>
      <c r="F839" s="2" t="s">
        <v>63</v>
      </c>
      <c r="G839" s="2" t="s">
        <v>15</v>
      </c>
      <c r="H839" s="2">
        <v>30</v>
      </c>
      <c r="I839" s="7">
        <v>49.53</v>
      </c>
      <c r="J839" s="2">
        <v>10</v>
      </c>
      <c r="K839" s="7">
        <v>1337.31</v>
      </c>
      <c r="L839" s="2" t="s">
        <v>31</v>
      </c>
      <c r="M839" s="2" t="s">
        <v>2365</v>
      </c>
    </row>
    <row r="840" spans="1:13" x14ac:dyDescent="0.3">
      <c r="A840" s="2" t="s">
        <v>1682</v>
      </c>
      <c r="B840" s="5">
        <v>45801</v>
      </c>
      <c r="C840" s="2" t="s">
        <v>1683</v>
      </c>
      <c r="D840" s="2" t="s">
        <v>53</v>
      </c>
      <c r="E840" s="2" t="s">
        <v>170</v>
      </c>
      <c r="F840" s="2" t="s">
        <v>63</v>
      </c>
      <c r="G840" s="2" t="s">
        <v>15</v>
      </c>
      <c r="H840" s="2">
        <v>32</v>
      </c>
      <c r="I840" s="7">
        <v>45.15</v>
      </c>
      <c r="J840" s="2">
        <v>5</v>
      </c>
      <c r="K840" s="7">
        <v>1372.56</v>
      </c>
      <c r="L840" s="2" t="s">
        <v>49</v>
      </c>
      <c r="M840" s="2" t="s">
        <v>2364</v>
      </c>
    </row>
    <row r="841" spans="1:13" x14ac:dyDescent="0.3">
      <c r="A841" s="2" t="s">
        <v>219</v>
      </c>
      <c r="B841" s="5">
        <v>46224</v>
      </c>
      <c r="C841" s="2" t="s">
        <v>220</v>
      </c>
      <c r="D841" s="2" t="s">
        <v>53</v>
      </c>
      <c r="E841" s="2" t="s">
        <v>170</v>
      </c>
      <c r="F841" s="2" t="s">
        <v>63</v>
      </c>
      <c r="G841" s="2" t="s">
        <v>15</v>
      </c>
      <c r="H841" s="2">
        <v>36</v>
      </c>
      <c r="I841" s="7">
        <v>42.5</v>
      </c>
      <c r="J841" s="2">
        <v>10</v>
      </c>
      <c r="K841" s="7">
        <v>1377</v>
      </c>
      <c r="L841" s="1" t="s">
        <v>2347</v>
      </c>
      <c r="M841" s="2" t="s">
        <v>2364</v>
      </c>
    </row>
    <row r="842" spans="1:13" x14ac:dyDescent="0.3">
      <c r="A842" s="2" t="s">
        <v>1689</v>
      </c>
      <c r="B842" s="5">
        <v>46080</v>
      </c>
      <c r="C842" s="2" t="s">
        <v>66</v>
      </c>
      <c r="D842" s="2" t="s">
        <v>24</v>
      </c>
      <c r="E842" s="2" t="s">
        <v>25</v>
      </c>
      <c r="F842" s="2" t="s">
        <v>63</v>
      </c>
      <c r="G842" s="2" t="s">
        <v>15</v>
      </c>
      <c r="H842" s="2">
        <v>33</v>
      </c>
      <c r="I842" s="7">
        <v>45.36</v>
      </c>
      <c r="J842" s="2">
        <v>5</v>
      </c>
      <c r="K842" s="7">
        <v>1422.04</v>
      </c>
      <c r="L842" s="1" t="s">
        <v>2347</v>
      </c>
      <c r="M842" s="2" t="s">
        <v>2364</v>
      </c>
    </row>
    <row r="843" spans="1:13" x14ac:dyDescent="0.3">
      <c r="A843" s="2" t="s">
        <v>1864</v>
      </c>
      <c r="B843" s="5">
        <v>45574</v>
      </c>
      <c r="C843" s="2" t="s">
        <v>1865</v>
      </c>
      <c r="D843" s="2" t="s">
        <v>46</v>
      </c>
      <c r="E843" s="2" t="s">
        <v>244</v>
      </c>
      <c r="F843" s="2" t="s">
        <v>63</v>
      </c>
      <c r="G843" s="2" t="s">
        <v>15</v>
      </c>
      <c r="H843" s="2">
        <v>50</v>
      </c>
      <c r="I843" s="7">
        <v>34.21</v>
      </c>
      <c r="J843" s="2">
        <v>15</v>
      </c>
      <c r="K843" s="7">
        <v>1453.93</v>
      </c>
      <c r="L843" s="1" t="s">
        <v>2347</v>
      </c>
      <c r="M843" s="2" t="s">
        <v>2364</v>
      </c>
    </row>
    <row r="844" spans="1:13" x14ac:dyDescent="0.3">
      <c r="A844" s="2" t="s">
        <v>416</v>
      </c>
      <c r="B844" s="5">
        <v>46074</v>
      </c>
      <c r="C844" s="2" t="s">
        <v>417</v>
      </c>
      <c r="D844" s="2" t="s">
        <v>46</v>
      </c>
      <c r="E844" s="2" t="s">
        <v>47</v>
      </c>
      <c r="F844" s="2" t="s">
        <v>63</v>
      </c>
      <c r="G844" s="2" t="s">
        <v>15</v>
      </c>
      <c r="H844" s="2">
        <v>29</v>
      </c>
      <c r="I844" s="7">
        <v>53.16</v>
      </c>
      <c r="J844" s="2">
        <v>5</v>
      </c>
      <c r="K844" s="7">
        <v>1464.56</v>
      </c>
      <c r="L844" s="2" t="s">
        <v>27</v>
      </c>
      <c r="M844" s="2" t="s">
        <v>2364</v>
      </c>
    </row>
    <row r="845" spans="1:13" x14ac:dyDescent="0.3">
      <c r="A845" s="2" t="s">
        <v>562</v>
      </c>
      <c r="B845" s="5">
        <v>45747</v>
      </c>
      <c r="C845" s="2" t="s">
        <v>563</v>
      </c>
      <c r="D845" s="2" t="s">
        <v>24</v>
      </c>
      <c r="E845" s="2" t="s">
        <v>59</v>
      </c>
      <c r="F845" s="2" t="s">
        <v>63</v>
      </c>
      <c r="G845" s="2" t="s">
        <v>15</v>
      </c>
      <c r="H845" s="2">
        <v>37</v>
      </c>
      <c r="I845" s="7">
        <v>49.64</v>
      </c>
      <c r="J845" s="2">
        <v>20</v>
      </c>
      <c r="K845" s="7">
        <v>1469.34</v>
      </c>
      <c r="L845" s="1" t="s">
        <v>2347</v>
      </c>
      <c r="M845" s="2" t="s">
        <v>2364</v>
      </c>
    </row>
    <row r="846" spans="1:13" x14ac:dyDescent="0.3">
      <c r="A846" s="2" t="s">
        <v>916</v>
      </c>
      <c r="B846" s="5">
        <v>45886</v>
      </c>
      <c r="C846" s="2" t="s">
        <v>917</v>
      </c>
      <c r="D846" s="2" t="s">
        <v>16</v>
      </c>
      <c r="E846" s="2" t="s">
        <v>160</v>
      </c>
      <c r="F846" s="2" t="s">
        <v>63</v>
      </c>
      <c r="G846" s="2" t="s">
        <v>15</v>
      </c>
      <c r="H846" s="2">
        <v>26</v>
      </c>
      <c r="I846" s="7">
        <v>63.33</v>
      </c>
      <c r="J846" s="2">
        <v>10</v>
      </c>
      <c r="K846" s="7">
        <v>1481.92</v>
      </c>
      <c r="L846" s="2" t="s">
        <v>69</v>
      </c>
      <c r="M846" s="2" t="s">
        <v>2364</v>
      </c>
    </row>
    <row r="847" spans="1:13" x14ac:dyDescent="0.3">
      <c r="A847" s="2" t="s">
        <v>1742</v>
      </c>
      <c r="B847" s="5">
        <v>46194</v>
      </c>
      <c r="C847" s="2" t="s">
        <v>1058</v>
      </c>
      <c r="D847" s="2" t="s">
        <v>53</v>
      </c>
      <c r="E847" s="2" t="s">
        <v>141</v>
      </c>
      <c r="F847" s="2" t="s">
        <v>63</v>
      </c>
      <c r="G847" s="2" t="s">
        <v>15</v>
      </c>
      <c r="H847" s="2">
        <v>28</v>
      </c>
      <c r="I847" s="7">
        <v>53.14</v>
      </c>
      <c r="J847" s="2">
        <v>0</v>
      </c>
      <c r="K847" s="7">
        <v>1487.92</v>
      </c>
      <c r="L847" s="2" t="s">
        <v>69</v>
      </c>
      <c r="M847" s="2" t="s">
        <v>2364</v>
      </c>
    </row>
    <row r="848" spans="1:13" x14ac:dyDescent="0.3">
      <c r="A848" s="2" t="s">
        <v>1316</v>
      </c>
      <c r="B848" s="5">
        <v>45991</v>
      </c>
      <c r="C848" s="2" t="s">
        <v>1317</v>
      </c>
      <c r="D848" s="2" t="s">
        <v>24</v>
      </c>
      <c r="E848" s="2" t="s">
        <v>104</v>
      </c>
      <c r="F848" s="2" t="s">
        <v>63</v>
      </c>
      <c r="G848" s="2" t="s">
        <v>15</v>
      </c>
      <c r="H848" s="2">
        <v>45</v>
      </c>
      <c r="I848" s="7">
        <v>34.86</v>
      </c>
      <c r="J848" s="2">
        <v>5</v>
      </c>
      <c r="K848" s="7">
        <v>1490.27</v>
      </c>
      <c r="L848" s="2" t="s">
        <v>31</v>
      </c>
      <c r="M848" s="2" t="s">
        <v>2364</v>
      </c>
    </row>
    <row r="849" spans="1:13" x14ac:dyDescent="0.3">
      <c r="A849" s="2" t="s">
        <v>1594</v>
      </c>
      <c r="B849" s="5">
        <v>45891</v>
      </c>
      <c r="C849" s="2" t="s">
        <v>1595</v>
      </c>
      <c r="D849" s="2" t="s">
        <v>24</v>
      </c>
      <c r="E849" s="2" t="s">
        <v>36</v>
      </c>
      <c r="F849" s="2" t="s">
        <v>63</v>
      </c>
      <c r="G849" s="2" t="s">
        <v>15</v>
      </c>
      <c r="H849" s="2">
        <v>44</v>
      </c>
      <c r="I849" s="7">
        <v>36.85</v>
      </c>
      <c r="J849" s="2">
        <v>5</v>
      </c>
      <c r="K849" s="7">
        <v>1540.33</v>
      </c>
      <c r="L849" s="2" t="s">
        <v>27</v>
      </c>
      <c r="M849" s="2" t="s">
        <v>2364</v>
      </c>
    </row>
    <row r="850" spans="1:13" x14ac:dyDescent="0.3">
      <c r="A850" s="2" t="s">
        <v>1143</v>
      </c>
      <c r="B850" s="5">
        <v>46301</v>
      </c>
      <c r="C850" s="2" t="s">
        <v>1144</v>
      </c>
      <c r="D850" s="2" t="s">
        <v>46</v>
      </c>
      <c r="E850" s="2" t="s">
        <v>47</v>
      </c>
      <c r="F850" s="2" t="s">
        <v>63</v>
      </c>
      <c r="G850" s="2" t="s">
        <v>15</v>
      </c>
      <c r="H850" s="2">
        <v>33</v>
      </c>
      <c r="I850" s="7">
        <v>53.39</v>
      </c>
      <c r="J850" s="2">
        <v>5</v>
      </c>
      <c r="K850" s="7">
        <v>1673.78</v>
      </c>
      <c r="L850" s="2" t="s">
        <v>69</v>
      </c>
      <c r="M850" s="2" t="s">
        <v>2364</v>
      </c>
    </row>
    <row r="851" spans="1:13" x14ac:dyDescent="0.3">
      <c r="A851" s="2" t="s">
        <v>2289</v>
      </c>
      <c r="B851" s="5">
        <v>45792</v>
      </c>
      <c r="C851" s="2" t="s">
        <v>2290</v>
      </c>
      <c r="D851" s="2" t="s">
        <v>53</v>
      </c>
      <c r="E851" s="2" t="s">
        <v>67</v>
      </c>
      <c r="F851" s="2" t="s">
        <v>63</v>
      </c>
      <c r="G851" s="2" t="s">
        <v>15</v>
      </c>
      <c r="H851" s="2">
        <v>29</v>
      </c>
      <c r="I851" s="7">
        <v>72.930000000000007</v>
      </c>
      <c r="J851" s="2">
        <v>20</v>
      </c>
      <c r="K851" s="7">
        <v>1691.98</v>
      </c>
      <c r="L851" s="2" t="s">
        <v>49</v>
      </c>
      <c r="M851" s="2" t="s">
        <v>2364</v>
      </c>
    </row>
    <row r="852" spans="1:13" x14ac:dyDescent="0.3">
      <c r="A852" s="2" t="s">
        <v>2096</v>
      </c>
      <c r="B852" s="5">
        <v>46069</v>
      </c>
      <c r="C852" s="2" t="s">
        <v>885</v>
      </c>
      <c r="D852" s="2" t="s">
        <v>46</v>
      </c>
      <c r="E852" s="2" t="s">
        <v>47</v>
      </c>
      <c r="F852" s="2" t="s">
        <v>63</v>
      </c>
      <c r="G852" s="2" t="s">
        <v>15</v>
      </c>
      <c r="H852" s="2">
        <v>24</v>
      </c>
      <c r="I852" s="7">
        <v>79.900000000000006</v>
      </c>
      <c r="J852" s="2">
        <v>10</v>
      </c>
      <c r="K852" s="7">
        <v>1725.84</v>
      </c>
      <c r="L852" s="2" t="s">
        <v>31</v>
      </c>
      <c r="M852" s="2" t="s">
        <v>2365</v>
      </c>
    </row>
    <row r="853" spans="1:13" x14ac:dyDescent="0.3">
      <c r="A853" s="2" t="s">
        <v>76</v>
      </c>
      <c r="B853" s="5">
        <v>45782</v>
      </c>
      <c r="C853" s="2" t="s">
        <v>77</v>
      </c>
      <c r="D853" s="2" t="s">
        <v>46</v>
      </c>
      <c r="E853" s="2" t="s">
        <v>78</v>
      </c>
      <c r="F853" s="2" t="s">
        <v>63</v>
      </c>
      <c r="G853" s="2" t="s">
        <v>15</v>
      </c>
      <c r="H853" s="2">
        <v>28</v>
      </c>
      <c r="I853" s="7">
        <v>67.16</v>
      </c>
      <c r="J853" s="2">
        <v>5</v>
      </c>
      <c r="K853" s="7">
        <v>1786.46</v>
      </c>
      <c r="L853" s="2" t="s">
        <v>27</v>
      </c>
      <c r="M853" s="2" t="s">
        <v>2365</v>
      </c>
    </row>
    <row r="854" spans="1:13" x14ac:dyDescent="0.3">
      <c r="A854" s="2" t="s">
        <v>2168</v>
      </c>
      <c r="B854" s="5">
        <v>45868</v>
      </c>
      <c r="C854" s="2" t="s">
        <v>1498</v>
      </c>
      <c r="D854" s="2" t="s">
        <v>16</v>
      </c>
      <c r="E854" s="2" t="s">
        <v>91</v>
      </c>
      <c r="F854" s="2" t="s">
        <v>63</v>
      </c>
      <c r="G854" s="2" t="s">
        <v>15</v>
      </c>
      <c r="H854" s="2">
        <v>34</v>
      </c>
      <c r="I854" s="7">
        <v>56.53</v>
      </c>
      <c r="J854" s="2">
        <v>5</v>
      </c>
      <c r="K854" s="7">
        <v>1825.92</v>
      </c>
      <c r="L854" s="2" t="s">
        <v>69</v>
      </c>
      <c r="M854" s="2" t="s">
        <v>2364</v>
      </c>
    </row>
    <row r="855" spans="1:13" x14ac:dyDescent="0.3">
      <c r="A855" s="2" t="s">
        <v>1766</v>
      </c>
      <c r="B855" s="5">
        <v>46007</v>
      </c>
      <c r="C855" s="2" t="s">
        <v>1767</v>
      </c>
      <c r="D855" s="2" t="s">
        <v>46</v>
      </c>
      <c r="E855" s="2" t="s">
        <v>124</v>
      </c>
      <c r="F855" s="2" t="s">
        <v>63</v>
      </c>
      <c r="G855" s="2" t="s">
        <v>15</v>
      </c>
      <c r="H855" s="2">
        <v>34</v>
      </c>
      <c r="I855" s="7">
        <v>67.02</v>
      </c>
      <c r="J855" s="2">
        <v>15</v>
      </c>
      <c r="K855" s="7">
        <v>1936.88</v>
      </c>
      <c r="L855" s="2" t="s">
        <v>31</v>
      </c>
      <c r="M855" s="2" t="s">
        <v>2364</v>
      </c>
    </row>
    <row r="856" spans="1:13" x14ac:dyDescent="0.3">
      <c r="A856" s="2" t="s">
        <v>332</v>
      </c>
      <c r="B856" s="5">
        <v>45770</v>
      </c>
      <c r="C856" s="2" t="s">
        <v>333</v>
      </c>
      <c r="D856" s="2" t="s">
        <v>53</v>
      </c>
      <c r="E856" s="2" t="s">
        <v>67</v>
      </c>
      <c r="F856" s="2" t="s">
        <v>63</v>
      </c>
      <c r="G856" s="2" t="s">
        <v>15</v>
      </c>
      <c r="H856" s="2">
        <v>46</v>
      </c>
      <c r="I856" s="7">
        <v>50.31</v>
      </c>
      <c r="J856" s="2">
        <v>10</v>
      </c>
      <c r="K856" s="7">
        <v>2082.83</v>
      </c>
      <c r="L856" s="2" t="s">
        <v>69</v>
      </c>
      <c r="M856" s="2" t="s">
        <v>2364</v>
      </c>
    </row>
    <row r="857" spans="1:13" x14ac:dyDescent="0.3">
      <c r="A857" s="2" t="s">
        <v>2254</v>
      </c>
      <c r="B857" s="5">
        <v>45828</v>
      </c>
      <c r="C857" s="2" t="s">
        <v>2255</v>
      </c>
      <c r="D857" s="2" t="s">
        <v>16</v>
      </c>
      <c r="E857" s="2" t="s">
        <v>160</v>
      </c>
      <c r="F857" s="2" t="s">
        <v>63</v>
      </c>
      <c r="G857" s="2" t="s">
        <v>15</v>
      </c>
      <c r="H857" s="2">
        <v>37</v>
      </c>
      <c r="I857" s="7">
        <v>63.98</v>
      </c>
      <c r="J857" s="2">
        <v>10</v>
      </c>
      <c r="K857" s="7">
        <v>2130.5300000000002</v>
      </c>
      <c r="L857" s="2" t="s">
        <v>49</v>
      </c>
      <c r="M857" s="2" t="s">
        <v>2365</v>
      </c>
    </row>
    <row r="858" spans="1:13" x14ac:dyDescent="0.3">
      <c r="A858" s="2" t="s">
        <v>765</v>
      </c>
      <c r="B858" s="5">
        <v>45883</v>
      </c>
      <c r="C858" s="2" t="s">
        <v>490</v>
      </c>
      <c r="D858" s="2" t="s">
        <v>46</v>
      </c>
      <c r="E858" s="2" t="s">
        <v>124</v>
      </c>
      <c r="F858" s="2" t="s">
        <v>63</v>
      </c>
      <c r="G858" s="2" t="s">
        <v>15</v>
      </c>
      <c r="H858" s="2">
        <v>35</v>
      </c>
      <c r="I858" s="7">
        <v>64.849999999999994</v>
      </c>
      <c r="J858" s="2">
        <v>5</v>
      </c>
      <c r="K858" s="7">
        <v>2156.2600000000002</v>
      </c>
      <c r="L858" s="2" t="s">
        <v>27</v>
      </c>
      <c r="M858" s="2" t="s">
        <v>2364</v>
      </c>
    </row>
    <row r="859" spans="1:13" x14ac:dyDescent="0.3">
      <c r="A859" s="2" t="s">
        <v>1561</v>
      </c>
      <c r="B859" s="5">
        <v>45706</v>
      </c>
      <c r="C859" s="2" t="s">
        <v>1562</v>
      </c>
      <c r="D859" s="2" t="s">
        <v>53</v>
      </c>
      <c r="E859" s="2" t="s">
        <v>67</v>
      </c>
      <c r="F859" s="2" t="s">
        <v>63</v>
      </c>
      <c r="G859" s="2" t="s">
        <v>15</v>
      </c>
      <c r="H859" s="2">
        <v>37</v>
      </c>
      <c r="I859" s="7">
        <v>65.87</v>
      </c>
      <c r="J859" s="2">
        <v>10</v>
      </c>
      <c r="K859" s="7">
        <v>2193.4699999999998</v>
      </c>
      <c r="L859" s="1" t="s">
        <v>2347</v>
      </c>
      <c r="M859" s="2" t="s">
        <v>2364</v>
      </c>
    </row>
    <row r="860" spans="1:13" x14ac:dyDescent="0.3">
      <c r="A860" s="2" t="s">
        <v>1847</v>
      </c>
      <c r="B860" s="5">
        <v>45862</v>
      </c>
      <c r="C860" s="2" t="s">
        <v>1848</v>
      </c>
      <c r="D860" s="2" t="s">
        <v>46</v>
      </c>
      <c r="E860" s="2" t="s">
        <v>78</v>
      </c>
      <c r="F860" s="2" t="s">
        <v>63</v>
      </c>
      <c r="G860" s="2" t="s">
        <v>15</v>
      </c>
      <c r="H860" s="2">
        <v>38</v>
      </c>
      <c r="I860" s="7">
        <v>73.22</v>
      </c>
      <c r="J860" s="2">
        <v>20</v>
      </c>
      <c r="K860" s="7">
        <v>2225.89</v>
      </c>
      <c r="L860" s="2" t="s">
        <v>49</v>
      </c>
      <c r="M860" s="2" t="s">
        <v>2364</v>
      </c>
    </row>
    <row r="861" spans="1:13" x14ac:dyDescent="0.3">
      <c r="A861" s="2" t="s">
        <v>390</v>
      </c>
      <c r="B861" s="5">
        <v>45626</v>
      </c>
      <c r="C861" s="2" t="s">
        <v>391</v>
      </c>
      <c r="D861" s="2" t="s">
        <v>53</v>
      </c>
      <c r="E861" s="2" t="s">
        <v>141</v>
      </c>
      <c r="F861" s="2" t="s">
        <v>63</v>
      </c>
      <c r="G861" s="2" t="s">
        <v>15</v>
      </c>
      <c r="H861" s="2">
        <v>34</v>
      </c>
      <c r="I861" s="7">
        <v>75.25</v>
      </c>
      <c r="J861" s="2">
        <v>10</v>
      </c>
      <c r="K861" s="7">
        <v>2302.65</v>
      </c>
      <c r="L861" s="2" t="s">
        <v>49</v>
      </c>
      <c r="M861" s="2" t="s">
        <v>2364</v>
      </c>
    </row>
    <row r="862" spans="1:13" x14ac:dyDescent="0.3">
      <c r="A862" s="2" t="s">
        <v>1209</v>
      </c>
      <c r="B862" s="5">
        <v>46076</v>
      </c>
      <c r="C862" s="2" t="s">
        <v>1210</v>
      </c>
      <c r="D862" s="2" t="s">
        <v>53</v>
      </c>
      <c r="E862" s="2" t="s">
        <v>134</v>
      </c>
      <c r="F862" s="2" t="s">
        <v>63</v>
      </c>
      <c r="G862" s="2" t="s">
        <v>15</v>
      </c>
      <c r="H862" s="2">
        <v>37</v>
      </c>
      <c r="I862" s="7">
        <v>70.73</v>
      </c>
      <c r="J862" s="2">
        <v>10</v>
      </c>
      <c r="K862" s="7">
        <v>2355.31</v>
      </c>
      <c r="L862" s="2" t="s">
        <v>31</v>
      </c>
      <c r="M862" s="2" t="s">
        <v>2364</v>
      </c>
    </row>
    <row r="863" spans="1:13" x14ac:dyDescent="0.3">
      <c r="A863" s="2" t="s">
        <v>1575</v>
      </c>
      <c r="B863" s="5">
        <v>46016</v>
      </c>
      <c r="C863" s="2" t="s">
        <v>1562</v>
      </c>
      <c r="D863" s="2" t="s">
        <v>46</v>
      </c>
      <c r="E863" s="2" t="s">
        <v>124</v>
      </c>
      <c r="F863" s="2" t="s">
        <v>63</v>
      </c>
      <c r="G863" s="2" t="s">
        <v>15</v>
      </c>
      <c r="H863" s="2">
        <v>45</v>
      </c>
      <c r="I863" s="7">
        <v>66.099999999999994</v>
      </c>
      <c r="J863" s="2">
        <v>20</v>
      </c>
      <c r="K863" s="7">
        <v>2379.6</v>
      </c>
      <c r="L863" s="2" t="s">
        <v>69</v>
      </c>
      <c r="M863" s="2" t="s">
        <v>2365</v>
      </c>
    </row>
    <row r="864" spans="1:13" x14ac:dyDescent="0.3">
      <c r="A864" s="2" t="s">
        <v>452</v>
      </c>
      <c r="B864" s="5">
        <v>46131</v>
      </c>
      <c r="C864" s="2" t="s">
        <v>29</v>
      </c>
      <c r="D864" s="2" t="s">
        <v>16</v>
      </c>
      <c r="E864" s="2" t="s">
        <v>17</v>
      </c>
      <c r="F864" s="2" t="s">
        <v>63</v>
      </c>
      <c r="G864" s="2" t="s">
        <v>15</v>
      </c>
      <c r="H864" s="2">
        <v>32</v>
      </c>
      <c r="I864" s="7">
        <v>76.89</v>
      </c>
      <c r="J864" s="2">
        <v>0</v>
      </c>
      <c r="K864" s="7">
        <v>2460.48</v>
      </c>
      <c r="L864" s="2" t="s">
        <v>69</v>
      </c>
      <c r="M864" s="2" t="s">
        <v>2364</v>
      </c>
    </row>
    <row r="865" spans="1:13" x14ac:dyDescent="0.3">
      <c r="A865" s="2" t="s">
        <v>1345</v>
      </c>
      <c r="B865" s="5">
        <v>45616</v>
      </c>
      <c r="C865" s="2" t="s">
        <v>107</v>
      </c>
      <c r="D865" s="2" t="s">
        <v>16</v>
      </c>
      <c r="E865" s="2" t="s">
        <v>74</v>
      </c>
      <c r="F865" s="2" t="s">
        <v>63</v>
      </c>
      <c r="G865" s="2" t="s">
        <v>15</v>
      </c>
      <c r="H865" s="2">
        <v>37</v>
      </c>
      <c r="I865" s="7">
        <v>66.59</v>
      </c>
      <c r="J865" s="2">
        <v>0</v>
      </c>
      <c r="K865" s="7">
        <v>2463.83</v>
      </c>
      <c r="L865" s="2" t="s">
        <v>69</v>
      </c>
      <c r="M865" s="2" t="s">
        <v>2364</v>
      </c>
    </row>
    <row r="866" spans="1:13" x14ac:dyDescent="0.3">
      <c r="A866" s="2" t="s">
        <v>1404</v>
      </c>
      <c r="B866" s="5">
        <v>45633</v>
      </c>
      <c r="C866" s="2" t="s">
        <v>1405</v>
      </c>
      <c r="D866" s="2" t="s">
        <v>24</v>
      </c>
      <c r="E866" s="2" t="s">
        <v>36</v>
      </c>
      <c r="F866" s="2" t="s">
        <v>63</v>
      </c>
      <c r="G866" s="2" t="s">
        <v>15</v>
      </c>
      <c r="H866" s="2">
        <v>35</v>
      </c>
      <c r="I866" s="7">
        <v>72.040000000000006</v>
      </c>
      <c r="J866" s="2">
        <v>0</v>
      </c>
      <c r="K866" s="7">
        <v>2521.4</v>
      </c>
      <c r="L866" s="1" t="s">
        <v>2347</v>
      </c>
      <c r="M866" s="2" t="s">
        <v>2364</v>
      </c>
    </row>
    <row r="867" spans="1:13" x14ac:dyDescent="0.3">
      <c r="A867" s="2" t="s">
        <v>2244</v>
      </c>
      <c r="B867" s="5">
        <v>45622</v>
      </c>
      <c r="C867" s="2" t="s">
        <v>2245</v>
      </c>
      <c r="D867" s="2" t="s">
        <v>24</v>
      </c>
      <c r="E867" s="2" t="s">
        <v>59</v>
      </c>
      <c r="F867" s="2" t="s">
        <v>63</v>
      </c>
      <c r="G867" s="2" t="s">
        <v>15</v>
      </c>
      <c r="H867" s="2">
        <v>44</v>
      </c>
      <c r="I867" s="7">
        <v>68.2</v>
      </c>
      <c r="J867" s="2">
        <v>10</v>
      </c>
      <c r="K867" s="7">
        <v>2700.72</v>
      </c>
      <c r="L867" s="2" t="s">
        <v>27</v>
      </c>
      <c r="M867" s="2" t="s">
        <v>2364</v>
      </c>
    </row>
    <row r="868" spans="1:13" x14ac:dyDescent="0.3">
      <c r="A868" s="2" t="s">
        <v>116</v>
      </c>
      <c r="B868" s="5">
        <v>46143</v>
      </c>
      <c r="C868" s="2" t="s">
        <v>117</v>
      </c>
      <c r="D868" s="2" t="s">
        <v>53</v>
      </c>
      <c r="E868" s="2" t="s">
        <v>67</v>
      </c>
      <c r="F868" s="2" t="s">
        <v>63</v>
      </c>
      <c r="G868" s="2" t="s">
        <v>15</v>
      </c>
      <c r="H868" s="2">
        <v>49</v>
      </c>
      <c r="I868" s="7">
        <v>77.010000000000005</v>
      </c>
      <c r="J868" s="2">
        <v>0</v>
      </c>
      <c r="K868" s="7">
        <v>3773.49</v>
      </c>
      <c r="L868" s="2" t="s">
        <v>31</v>
      </c>
      <c r="M868" s="2" t="s">
        <v>2364</v>
      </c>
    </row>
    <row r="869" spans="1:13" x14ac:dyDescent="0.3">
      <c r="A869" s="2" t="s">
        <v>2306</v>
      </c>
      <c r="B869" s="5">
        <v>46212</v>
      </c>
      <c r="C869" s="2" t="s">
        <v>2307</v>
      </c>
      <c r="D869" s="2" t="s">
        <v>46</v>
      </c>
      <c r="E869" s="2" t="s">
        <v>83</v>
      </c>
      <c r="F869" s="2" t="s">
        <v>123</v>
      </c>
      <c r="G869" s="2" t="s">
        <v>15</v>
      </c>
      <c r="H869" s="2">
        <v>1</v>
      </c>
      <c r="I869" s="7">
        <v>29.21</v>
      </c>
      <c r="J869" s="2">
        <v>15</v>
      </c>
      <c r="K869" s="7">
        <v>24.83</v>
      </c>
      <c r="L869" s="2" t="s">
        <v>69</v>
      </c>
      <c r="M869" s="2" t="s">
        <v>2364</v>
      </c>
    </row>
    <row r="870" spans="1:13" x14ac:dyDescent="0.3">
      <c r="A870" s="2" t="s">
        <v>121</v>
      </c>
      <c r="B870" s="5">
        <v>45678</v>
      </c>
      <c r="C870" s="2" t="s">
        <v>122</v>
      </c>
      <c r="D870" s="2" t="s">
        <v>46</v>
      </c>
      <c r="E870" s="2" t="s">
        <v>124</v>
      </c>
      <c r="F870" s="2" t="s">
        <v>123</v>
      </c>
      <c r="G870" s="2" t="s">
        <v>15</v>
      </c>
      <c r="H870" s="2">
        <v>1</v>
      </c>
      <c r="I870" s="7">
        <v>27.61</v>
      </c>
      <c r="J870" s="2">
        <v>0</v>
      </c>
      <c r="K870" s="7">
        <v>27.61</v>
      </c>
      <c r="L870" s="2" t="s">
        <v>49</v>
      </c>
      <c r="M870" s="2" t="s">
        <v>2364</v>
      </c>
    </row>
    <row r="871" spans="1:13" x14ac:dyDescent="0.3">
      <c r="A871" s="2" t="s">
        <v>1488</v>
      </c>
      <c r="B871" s="5">
        <v>45602</v>
      </c>
      <c r="C871" s="2" t="s">
        <v>1489</v>
      </c>
      <c r="D871" s="2" t="s">
        <v>24</v>
      </c>
      <c r="E871" s="2" t="s">
        <v>59</v>
      </c>
      <c r="F871" s="2" t="s">
        <v>123</v>
      </c>
      <c r="G871" s="2" t="s">
        <v>15</v>
      </c>
      <c r="H871" s="2">
        <v>2</v>
      </c>
      <c r="I871" s="7">
        <v>27.32</v>
      </c>
      <c r="J871" s="2">
        <v>10</v>
      </c>
      <c r="K871" s="7">
        <v>49.18</v>
      </c>
      <c r="L871" s="1" t="s">
        <v>2347</v>
      </c>
      <c r="M871" s="2" t="s">
        <v>2364</v>
      </c>
    </row>
    <row r="872" spans="1:13" x14ac:dyDescent="0.3">
      <c r="A872" s="2" t="s">
        <v>495</v>
      </c>
      <c r="B872" s="5">
        <v>46284</v>
      </c>
      <c r="C872" s="2" t="s">
        <v>496</v>
      </c>
      <c r="D872" s="2" t="s">
        <v>53</v>
      </c>
      <c r="E872" s="2" t="s">
        <v>170</v>
      </c>
      <c r="F872" s="2" t="s">
        <v>123</v>
      </c>
      <c r="G872" s="2" t="s">
        <v>15</v>
      </c>
      <c r="H872" s="2">
        <v>2</v>
      </c>
      <c r="I872" s="7">
        <v>31.76</v>
      </c>
      <c r="J872" s="2">
        <v>10</v>
      </c>
      <c r="K872" s="7">
        <v>57.17</v>
      </c>
      <c r="L872" s="2" t="s">
        <v>31</v>
      </c>
      <c r="M872" s="2" t="s">
        <v>2364</v>
      </c>
    </row>
    <row r="873" spans="1:13" x14ac:dyDescent="0.3">
      <c r="A873" s="2" t="s">
        <v>997</v>
      </c>
      <c r="B873" s="5">
        <v>45904</v>
      </c>
      <c r="C873" s="2" t="s">
        <v>998</v>
      </c>
      <c r="D873" s="2" t="s">
        <v>24</v>
      </c>
      <c r="E873" s="2" t="s">
        <v>104</v>
      </c>
      <c r="F873" s="2" t="s">
        <v>123</v>
      </c>
      <c r="G873" s="2" t="s">
        <v>15</v>
      </c>
      <c r="H873" s="2">
        <v>7</v>
      </c>
      <c r="I873" s="7">
        <v>16.32</v>
      </c>
      <c r="J873" s="2">
        <v>20</v>
      </c>
      <c r="K873" s="7">
        <v>91.39</v>
      </c>
      <c r="L873" s="2" t="s">
        <v>69</v>
      </c>
      <c r="M873" s="2" t="s">
        <v>2365</v>
      </c>
    </row>
    <row r="874" spans="1:13" x14ac:dyDescent="0.3">
      <c r="A874" s="2" t="s">
        <v>1773</v>
      </c>
      <c r="B874" s="5">
        <v>45732</v>
      </c>
      <c r="C874" s="2" t="s">
        <v>1774</v>
      </c>
      <c r="D874" s="2" t="s">
        <v>16</v>
      </c>
      <c r="E874" s="2" t="s">
        <v>74</v>
      </c>
      <c r="F874" s="2" t="s">
        <v>123</v>
      </c>
      <c r="G874" s="2" t="s">
        <v>15</v>
      </c>
      <c r="H874" s="2">
        <v>5</v>
      </c>
      <c r="I874" s="7">
        <v>24.69</v>
      </c>
      <c r="J874" s="2">
        <v>20</v>
      </c>
      <c r="K874" s="7">
        <v>98.76</v>
      </c>
      <c r="L874" s="2" t="s">
        <v>69</v>
      </c>
      <c r="M874" s="2" t="s">
        <v>2364</v>
      </c>
    </row>
    <row r="875" spans="1:13" x14ac:dyDescent="0.3">
      <c r="A875" s="2" t="s">
        <v>1268</v>
      </c>
      <c r="B875" s="5">
        <v>46133</v>
      </c>
      <c r="C875" s="2" t="s">
        <v>1269</v>
      </c>
      <c r="D875" s="2" t="s">
        <v>24</v>
      </c>
      <c r="E875" s="2" t="s">
        <v>59</v>
      </c>
      <c r="F875" s="2" t="s">
        <v>123</v>
      </c>
      <c r="G875" s="2" t="s">
        <v>15</v>
      </c>
      <c r="H875" s="2">
        <v>9</v>
      </c>
      <c r="I875" s="7">
        <v>15.36</v>
      </c>
      <c r="J875" s="2">
        <v>0</v>
      </c>
      <c r="K875" s="7">
        <v>138.24</v>
      </c>
      <c r="L875" s="1" t="s">
        <v>2347</v>
      </c>
      <c r="M875" s="2" t="s">
        <v>2364</v>
      </c>
    </row>
    <row r="876" spans="1:13" x14ac:dyDescent="0.3">
      <c r="A876" s="2" t="s">
        <v>2033</v>
      </c>
      <c r="B876" s="5">
        <v>45607</v>
      </c>
      <c r="C876" s="2" t="s">
        <v>2034</v>
      </c>
      <c r="D876" s="2" t="s">
        <v>53</v>
      </c>
      <c r="E876" s="2" t="s">
        <v>54</v>
      </c>
      <c r="F876" s="2" t="s">
        <v>123</v>
      </c>
      <c r="G876" s="2" t="s">
        <v>15</v>
      </c>
      <c r="H876" s="2">
        <v>5</v>
      </c>
      <c r="I876" s="7">
        <v>34.11</v>
      </c>
      <c r="J876" s="2">
        <v>5</v>
      </c>
      <c r="K876" s="7">
        <v>162.02000000000001</v>
      </c>
      <c r="L876" s="1" t="s">
        <v>2347</v>
      </c>
      <c r="M876" s="2" t="s">
        <v>2364</v>
      </c>
    </row>
    <row r="877" spans="1:13" x14ac:dyDescent="0.3">
      <c r="A877" s="2" t="s">
        <v>973</v>
      </c>
      <c r="B877" s="5">
        <v>45990</v>
      </c>
      <c r="C877" s="2" t="s">
        <v>974</v>
      </c>
      <c r="D877" s="2" t="s">
        <v>46</v>
      </c>
      <c r="E877" s="2" t="s">
        <v>83</v>
      </c>
      <c r="F877" s="2" t="s">
        <v>123</v>
      </c>
      <c r="G877" s="2" t="s">
        <v>15</v>
      </c>
      <c r="H877" s="2">
        <v>6</v>
      </c>
      <c r="I877" s="7">
        <v>34.479999999999997</v>
      </c>
      <c r="J877" s="2">
        <v>10</v>
      </c>
      <c r="K877" s="7">
        <v>186.19</v>
      </c>
      <c r="L877" s="2" t="s">
        <v>31</v>
      </c>
      <c r="M877" s="2" t="s">
        <v>2364</v>
      </c>
    </row>
    <row r="878" spans="1:13" x14ac:dyDescent="0.3">
      <c r="A878" s="2" t="s">
        <v>401</v>
      </c>
      <c r="B878" s="5">
        <v>45918</v>
      </c>
      <c r="C878" s="2" t="s">
        <v>402</v>
      </c>
      <c r="D878" s="2" t="s">
        <v>16</v>
      </c>
      <c r="E878" s="2" t="s">
        <v>74</v>
      </c>
      <c r="F878" s="2" t="s">
        <v>123</v>
      </c>
      <c r="G878" s="2" t="s">
        <v>15</v>
      </c>
      <c r="H878" s="2">
        <v>7</v>
      </c>
      <c r="I878" s="7">
        <v>39.840000000000003</v>
      </c>
      <c r="J878" s="2">
        <v>10</v>
      </c>
      <c r="K878" s="7">
        <v>250.99</v>
      </c>
      <c r="L878" s="2" t="s">
        <v>31</v>
      </c>
      <c r="M878" s="2" t="s">
        <v>2364</v>
      </c>
    </row>
    <row r="879" spans="1:13" x14ac:dyDescent="0.3">
      <c r="A879" s="2" t="s">
        <v>237</v>
      </c>
      <c r="B879" s="5">
        <v>45598</v>
      </c>
      <c r="C879" s="2" t="s">
        <v>238</v>
      </c>
      <c r="D879" s="2" t="s">
        <v>46</v>
      </c>
      <c r="E879" s="2" t="s">
        <v>78</v>
      </c>
      <c r="F879" s="2" t="s">
        <v>123</v>
      </c>
      <c r="G879" s="2" t="s">
        <v>15</v>
      </c>
      <c r="H879" s="2">
        <v>14</v>
      </c>
      <c r="I879" s="7">
        <v>22.43</v>
      </c>
      <c r="J879" s="2">
        <v>20</v>
      </c>
      <c r="K879" s="7">
        <v>251.22</v>
      </c>
      <c r="L879" s="2" t="s">
        <v>49</v>
      </c>
      <c r="M879" s="2" t="s">
        <v>2365</v>
      </c>
    </row>
    <row r="880" spans="1:13" x14ac:dyDescent="0.3">
      <c r="A880" s="2" t="s">
        <v>1542</v>
      </c>
      <c r="B880" s="5">
        <v>45643</v>
      </c>
      <c r="C880" s="2" t="s">
        <v>1543</v>
      </c>
      <c r="D880" s="2" t="s">
        <v>46</v>
      </c>
      <c r="E880" s="2" t="s">
        <v>47</v>
      </c>
      <c r="F880" s="2" t="s">
        <v>123</v>
      </c>
      <c r="G880" s="2" t="s">
        <v>15</v>
      </c>
      <c r="H880" s="2">
        <v>9</v>
      </c>
      <c r="I880" s="7">
        <v>29.81</v>
      </c>
      <c r="J880" s="2">
        <v>0</v>
      </c>
      <c r="K880" s="7">
        <v>268.29000000000002</v>
      </c>
      <c r="L880" s="2" t="s">
        <v>49</v>
      </c>
      <c r="M880" s="2" t="s">
        <v>2364</v>
      </c>
    </row>
    <row r="881" spans="1:13" x14ac:dyDescent="0.3">
      <c r="A881" s="2" t="s">
        <v>2229</v>
      </c>
      <c r="B881" s="5">
        <v>46046</v>
      </c>
      <c r="C881" s="2" t="s">
        <v>2230</v>
      </c>
      <c r="D881" s="2" t="s">
        <v>16</v>
      </c>
      <c r="E881" s="2" t="s">
        <v>160</v>
      </c>
      <c r="F881" s="2" t="s">
        <v>123</v>
      </c>
      <c r="G881" s="2" t="s">
        <v>15</v>
      </c>
      <c r="H881" s="2">
        <v>6</v>
      </c>
      <c r="I881" s="7">
        <v>45.59</v>
      </c>
      <c r="J881" s="2">
        <v>0</v>
      </c>
      <c r="K881" s="7">
        <v>273.54000000000002</v>
      </c>
      <c r="L881" s="2" t="s">
        <v>49</v>
      </c>
      <c r="M881" s="2" t="s">
        <v>2364</v>
      </c>
    </row>
    <row r="882" spans="1:13" x14ac:dyDescent="0.3">
      <c r="A882" s="2" t="s">
        <v>1281</v>
      </c>
      <c r="B882" s="5">
        <v>45989</v>
      </c>
      <c r="C882" s="2" t="s">
        <v>238</v>
      </c>
      <c r="D882" s="2" t="s">
        <v>16</v>
      </c>
      <c r="E882" s="2" t="s">
        <v>111</v>
      </c>
      <c r="F882" s="2" t="s">
        <v>123</v>
      </c>
      <c r="G882" s="2" t="s">
        <v>15</v>
      </c>
      <c r="H882" s="2">
        <v>12</v>
      </c>
      <c r="I882" s="7">
        <v>24.64</v>
      </c>
      <c r="J882" s="2">
        <v>0</v>
      </c>
      <c r="K882" s="7">
        <v>295.68</v>
      </c>
      <c r="L882" s="2" t="s">
        <v>49</v>
      </c>
      <c r="M882" s="2" t="s">
        <v>2364</v>
      </c>
    </row>
    <row r="883" spans="1:13" x14ac:dyDescent="0.3">
      <c r="A883" s="2" t="s">
        <v>1064</v>
      </c>
      <c r="B883" s="5">
        <v>46111</v>
      </c>
      <c r="C883" s="2" t="s">
        <v>1065</v>
      </c>
      <c r="D883" s="2" t="s">
        <v>46</v>
      </c>
      <c r="E883" s="2" t="s">
        <v>78</v>
      </c>
      <c r="F883" s="2" t="s">
        <v>123</v>
      </c>
      <c r="G883" s="2" t="s">
        <v>15</v>
      </c>
      <c r="H883" s="2">
        <v>18</v>
      </c>
      <c r="I883" s="7">
        <v>17.809999999999999</v>
      </c>
      <c r="J883" s="2">
        <v>5</v>
      </c>
      <c r="K883" s="7">
        <v>304.55</v>
      </c>
      <c r="L883" s="1" t="s">
        <v>2347</v>
      </c>
      <c r="M883" s="2" t="s">
        <v>2365</v>
      </c>
    </row>
    <row r="884" spans="1:13" x14ac:dyDescent="0.3">
      <c r="A884" s="2" t="s">
        <v>1087</v>
      </c>
      <c r="B884" s="5">
        <v>45601</v>
      </c>
      <c r="C884" s="2" t="s">
        <v>1088</v>
      </c>
      <c r="D884" s="2" t="s">
        <v>53</v>
      </c>
      <c r="E884" s="2" t="s">
        <v>170</v>
      </c>
      <c r="F884" s="2" t="s">
        <v>123</v>
      </c>
      <c r="G884" s="2" t="s">
        <v>15</v>
      </c>
      <c r="H884" s="2">
        <v>9</v>
      </c>
      <c r="I884" s="7">
        <v>49.57</v>
      </c>
      <c r="J884" s="2">
        <v>20</v>
      </c>
      <c r="K884" s="7">
        <v>356.9</v>
      </c>
      <c r="L884" s="2" t="s">
        <v>31</v>
      </c>
      <c r="M884" s="2" t="s">
        <v>2365</v>
      </c>
    </row>
    <row r="885" spans="1:13" x14ac:dyDescent="0.3">
      <c r="A885" s="2" t="s">
        <v>1655</v>
      </c>
      <c r="B885" s="5">
        <v>45886</v>
      </c>
      <c r="C885" s="2" t="s">
        <v>144</v>
      </c>
      <c r="D885" s="2" t="s">
        <v>53</v>
      </c>
      <c r="E885" s="2" t="s">
        <v>170</v>
      </c>
      <c r="F885" s="2" t="s">
        <v>123</v>
      </c>
      <c r="G885" s="2" t="s">
        <v>15</v>
      </c>
      <c r="H885" s="2">
        <v>16</v>
      </c>
      <c r="I885" s="7">
        <v>26.31</v>
      </c>
      <c r="J885" s="2">
        <v>10</v>
      </c>
      <c r="K885" s="7">
        <v>378.86</v>
      </c>
      <c r="L885" s="1" t="s">
        <v>2347</v>
      </c>
      <c r="M885" s="2" t="s">
        <v>2365</v>
      </c>
    </row>
    <row r="886" spans="1:13" x14ac:dyDescent="0.3">
      <c r="A886" s="2" t="s">
        <v>474</v>
      </c>
      <c r="B886" s="5">
        <v>45803</v>
      </c>
      <c r="C886" s="2" t="s">
        <v>475</v>
      </c>
      <c r="D886" s="2" t="s">
        <v>46</v>
      </c>
      <c r="E886" s="2" t="s">
        <v>124</v>
      </c>
      <c r="F886" s="2" t="s">
        <v>123</v>
      </c>
      <c r="G886" s="2" t="s">
        <v>15</v>
      </c>
      <c r="H886" s="2">
        <v>11</v>
      </c>
      <c r="I886" s="7">
        <v>35.03</v>
      </c>
      <c r="J886" s="2">
        <v>0</v>
      </c>
      <c r="K886" s="7">
        <v>385.33</v>
      </c>
      <c r="L886" s="1" t="s">
        <v>2347</v>
      </c>
      <c r="M886" s="2" t="s">
        <v>2365</v>
      </c>
    </row>
    <row r="887" spans="1:13" x14ac:dyDescent="0.3">
      <c r="A887" s="2" t="s">
        <v>1205</v>
      </c>
      <c r="B887" s="5">
        <v>45756</v>
      </c>
      <c r="C887" s="2" t="s">
        <v>1206</v>
      </c>
      <c r="D887" s="2" t="s">
        <v>46</v>
      </c>
      <c r="E887" s="2" t="s">
        <v>83</v>
      </c>
      <c r="F887" s="2" t="s">
        <v>123</v>
      </c>
      <c r="G887" s="2" t="s">
        <v>15</v>
      </c>
      <c r="H887" s="2">
        <v>9</v>
      </c>
      <c r="I887" s="7">
        <v>43.04</v>
      </c>
      <c r="J887" s="2">
        <v>0</v>
      </c>
      <c r="K887" s="7">
        <v>387.36</v>
      </c>
      <c r="L887" s="2" t="s">
        <v>27</v>
      </c>
      <c r="M887" s="2" t="s">
        <v>2365</v>
      </c>
    </row>
    <row r="888" spans="1:13" x14ac:dyDescent="0.3">
      <c r="A888" s="2" t="s">
        <v>1495</v>
      </c>
      <c r="B888" s="5">
        <v>45912</v>
      </c>
      <c r="C888" s="2" t="s">
        <v>1496</v>
      </c>
      <c r="D888" s="2" t="s">
        <v>46</v>
      </c>
      <c r="E888" s="2" t="s">
        <v>124</v>
      </c>
      <c r="F888" s="2" t="s">
        <v>123</v>
      </c>
      <c r="G888" s="2" t="s">
        <v>15</v>
      </c>
      <c r="H888" s="2">
        <v>14</v>
      </c>
      <c r="I888" s="7">
        <v>31.76</v>
      </c>
      <c r="J888" s="2">
        <v>10</v>
      </c>
      <c r="K888" s="7">
        <v>400.18</v>
      </c>
      <c r="L888" s="2" t="s">
        <v>49</v>
      </c>
      <c r="M888" s="2" t="s">
        <v>2364</v>
      </c>
    </row>
    <row r="889" spans="1:13" x14ac:dyDescent="0.3">
      <c r="A889" s="2" t="s">
        <v>240</v>
      </c>
      <c r="B889" s="5">
        <v>45962</v>
      </c>
      <c r="C889" s="2" t="s">
        <v>241</v>
      </c>
      <c r="D889" s="2" t="s">
        <v>16</v>
      </c>
      <c r="E889" s="2" t="s">
        <v>91</v>
      </c>
      <c r="F889" s="2" t="s">
        <v>123</v>
      </c>
      <c r="G889" s="2" t="s">
        <v>15</v>
      </c>
      <c r="H889" s="2">
        <v>16</v>
      </c>
      <c r="I889" s="7">
        <v>28.48</v>
      </c>
      <c r="J889" s="2">
        <v>10</v>
      </c>
      <c r="K889" s="7">
        <v>410.11</v>
      </c>
      <c r="L889" s="2" t="s">
        <v>27</v>
      </c>
      <c r="M889" s="2" t="s">
        <v>2364</v>
      </c>
    </row>
    <row r="890" spans="1:13" x14ac:dyDescent="0.3">
      <c r="A890" s="2" t="s">
        <v>1370</v>
      </c>
      <c r="B890" s="5">
        <v>45828</v>
      </c>
      <c r="C890" s="2" t="s">
        <v>1371</v>
      </c>
      <c r="D890" s="2" t="s">
        <v>16</v>
      </c>
      <c r="E890" s="2" t="s">
        <v>160</v>
      </c>
      <c r="F890" s="2" t="s">
        <v>123</v>
      </c>
      <c r="G890" s="2" t="s">
        <v>15</v>
      </c>
      <c r="H890" s="2">
        <v>10</v>
      </c>
      <c r="I890" s="7">
        <v>45.93</v>
      </c>
      <c r="J890" s="2">
        <v>10</v>
      </c>
      <c r="K890" s="7">
        <v>413.37</v>
      </c>
      <c r="L890" s="2" t="s">
        <v>27</v>
      </c>
      <c r="M890" s="2" t="s">
        <v>2364</v>
      </c>
    </row>
    <row r="891" spans="1:13" x14ac:dyDescent="0.3">
      <c r="A891" s="2" t="s">
        <v>2108</v>
      </c>
      <c r="B891" s="5">
        <v>46276</v>
      </c>
      <c r="C891" s="2" t="s">
        <v>2109</v>
      </c>
      <c r="D891" s="2" t="s">
        <v>16</v>
      </c>
      <c r="E891" s="2" t="s">
        <v>111</v>
      </c>
      <c r="F891" s="2" t="s">
        <v>123</v>
      </c>
      <c r="G891" s="2" t="s">
        <v>15</v>
      </c>
      <c r="H891" s="2">
        <v>23</v>
      </c>
      <c r="I891" s="7">
        <v>18.940000000000001</v>
      </c>
      <c r="J891" s="2">
        <v>5</v>
      </c>
      <c r="K891" s="7">
        <v>413.84</v>
      </c>
      <c r="L891" s="2" t="s">
        <v>49</v>
      </c>
      <c r="M891" s="2" t="s">
        <v>2364</v>
      </c>
    </row>
    <row r="892" spans="1:13" x14ac:dyDescent="0.3">
      <c r="A892" s="2" t="s">
        <v>1808</v>
      </c>
      <c r="B892" s="5">
        <v>45702</v>
      </c>
      <c r="C892" s="2" t="s">
        <v>841</v>
      </c>
      <c r="D892" s="2" t="s">
        <v>16</v>
      </c>
      <c r="E892" s="2" t="s">
        <v>91</v>
      </c>
      <c r="F892" s="2" t="s">
        <v>123</v>
      </c>
      <c r="G892" s="2" t="s">
        <v>15</v>
      </c>
      <c r="H892" s="2">
        <v>27</v>
      </c>
      <c r="I892" s="7">
        <v>15.98</v>
      </c>
      <c r="J892" s="2">
        <v>0</v>
      </c>
      <c r="K892" s="7">
        <v>431.46</v>
      </c>
      <c r="L892" s="1" t="s">
        <v>2347</v>
      </c>
      <c r="M892" s="2" t="s">
        <v>2364</v>
      </c>
    </row>
    <row r="893" spans="1:13" x14ac:dyDescent="0.3">
      <c r="A893" s="2" t="s">
        <v>1055</v>
      </c>
      <c r="B893" s="5">
        <v>45811</v>
      </c>
      <c r="C893" s="2" t="s">
        <v>1056</v>
      </c>
      <c r="D893" s="2" t="s">
        <v>46</v>
      </c>
      <c r="E893" s="2" t="s">
        <v>244</v>
      </c>
      <c r="F893" s="2" t="s">
        <v>123</v>
      </c>
      <c r="G893" s="2" t="s">
        <v>15</v>
      </c>
      <c r="H893" s="2">
        <v>22</v>
      </c>
      <c r="I893" s="7">
        <v>25.84</v>
      </c>
      <c r="J893" s="2">
        <v>15</v>
      </c>
      <c r="K893" s="7">
        <v>483.21</v>
      </c>
      <c r="L893" s="2" t="s">
        <v>69</v>
      </c>
      <c r="M893" s="2" t="s">
        <v>2364</v>
      </c>
    </row>
    <row r="894" spans="1:13" x14ac:dyDescent="0.3">
      <c r="A894" s="2" t="s">
        <v>1499</v>
      </c>
      <c r="B894" s="5">
        <v>46204</v>
      </c>
      <c r="C894" s="2" t="s">
        <v>768</v>
      </c>
      <c r="D894" s="2" t="s">
        <v>24</v>
      </c>
      <c r="E894" s="2" t="s">
        <v>104</v>
      </c>
      <c r="F894" s="2" t="s">
        <v>123</v>
      </c>
      <c r="G894" s="2" t="s">
        <v>15</v>
      </c>
      <c r="H894" s="2">
        <v>17</v>
      </c>
      <c r="I894" s="7">
        <v>31.91</v>
      </c>
      <c r="J894" s="2">
        <v>10</v>
      </c>
      <c r="K894" s="7">
        <v>488.22</v>
      </c>
      <c r="L894" s="2" t="s">
        <v>49</v>
      </c>
      <c r="M894" s="2" t="s">
        <v>2364</v>
      </c>
    </row>
    <row r="895" spans="1:13" x14ac:dyDescent="0.3">
      <c r="A895" s="2" t="s">
        <v>1324</v>
      </c>
      <c r="B895" s="5">
        <v>46156</v>
      </c>
      <c r="C895" s="2" t="s">
        <v>1325</v>
      </c>
      <c r="D895" s="2" t="s">
        <v>24</v>
      </c>
      <c r="E895" s="2" t="s">
        <v>41</v>
      </c>
      <c r="F895" s="2" t="s">
        <v>123</v>
      </c>
      <c r="G895" s="2" t="s">
        <v>15</v>
      </c>
      <c r="H895" s="2">
        <v>21</v>
      </c>
      <c r="I895" s="7">
        <v>26.95</v>
      </c>
      <c r="J895" s="2">
        <v>10</v>
      </c>
      <c r="K895" s="7">
        <v>509.35</v>
      </c>
      <c r="L895" s="2" t="s">
        <v>49</v>
      </c>
      <c r="M895" s="2" t="s">
        <v>2364</v>
      </c>
    </row>
    <row r="896" spans="1:13" x14ac:dyDescent="0.3">
      <c r="A896" s="2" t="s">
        <v>2098</v>
      </c>
      <c r="B896" s="5">
        <v>46246</v>
      </c>
      <c r="C896" s="2" t="s">
        <v>2099</v>
      </c>
      <c r="D896" s="2" t="s">
        <v>24</v>
      </c>
      <c r="E896" s="2" t="s">
        <v>104</v>
      </c>
      <c r="F896" s="2" t="s">
        <v>123</v>
      </c>
      <c r="G896" s="2" t="s">
        <v>15</v>
      </c>
      <c r="H896" s="2">
        <v>17</v>
      </c>
      <c r="I896" s="7">
        <v>37.71</v>
      </c>
      <c r="J896" s="2">
        <v>20</v>
      </c>
      <c r="K896" s="7">
        <v>512.86</v>
      </c>
      <c r="L896" s="2" t="s">
        <v>31</v>
      </c>
      <c r="M896" s="2" t="s">
        <v>2364</v>
      </c>
    </row>
    <row r="897" spans="1:13" x14ac:dyDescent="0.3">
      <c r="A897" s="2" t="s">
        <v>1216</v>
      </c>
      <c r="B897" s="5">
        <v>45710</v>
      </c>
      <c r="C897" s="2" t="s">
        <v>1217</v>
      </c>
      <c r="D897" s="2" t="s">
        <v>16</v>
      </c>
      <c r="E897" s="2" t="s">
        <v>111</v>
      </c>
      <c r="F897" s="2" t="s">
        <v>123</v>
      </c>
      <c r="G897" s="2" t="s">
        <v>15</v>
      </c>
      <c r="H897" s="2">
        <v>30</v>
      </c>
      <c r="I897" s="7">
        <v>17.690000000000001</v>
      </c>
      <c r="J897" s="2">
        <v>0</v>
      </c>
      <c r="K897" s="7">
        <v>530.70000000000005</v>
      </c>
      <c r="L897" s="1" t="s">
        <v>2347</v>
      </c>
      <c r="M897" s="2" t="s">
        <v>2364</v>
      </c>
    </row>
    <row r="898" spans="1:13" x14ac:dyDescent="0.3">
      <c r="A898" s="2" t="s">
        <v>584</v>
      </c>
      <c r="B898" s="5">
        <v>45642</v>
      </c>
      <c r="C898" s="2" t="s">
        <v>585</v>
      </c>
      <c r="D898" s="2" t="s">
        <v>24</v>
      </c>
      <c r="E898" s="2" t="s">
        <v>25</v>
      </c>
      <c r="F898" s="2" t="s">
        <v>123</v>
      </c>
      <c r="G898" s="2" t="s">
        <v>15</v>
      </c>
      <c r="H898" s="2">
        <v>31</v>
      </c>
      <c r="I898" s="7">
        <v>19.77</v>
      </c>
      <c r="J898" s="2">
        <v>0</v>
      </c>
      <c r="K898" s="7">
        <v>612.87</v>
      </c>
      <c r="L898" s="2" t="s">
        <v>27</v>
      </c>
      <c r="M898" s="2" t="s">
        <v>2364</v>
      </c>
    </row>
    <row r="899" spans="1:13" x14ac:dyDescent="0.3">
      <c r="A899" s="2" t="s">
        <v>617</v>
      </c>
      <c r="B899" s="5">
        <v>45955</v>
      </c>
      <c r="C899" s="2" t="s">
        <v>618</v>
      </c>
      <c r="D899" s="2" t="s">
        <v>46</v>
      </c>
      <c r="E899" s="2" t="s">
        <v>78</v>
      </c>
      <c r="F899" s="2" t="s">
        <v>123</v>
      </c>
      <c r="G899" s="2" t="s">
        <v>15</v>
      </c>
      <c r="H899" s="2">
        <v>27</v>
      </c>
      <c r="I899" s="7">
        <v>23.16</v>
      </c>
      <c r="J899" s="2">
        <v>0</v>
      </c>
      <c r="K899" s="7">
        <v>625.32000000000005</v>
      </c>
      <c r="L899" s="2" t="s">
        <v>31</v>
      </c>
      <c r="M899" s="2" t="s">
        <v>2364</v>
      </c>
    </row>
    <row r="900" spans="1:13" x14ac:dyDescent="0.3">
      <c r="A900" s="2" t="s">
        <v>938</v>
      </c>
      <c r="B900" s="5">
        <v>45928</v>
      </c>
      <c r="C900" s="2" t="s">
        <v>939</v>
      </c>
      <c r="D900" s="2" t="s">
        <v>46</v>
      </c>
      <c r="E900" s="2" t="s">
        <v>83</v>
      </c>
      <c r="F900" s="2" t="s">
        <v>123</v>
      </c>
      <c r="G900" s="2" t="s">
        <v>15</v>
      </c>
      <c r="H900" s="2">
        <v>15</v>
      </c>
      <c r="I900" s="7">
        <v>42.02</v>
      </c>
      <c r="J900" s="2">
        <v>0</v>
      </c>
      <c r="K900" s="7">
        <v>630.29999999999995</v>
      </c>
      <c r="L900" s="2" t="s">
        <v>69</v>
      </c>
      <c r="M900" s="2" t="s">
        <v>2364</v>
      </c>
    </row>
    <row r="901" spans="1:13" x14ac:dyDescent="0.3">
      <c r="A901" s="2" t="s">
        <v>834</v>
      </c>
      <c r="B901" s="5">
        <v>45838</v>
      </c>
      <c r="C901" s="2" t="s">
        <v>835</v>
      </c>
      <c r="D901" s="2" t="s">
        <v>16</v>
      </c>
      <c r="E901" s="2" t="s">
        <v>17</v>
      </c>
      <c r="F901" s="2" t="s">
        <v>123</v>
      </c>
      <c r="G901" s="2" t="s">
        <v>15</v>
      </c>
      <c r="H901" s="2">
        <v>29</v>
      </c>
      <c r="I901" s="7">
        <v>25.35</v>
      </c>
      <c r="J901" s="2">
        <v>10</v>
      </c>
      <c r="K901" s="7">
        <v>661.64</v>
      </c>
      <c r="L901" s="2" t="s">
        <v>49</v>
      </c>
      <c r="M901" s="2" t="s">
        <v>2364</v>
      </c>
    </row>
    <row r="902" spans="1:13" x14ac:dyDescent="0.3">
      <c r="A902" s="2" t="s">
        <v>2026</v>
      </c>
      <c r="B902" s="5">
        <v>45952</v>
      </c>
      <c r="C902" s="2" t="s">
        <v>2027</v>
      </c>
      <c r="D902" s="2" t="s">
        <v>16</v>
      </c>
      <c r="E902" s="2" t="s">
        <v>74</v>
      </c>
      <c r="F902" s="2" t="s">
        <v>123</v>
      </c>
      <c r="G902" s="2" t="s">
        <v>15</v>
      </c>
      <c r="H902" s="2">
        <v>38</v>
      </c>
      <c r="I902" s="7">
        <v>21.77</v>
      </c>
      <c r="J902" s="2">
        <v>15</v>
      </c>
      <c r="K902" s="7">
        <v>703.17</v>
      </c>
      <c r="L902" s="1" t="s">
        <v>2347</v>
      </c>
      <c r="M902" s="2" t="s">
        <v>2364</v>
      </c>
    </row>
    <row r="903" spans="1:13" x14ac:dyDescent="0.3">
      <c r="A903" s="2" t="s">
        <v>2205</v>
      </c>
      <c r="B903" s="5">
        <v>45620</v>
      </c>
      <c r="C903" s="2" t="s">
        <v>1288</v>
      </c>
      <c r="D903" s="2" t="s">
        <v>46</v>
      </c>
      <c r="E903" s="2" t="s">
        <v>83</v>
      </c>
      <c r="F903" s="2" t="s">
        <v>123</v>
      </c>
      <c r="G903" s="2" t="s">
        <v>15</v>
      </c>
      <c r="H903" s="2">
        <v>27</v>
      </c>
      <c r="I903" s="7">
        <v>27.68</v>
      </c>
      <c r="J903" s="2">
        <v>5</v>
      </c>
      <c r="K903" s="7">
        <v>709.99</v>
      </c>
      <c r="L903" s="2" t="s">
        <v>27</v>
      </c>
      <c r="M903" s="2" t="s">
        <v>2364</v>
      </c>
    </row>
    <row r="904" spans="1:13" x14ac:dyDescent="0.3">
      <c r="A904" s="2" t="s">
        <v>2242</v>
      </c>
      <c r="B904" s="5">
        <v>46112</v>
      </c>
      <c r="C904" s="2" t="s">
        <v>2243</v>
      </c>
      <c r="D904" s="2" t="s">
        <v>16</v>
      </c>
      <c r="E904" s="2" t="s">
        <v>74</v>
      </c>
      <c r="F904" s="2" t="s">
        <v>123</v>
      </c>
      <c r="G904" s="2" t="s">
        <v>15</v>
      </c>
      <c r="H904" s="2">
        <v>40</v>
      </c>
      <c r="I904" s="7">
        <v>18.350000000000001</v>
      </c>
      <c r="J904" s="2">
        <v>0</v>
      </c>
      <c r="K904" s="7">
        <v>734</v>
      </c>
      <c r="L904" s="2" t="s">
        <v>31</v>
      </c>
      <c r="M904" s="2" t="s">
        <v>2364</v>
      </c>
    </row>
    <row r="905" spans="1:13" x14ac:dyDescent="0.3">
      <c r="A905" s="2" t="s">
        <v>2324</v>
      </c>
      <c r="B905" s="5">
        <v>45957</v>
      </c>
      <c r="C905" s="2" t="s">
        <v>865</v>
      </c>
      <c r="D905" s="2" t="s">
        <v>46</v>
      </c>
      <c r="E905" s="2" t="s">
        <v>124</v>
      </c>
      <c r="F905" s="2" t="s">
        <v>123</v>
      </c>
      <c r="G905" s="2" t="s">
        <v>15</v>
      </c>
      <c r="H905" s="2">
        <v>29</v>
      </c>
      <c r="I905" s="7">
        <v>27.82</v>
      </c>
      <c r="J905" s="2">
        <v>5</v>
      </c>
      <c r="K905" s="7">
        <v>766.44</v>
      </c>
      <c r="L905" s="2" t="s">
        <v>69</v>
      </c>
      <c r="M905" s="2" t="s">
        <v>2365</v>
      </c>
    </row>
    <row r="906" spans="1:13" x14ac:dyDescent="0.3">
      <c r="A906" s="2" t="s">
        <v>1666</v>
      </c>
      <c r="B906" s="5">
        <v>46091</v>
      </c>
      <c r="C906" s="2" t="s">
        <v>1667</v>
      </c>
      <c r="D906" s="2" t="s">
        <v>24</v>
      </c>
      <c r="E906" s="2" t="s">
        <v>36</v>
      </c>
      <c r="F906" s="2" t="s">
        <v>123</v>
      </c>
      <c r="G906" s="2" t="s">
        <v>15</v>
      </c>
      <c r="H906" s="2">
        <v>50</v>
      </c>
      <c r="I906" s="7">
        <v>15.48</v>
      </c>
      <c r="J906" s="2">
        <v>0</v>
      </c>
      <c r="K906" s="7">
        <v>774</v>
      </c>
      <c r="L906" s="2" t="s">
        <v>69</v>
      </c>
      <c r="M906" s="2" t="s">
        <v>2365</v>
      </c>
    </row>
    <row r="907" spans="1:13" x14ac:dyDescent="0.3">
      <c r="A907" s="2" t="s">
        <v>2273</v>
      </c>
      <c r="B907" s="5">
        <v>46120</v>
      </c>
      <c r="C907" s="2" t="s">
        <v>368</v>
      </c>
      <c r="D907" s="2" t="s">
        <v>16</v>
      </c>
      <c r="E907" s="2" t="s">
        <v>111</v>
      </c>
      <c r="F907" s="2" t="s">
        <v>123</v>
      </c>
      <c r="G907" s="2" t="s">
        <v>15</v>
      </c>
      <c r="H907" s="2">
        <v>17</v>
      </c>
      <c r="I907" s="7">
        <v>49.43</v>
      </c>
      <c r="J907" s="2">
        <v>0</v>
      </c>
      <c r="K907" s="7">
        <v>840.31</v>
      </c>
      <c r="L907" s="2" t="s">
        <v>27</v>
      </c>
      <c r="M907" s="2" t="s">
        <v>2364</v>
      </c>
    </row>
    <row r="908" spans="1:13" x14ac:dyDescent="0.3">
      <c r="A908" s="2" t="s">
        <v>1356</v>
      </c>
      <c r="B908" s="5">
        <v>45656</v>
      </c>
      <c r="C908" s="2" t="s">
        <v>1357</v>
      </c>
      <c r="D908" s="2" t="s">
        <v>46</v>
      </c>
      <c r="E908" s="2" t="s">
        <v>83</v>
      </c>
      <c r="F908" s="2" t="s">
        <v>123</v>
      </c>
      <c r="G908" s="2" t="s">
        <v>15</v>
      </c>
      <c r="H908" s="2">
        <v>36</v>
      </c>
      <c r="I908" s="7">
        <v>26.24</v>
      </c>
      <c r="J908" s="2">
        <v>10</v>
      </c>
      <c r="K908" s="7">
        <v>850.18</v>
      </c>
      <c r="L908" s="1" t="s">
        <v>2347</v>
      </c>
      <c r="M908" s="2" t="s">
        <v>2365</v>
      </c>
    </row>
    <row r="909" spans="1:13" x14ac:dyDescent="0.3">
      <c r="A909" s="2" t="s">
        <v>437</v>
      </c>
      <c r="B909" s="5">
        <v>45708</v>
      </c>
      <c r="C909" s="2" t="s">
        <v>438</v>
      </c>
      <c r="D909" s="2" t="s">
        <v>46</v>
      </c>
      <c r="E909" s="2" t="s">
        <v>124</v>
      </c>
      <c r="F909" s="2" t="s">
        <v>123</v>
      </c>
      <c r="G909" s="2" t="s">
        <v>15</v>
      </c>
      <c r="H909" s="2">
        <v>45</v>
      </c>
      <c r="I909" s="7">
        <v>24.38</v>
      </c>
      <c r="J909" s="2">
        <v>20</v>
      </c>
      <c r="K909" s="7">
        <v>877.68</v>
      </c>
      <c r="L909" s="2" t="s">
        <v>27</v>
      </c>
      <c r="M909" s="2" t="s">
        <v>2364</v>
      </c>
    </row>
    <row r="910" spans="1:13" x14ac:dyDescent="0.3">
      <c r="A910" s="2" t="s">
        <v>1282</v>
      </c>
      <c r="B910" s="5">
        <v>45970</v>
      </c>
      <c r="C910" s="2" t="s">
        <v>941</v>
      </c>
      <c r="D910" s="2" t="s">
        <v>46</v>
      </c>
      <c r="E910" s="2" t="s">
        <v>47</v>
      </c>
      <c r="F910" s="2" t="s">
        <v>123</v>
      </c>
      <c r="G910" s="2" t="s">
        <v>15</v>
      </c>
      <c r="H910" s="2">
        <v>40</v>
      </c>
      <c r="I910" s="7">
        <v>22.75</v>
      </c>
      <c r="J910" s="2">
        <v>0</v>
      </c>
      <c r="K910" s="7">
        <v>910</v>
      </c>
      <c r="L910" s="2" t="s">
        <v>31</v>
      </c>
      <c r="M910" s="2" t="s">
        <v>2364</v>
      </c>
    </row>
    <row r="911" spans="1:13" x14ac:dyDescent="0.3">
      <c r="A911" s="2" t="s">
        <v>1627</v>
      </c>
      <c r="B911" s="5">
        <v>46081</v>
      </c>
      <c r="C911" s="2" t="s">
        <v>1628</v>
      </c>
      <c r="D911" s="2" t="s">
        <v>24</v>
      </c>
      <c r="E911" s="2" t="s">
        <v>59</v>
      </c>
      <c r="F911" s="2" t="s">
        <v>123</v>
      </c>
      <c r="G911" s="2" t="s">
        <v>15</v>
      </c>
      <c r="H911" s="2">
        <v>19</v>
      </c>
      <c r="I911" s="7">
        <v>49.36</v>
      </c>
      <c r="J911" s="2">
        <v>0</v>
      </c>
      <c r="K911" s="7">
        <v>937.84</v>
      </c>
      <c r="L911" s="1" t="s">
        <v>2347</v>
      </c>
      <c r="M911" s="2" t="s">
        <v>2364</v>
      </c>
    </row>
    <row r="912" spans="1:13" x14ac:dyDescent="0.3">
      <c r="A912" s="2" t="s">
        <v>951</v>
      </c>
      <c r="B912" s="5">
        <v>46009</v>
      </c>
      <c r="C912" s="2" t="s">
        <v>952</v>
      </c>
      <c r="D912" s="2" t="s">
        <v>24</v>
      </c>
      <c r="E912" s="2" t="s">
        <v>25</v>
      </c>
      <c r="F912" s="2" t="s">
        <v>123</v>
      </c>
      <c r="G912" s="2" t="s">
        <v>15</v>
      </c>
      <c r="H912" s="2">
        <v>39</v>
      </c>
      <c r="I912" s="7">
        <v>30.3</v>
      </c>
      <c r="J912" s="2">
        <v>15</v>
      </c>
      <c r="K912" s="7">
        <v>1004.45</v>
      </c>
      <c r="L912" s="2" t="s">
        <v>49</v>
      </c>
      <c r="M912" s="2" t="s">
        <v>2364</v>
      </c>
    </row>
    <row r="913" spans="1:13" x14ac:dyDescent="0.3">
      <c r="A913" s="2" t="s">
        <v>756</v>
      </c>
      <c r="B913" s="5">
        <v>46016</v>
      </c>
      <c r="C913" s="2" t="s">
        <v>757</v>
      </c>
      <c r="D913" s="2" t="s">
        <v>24</v>
      </c>
      <c r="E913" s="2" t="s">
        <v>104</v>
      </c>
      <c r="F913" s="2" t="s">
        <v>123</v>
      </c>
      <c r="G913" s="2" t="s">
        <v>15</v>
      </c>
      <c r="H913" s="2">
        <v>35</v>
      </c>
      <c r="I913" s="7">
        <v>28.89</v>
      </c>
      <c r="J913" s="2">
        <v>0</v>
      </c>
      <c r="K913" s="7">
        <v>1011.15</v>
      </c>
      <c r="L913" s="2" t="s">
        <v>49</v>
      </c>
      <c r="M913" s="2" t="s">
        <v>2365</v>
      </c>
    </row>
    <row r="914" spans="1:13" x14ac:dyDescent="0.3">
      <c r="A914" s="2" t="s">
        <v>965</v>
      </c>
      <c r="B914" s="5">
        <v>46061</v>
      </c>
      <c r="C914" s="2" t="s">
        <v>966</v>
      </c>
      <c r="D914" s="2" t="s">
        <v>53</v>
      </c>
      <c r="E914" s="2" t="s">
        <v>170</v>
      </c>
      <c r="F914" s="2" t="s">
        <v>123</v>
      </c>
      <c r="G914" s="2" t="s">
        <v>15</v>
      </c>
      <c r="H914" s="2">
        <v>31</v>
      </c>
      <c r="I914" s="7">
        <v>32.93</v>
      </c>
      <c r="J914" s="2">
        <v>0</v>
      </c>
      <c r="K914" s="7">
        <v>1020.83</v>
      </c>
      <c r="L914" s="2" t="s">
        <v>49</v>
      </c>
      <c r="M914" s="2" t="s">
        <v>2365</v>
      </c>
    </row>
    <row r="915" spans="1:13" x14ac:dyDescent="0.3">
      <c r="A915" s="2" t="s">
        <v>1083</v>
      </c>
      <c r="B915" s="5">
        <v>46176</v>
      </c>
      <c r="C915" s="2" t="s">
        <v>1084</v>
      </c>
      <c r="D915" s="2" t="s">
        <v>16</v>
      </c>
      <c r="E915" s="2" t="s">
        <v>74</v>
      </c>
      <c r="F915" s="2" t="s">
        <v>123</v>
      </c>
      <c r="G915" s="2" t="s">
        <v>15</v>
      </c>
      <c r="H915" s="2">
        <v>25</v>
      </c>
      <c r="I915" s="7">
        <v>40.89</v>
      </c>
      <c r="J915" s="2">
        <v>0</v>
      </c>
      <c r="K915" s="7">
        <v>1022.25</v>
      </c>
      <c r="L915" s="2" t="s">
        <v>27</v>
      </c>
      <c r="M915" s="2" t="s">
        <v>2365</v>
      </c>
    </row>
    <row r="916" spans="1:13" x14ac:dyDescent="0.3">
      <c r="A916" s="2" t="s">
        <v>762</v>
      </c>
      <c r="B916" s="5">
        <v>46160</v>
      </c>
      <c r="C916" s="2" t="s">
        <v>763</v>
      </c>
      <c r="D916" s="2" t="s">
        <v>24</v>
      </c>
      <c r="E916" s="2" t="s">
        <v>104</v>
      </c>
      <c r="F916" s="2" t="s">
        <v>123</v>
      </c>
      <c r="G916" s="2" t="s">
        <v>15</v>
      </c>
      <c r="H916" s="2">
        <v>50</v>
      </c>
      <c r="I916" s="7">
        <v>20.6</v>
      </c>
      <c r="J916" s="2">
        <v>0</v>
      </c>
      <c r="K916" s="7">
        <v>1030</v>
      </c>
      <c r="L916" s="2" t="s">
        <v>69</v>
      </c>
      <c r="M916" s="2" t="s">
        <v>2364</v>
      </c>
    </row>
    <row r="917" spans="1:13" x14ac:dyDescent="0.3">
      <c r="A917" s="2" t="s">
        <v>298</v>
      </c>
      <c r="B917" s="5">
        <v>45800</v>
      </c>
      <c r="C917" s="2" t="s">
        <v>299</v>
      </c>
      <c r="D917" s="2" t="s">
        <v>16</v>
      </c>
      <c r="E917" s="2" t="s">
        <v>17</v>
      </c>
      <c r="F917" s="2" t="s">
        <v>123</v>
      </c>
      <c r="G917" s="2" t="s">
        <v>15</v>
      </c>
      <c r="H917" s="2">
        <v>33</v>
      </c>
      <c r="I917" s="7">
        <v>33.409999999999997</v>
      </c>
      <c r="J917" s="2">
        <v>5</v>
      </c>
      <c r="K917" s="7">
        <v>1047.4000000000001</v>
      </c>
      <c r="L917" s="2" t="s">
        <v>27</v>
      </c>
      <c r="M917" s="2" t="s">
        <v>2365</v>
      </c>
    </row>
    <row r="918" spans="1:13" x14ac:dyDescent="0.3">
      <c r="A918" s="2" t="s">
        <v>208</v>
      </c>
      <c r="B918" s="5">
        <v>45668</v>
      </c>
      <c r="C918" s="2" t="s">
        <v>209</v>
      </c>
      <c r="D918" s="2" t="s">
        <v>16</v>
      </c>
      <c r="E918" s="2" t="s">
        <v>74</v>
      </c>
      <c r="F918" s="2" t="s">
        <v>123</v>
      </c>
      <c r="G918" s="2" t="s">
        <v>15</v>
      </c>
      <c r="H918" s="2">
        <v>26</v>
      </c>
      <c r="I918" s="7">
        <v>41.19</v>
      </c>
      <c r="J918" s="2">
        <v>0</v>
      </c>
      <c r="K918" s="7">
        <v>1070.94</v>
      </c>
      <c r="L918" s="1" t="s">
        <v>2347</v>
      </c>
      <c r="M918" s="2" t="s">
        <v>2364</v>
      </c>
    </row>
    <row r="919" spans="1:13" x14ac:dyDescent="0.3">
      <c r="A919" s="2" t="s">
        <v>940</v>
      </c>
      <c r="B919" s="5">
        <v>45735</v>
      </c>
      <c r="C919" s="2" t="s">
        <v>941</v>
      </c>
      <c r="D919" s="2" t="s">
        <v>16</v>
      </c>
      <c r="E919" s="2" t="s">
        <v>74</v>
      </c>
      <c r="F919" s="2" t="s">
        <v>123</v>
      </c>
      <c r="G919" s="2" t="s">
        <v>15</v>
      </c>
      <c r="H919" s="2">
        <v>47</v>
      </c>
      <c r="I919" s="7">
        <v>24.28</v>
      </c>
      <c r="J919" s="2">
        <v>5</v>
      </c>
      <c r="K919" s="7">
        <v>1084.0999999999999</v>
      </c>
      <c r="L919" s="2" t="s">
        <v>31</v>
      </c>
      <c r="M919" s="2" t="s">
        <v>2364</v>
      </c>
    </row>
    <row r="920" spans="1:13" x14ac:dyDescent="0.3">
      <c r="A920" s="2" t="s">
        <v>2215</v>
      </c>
      <c r="B920" s="5">
        <v>45797</v>
      </c>
      <c r="C920" s="2" t="s">
        <v>2216</v>
      </c>
      <c r="D920" s="2" t="s">
        <v>16</v>
      </c>
      <c r="E920" s="2" t="s">
        <v>91</v>
      </c>
      <c r="F920" s="2" t="s">
        <v>123</v>
      </c>
      <c r="G920" s="2" t="s">
        <v>15</v>
      </c>
      <c r="H920" s="2">
        <v>48</v>
      </c>
      <c r="I920" s="7">
        <v>29.37</v>
      </c>
      <c r="J920" s="2">
        <v>20</v>
      </c>
      <c r="K920" s="7">
        <v>1127.81</v>
      </c>
      <c r="L920" s="2" t="s">
        <v>49</v>
      </c>
      <c r="M920" s="2" t="s">
        <v>2364</v>
      </c>
    </row>
    <row r="921" spans="1:13" x14ac:dyDescent="0.3">
      <c r="A921" s="2" t="s">
        <v>1698</v>
      </c>
      <c r="B921" s="5">
        <v>45874</v>
      </c>
      <c r="C921" s="2" t="s">
        <v>1699</v>
      </c>
      <c r="D921" s="2" t="s">
        <v>53</v>
      </c>
      <c r="E921" s="2" t="s">
        <v>134</v>
      </c>
      <c r="F921" s="2" t="s">
        <v>123</v>
      </c>
      <c r="G921" s="2" t="s">
        <v>15</v>
      </c>
      <c r="H921" s="2">
        <v>28</v>
      </c>
      <c r="I921" s="7">
        <v>42.43</v>
      </c>
      <c r="J921" s="2">
        <v>0</v>
      </c>
      <c r="K921" s="7">
        <v>1188.04</v>
      </c>
      <c r="L921" s="2" t="s">
        <v>69</v>
      </c>
      <c r="M921" s="2" t="s">
        <v>2364</v>
      </c>
    </row>
    <row r="922" spans="1:13" x14ac:dyDescent="0.3">
      <c r="A922" s="2" t="s">
        <v>1274</v>
      </c>
      <c r="B922" s="5">
        <v>46284</v>
      </c>
      <c r="C922" s="2" t="s">
        <v>1275</v>
      </c>
      <c r="D922" s="2" t="s">
        <v>46</v>
      </c>
      <c r="E922" s="2" t="s">
        <v>244</v>
      </c>
      <c r="F922" s="2" t="s">
        <v>123</v>
      </c>
      <c r="G922" s="2" t="s">
        <v>15</v>
      </c>
      <c r="H922" s="2">
        <v>41</v>
      </c>
      <c r="I922" s="7">
        <v>36.479999999999997</v>
      </c>
      <c r="J922" s="2">
        <v>20</v>
      </c>
      <c r="K922" s="7">
        <v>1196.54</v>
      </c>
      <c r="L922" s="2" t="s">
        <v>69</v>
      </c>
      <c r="M922" s="2" t="s">
        <v>2364</v>
      </c>
    </row>
    <row r="923" spans="1:13" x14ac:dyDescent="0.3">
      <c r="A923" s="2" t="s">
        <v>1993</v>
      </c>
      <c r="B923" s="5">
        <v>46090</v>
      </c>
      <c r="C923" s="2" t="s">
        <v>1994</v>
      </c>
      <c r="D923" s="2" t="s">
        <v>24</v>
      </c>
      <c r="E923" s="2" t="s">
        <v>36</v>
      </c>
      <c r="F923" s="2" t="s">
        <v>123</v>
      </c>
      <c r="G923" s="2" t="s">
        <v>15</v>
      </c>
      <c r="H923" s="2">
        <v>33</v>
      </c>
      <c r="I923" s="7">
        <v>38.200000000000003</v>
      </c>
      <c r="J923" s="2">
        <v>5</v>
      </c>
      <c r="K923" s="7">
        <v>1197.57</v>
      </c>
      <c r="L923" s="2" t="s">
        <v>27</v>
      </c>
      <c r="M923" s="2" t="s">
        <v>2364</v>
      </c>
    </row>
    <row r="924" spans="1:13" x14ac:dyDescent="0.3">
      <c r="A924" s="2" t="s">
        <v>358</v>
      </c>
      <c r="B924" s="5">
        <v>45825</v>
      </c>
      <c r="C924" s="2" t="s">
        <v>359</v>
      </c>
      <c r="D924" s="2" t="s">
        <v>24</v>
      </c>
      <c r="E924" s="2" t="s">
        <v>41</v>
      </c>
      <c r="F924" s="2" t="s">
        <v>123</v>
      </c>
      <c r="G924" s="2" t="s">
        <v>15</v>
      </c>
      <c r="H924" s="2">
        <v>34</v>
      </c>
      <c r="I924" s="7">
        <v>44.07</v>
      </c>
      <c r="J924" s="2">
        <v>10</v>
      </c>
      <c r="K924" s="7">
        <v>1348.54</v>
      </c>
      <c r="L924" s="2" t="s">
        <v>31</v>
      </c>
      <c r="M924" s="2" t="s">
        <v>2364</v>
      </c>
    </row>
    <row r="925" spans="1:13" x14ac:dyDescent="0.3">
      <c r="A925" s="2" t="s">
        <v>1175</v>
      </c>
      <c r="B925" s="5">
        <v>45950</v>
      </c>
      <c r="C925" s="2" t="s">
        <v>882</v>
      </c>
      <c r="D925" s="2" t="s">
        <v>16</v>
      </c>
      <c r="E925" s="2" t="s">
        <v>74</v>
      </c>
      <c r="F925" s="2" t="s">
        <v>123</v>
      </c>
      <c r="G925" s="2" t="s">
        <v>15</v>
      </c>
      <c r="H925" s="2">
        <v>43</v>
      </c>
      <c r="I925" s="7">
        <v>34.79</v>
      </c>
      <c r="J925" s="2">
        <v>5</v>
      </c>
      <c r="K925" s="7">
        <v>1421.17</v>
      </c>
      <c r="L925" s="2" t="s">
        <v>69</v>
      </c>
      <c r="M925" s="2" t="s">
        <v>2364</v>
      </c>
    </row>
    <row r="926" spans="1:13" x14ac:dyDescent="0.3">
      <c r="A926" s="2" t="s">
        <v>431</v>
      </c>
      <c r="B926" s="5">
        <v>46251</v>
      </c>
      <c r="C926" s="2" t="s">
        <v>432</v>
      </c>
      <c r="D926" s="2" t="s">
        <v>24</v>
      </c>
      <c r="E926" s="2" t="s">
        <v>25</v>
      </c>
      <c r="F926" s="2" t="s">
        <v>123</v>
      </c>
      <c r="G926" s="2" t="s">
        <v>15</v>
      </c>
      <c r="H926" s="2">
        <v>39</v>
      </c>
      <c r="I926" s="7">
        <v>39.200000000000003</v>
      </c>
      <c r="J926" s="2">
        <v>5</v>
      </c>
      <c r="K926" s="7">
        <v>1452.36</v>
      </c>
      <c r="L926" s="1" t="s">
        <v>2347</v>
      </c>
      <c r="M926" s="2" t="s">
        <v>2364</v>
      </c>
    </row>
    <row r="927" spans="1:13" x14ac:dyDescent="0.3">
      <c r="A927" s="2" t="s">
        <v>269</v>
      </c>
      <c r="B927" s="5">
        <v>46225</v>
      </c>
      <c r="C927" s="2" t="s">
        <v>270</v>
      </c>
      <c r="D927" s="2" t="s">
        <v>46</v>
      </c>
      <c r="E927" s="2" t="s">
        <v>83</v>
      </c>
      <c r="F927" s="2" t="s">
        <v>123</v>
      </c>
      <c r="G927" s="2" t="s">
        <v>15</v>
      </c>
      <c r="H927" s="2">
        <v>32</v>
      </c>
      <c r="I927" s="7">
        <v>45.39</v>
      </c>
      <c r="J927" s="2">
        <v>0</v>
      </c>
      <c r="K927" s="7">
        <v>1452.48</v>
      </c>
      <c r="L927" s="1" t="s">
        <v>2347</v>
      </c>
      <c r="M927" s="2" t="s">
        <v>2365</v>
      </c>
    </row>
    <row r="928" spans="1:13" x14ac:dyDescent="0.3">
      <c r="A928" s="2" t="s">
        <v>2110</v>
      </c>
      <c r="B928" s="5">
        <v>46164</v>
      </c>
      <c r="C928" s="2" t="s">
        <v>2111</v>
      </c>
      <c r="D928" s="2" t="s">
        <v>53</v>
      </c>
      <c r="E928" s="2" t="s">
        <v>141</v>
      </c>
      <c r="F928" s="2" t="s">
        <v>123</v>
      </c>
      <c r="G928" s="2" t="s">
        <v>15</v>
      </c>
      <c r="H928" s="2">
        <v>34</v>
      </c>
      <c r="I928" s="7">
        <v>48.24</v>
      </c>
      <c r="J928" s="2">
        <v>0</v>
      </c>
      <c r="K928" s="7">
        <v>1640.16</v>
      </c>
      <c r="L928" s="2" t="s">
        <v>31</v>
      </c>
      <c r="M928" s="2" t="s">
        <v>2364</v>
      </c>
    </row>
    <row r="929" spans="1:13" x14ac:dyDescent="0.3">
      <c r="A929" s="2" t="s">
        <v>1687</v>
      </c>
      <c r="B929" s="5">
        <v>45866</v>
      </c>
      <c r="C929" s="2" t="s">
        <v>1688</v>
      </c>
      <c r="D929" s="2" t="s">
        <v>16</v>
      </c>
      <c r="E929" s="2" t="s">
        <v>17</v>
      </c>
      <c r="F929" s="2" t="s">
        <v>123</v>
      </c>
      <c r="G929" s="2" t="s">
        <v>15</v>
      </c>
      <c r="H929" s="2">
        <v>47</v>
      </c>
      <c r="I929" s="7">
        <v>35.04</v>
      </c>
      <c r="J929" s="2">
        <v>0</v>
      </c>
      <c r="K929" s="7">
        <v>1646.88</v>
      </c>
      <c r="L929" s="2" t="s">
        <v>27</v>
      </c>
      <c r="M929" s="2" t="s">
        <v>2364</v>
      </c>
    </row>
    <row r="930" spans="1:13" x14ac:dyDescent="0.3">
      <c r="A930" s="2" t="s">
        <v>1128</v>
      </c>
      <c r="B930" s="5">
        <v>45748</v>
      </c>
      <c r="C930" s="2" t="s">
        <v>1129</v>
      </c>
      <c r="D930" s="2" t="s">
        <v>24</v>
      </c>
      <c r="E930" s="2" t="s">
        <v>25</v>
      </c>
      <c r="F930" s="2" t="s">
        <v>123</v>
      </c>
      <c r="G930" s="2" t="s">
        <v>15</v>
      </c>
      <c r="H930" s="2">
        <v>44</v>
      </c>
      <c r="I930" s="7">
        <v>46.78</v>
      </c>
      <c r="J930" s="2">
        <v>10</v>
      </c>
      <c r="K930" s="7">
        <v>1852.49</v>
      </c>
      <c r="L930" s="2" t="s">
        <v>69</v>
      </c>
      <c r="M930" s="2" t="s">
        <v>2364</v>
      </c>
    </row>
    <row r="931" spans="1:13" x14ac:dyDescent="0.3">
      <c r="A931" s="2" t="s">
        <v>1779</v>
      </c>
      <c r="B931" s="5">
        <v>46040</v>
      </c>
      <c r="C931" s="2" t="s">
        <v>932</v>
      </c>
      <c r="D931" s="2" t="s">
        <v>16</v>
      </c>
      <c r="E931" s="2" t="s">
        <v>111</v>
      </c>
      <c r="F931" s="2" t="s">
        <v>14</v>
      </c>
      <c r="G931" s="2" t="s">
        <v>15</v>
      </c>
      <c r="H931" s="2">
        <v>1</v>
      </c>
      <c r="I931" s="7">
        <v>62.8</v>
      </c>
      <c r="J931" s="2">
        <v>5</v>
      </c>
      <c r="K931" s="7">
        <v>59.66</v>
      </c>
      <c r="L931" s="2" t="s">
        <v>27</v>
      </c>
      <c r="M931" s="2" t="s">
        <v>2364</v>
      </c>
    </row>
    <row r="932" spans="1:13" x14ac:dyDescent="0.3">
      <c r="A932" s="2" t="s">
        <v>2285</v>
      </c>
      <c r="B932" s="5">
        <v>45995</v>
      </c>
      <c r="C932" s="2" t="s">
        <v>2127</v>
      </c>
      <c r="D932" s="2" t="s">
        <v>53</v>
      </c>
      <c r="E932" s="2" t="s">
        <v>170</v>
      </c>
      <c r="F932" s="2" t="s">
        <v>14</v>
      </c>
      <c r="G932" s="2" t="s">
        <v>15</v>
      </c>
      <c r="H932" s="2">
        <v>3</v>
      </c>
      <c r="I932" s="7">
        <v>54.83</v>
      </c>
      <c r="J932" s="2">
        <v>20</v>
      </c>
      <c r="K932" s="7">
        <v>131.59</v>
      </c>
      <c r="L932" s="2" t="s">
        <v>49</v>
      </c>
      <c r="M932" s="2" t="s">
        <v>2364</v>
      </c>
    </row>
    <row r="933" spans="1:13" x14ac:dyDescent="0.3">
      <c r="A933" s="2" t="s">
        <v>803</v>
      </c>
      <c r="B933" s="5">
        <v>46255</v>
      </c>
      <c r="C933" s="2" t="s">
        <v>804</v>
      </c>
      <c r="D933" s="2" t="s">
        <v>53</v>
      </c>
      <c r="E933" s="2" t="s">
        <v>141</v>
      </c>
      <c r="F933" s="2" t="s">
        <v>14</v>
      </c>
      <c r="G933" s="2" t="s">
        <v>15</v>
      </c>
      <c r="H933" s="2">
        <v>3</v>
      </c>
      <c r="I933" s="7">
        <v>53.83</v>
      </c>
      <c r="J933" s="2">
        <v>5</v>
      </c>
      <c r="K933" s="7">
        <v>153.41999999999999</v>
      </c>
      <c r="L933" s="2" t="s">
        <v>49</v>
      </c>
      <c r="M933" s="2" t="s">
        <v>2365</v>
      </c>
    </row>
    <row r="934" spans="1:13" x14ac:dyDescent="0.3">
      <c r="A934" s="2" t="s">
        <v>2115</v>
      </c>
      <c r="B934" s="5">
        <v>46024</v>
      </c>
      <c r="C934" s="2" t="s">
        <v>2116</v>
      </c>
      <c r="D934" s="2" t="s">
        <v>24</v>
      </c>
      <c r="E934" s="2" t="s">
        <v>25</v>
      </c>
      <c r="F934" s="2" t="s">
        <v>14</v>
      </c>
      <c r="G934" s="2" t="s">
        <v>15</v>
      </c>
      <c r="H934" s="2">
        <v>5</v>
      </c>
      <c r="I934" s="7">
        <v>50.89</v>
      </c>
      <c r="J934" s="2">
        <v>5</v>
      </c>
      <c r="K934" s="7">
        <v>241.73</v>
      </c>
      <c r="L934" s="2" t="s">
        <v>69</v>
      </c>
      <c r="M934" s="2" t="s">
        <v>2365</v>
      </c>
    </row>
    <row r="935" spans="1:13" x14ac:dyDescent="0.3">
      <c r="A935" s="2" t="s">
        <v>2339</v>
      </c>
      <c r="B935" s="5">
        <v>46199</v>
      </c>
      <c r="C935" s="2" t="s">
        <v>2032</v>
      </c>
      <c r="D935" s="2" t="s">
        <v>24</v>
      </c>
      <c r="E935" s="2" t="s">
        <v>41</v>
      </c>
      <c r="F935" s="2" t="s">
        <v>14</v>
      </c>
      <c r="G935" s="2" t="s">
        <v>15</v>
      </c>
      <c r="H935" s="2">
        <v>10</v>
      </c>
      <c r="I935" s="7">
        <v>42.74</v>
      </c>
      <c r="J935" s="2">
        <v>20</v>
      </c>
      <c r="K935" s="7">
        <v>341.92</v>
      </c>
      <c r="L935" s="1" t="s">
        <v>2347</v>
      </c>
      <c r="M935" s="2" t="s">
        <v>2364</v>
      </c>
    </row>
    <row r="936" spans="1:13" x14ac:dyDescent="0.3">
      <c r="A936" s="2" t="s">
        <v>1387</v>
      </c>
      <c r="B936" s="5">
        <v>46184</v>
      </c>
      <c r="C936" s="2" t="s">
        <v>1388</v>
      </c>
      <c r="D936" s="2" t="s">
        <v>24</v>
      </c>
      <c r="E936" s="2" t="s">
        <v>41</v>
      </c>
      <c r="F936" s="2" t="s">
        <v>14</v>
      </c>
      <c r="G936" s="2" t="s">
        <v>15</v>
      </c>
      <c r="H936" s="2">
        <v>5</v>
      </c>
      <c r="I936" s="7">
        <v>72.37</v>
      </c>
      <c r="J936" s="2">
        <v>5</v>
      </c>
      <c r="K936" s="7">
        <v>343.76</v>
      </c>
      <c r="L936" s="2" t="s">
        <v>31</v>
      </c>
      <c r="M936" s="2" t="s">
        <v>2364</v>
      </c>
    </row>
    <row r="937" spans="1:13" x14ac:dyDescent="0.3">
      <c r="A937" s="2" t="s">
        <v>2238</v>
      </c>
      <c r="B937" s="5">
        <v>45913</v>
      </c>
      <c r="C937" s="2" t="s">
        <v>1452</v>
      </c>
      <c r="D937" s="2" t="s">
        <v>53</v>
      </c>
      <c r="E937" s="2" t="s">
        <v>54</v>
      </c>
      <c r="F937" s="2" t="s">
        <v>14</v>
      </c>
      <c r="G937" s="2" t="s">
        <v>15</v>
      </c>
      <c r="H937" s="2">
        <v>7</v>
      </c>
      <c r="I937" s="7">
        <v>50.64</v>
      </c>
      <c r="J937" s="2">
        <v>0</v>
      </c>
      <c r="K937" s="7">
        <v>354.48</v>
      </c>
      <c r="L937" s="2" t="s">
        <v>49</v>
      </c>
      <c r="M937" s="2" t="s">
        <v>2365</v>
      </c>
    </row>
    <row r="938" spans="1:13" x14ac:dyDescent="0.3">
      <c r="A938" s="2" t="s">
        <v>1943</v>
      </c>
      <c r="B938" s="5">
        <v>46020</v>
      </c>
      <c r="C938" s="2" t="s">
        <v>1944</v>
      </c>
      <c r="D938" s="2" t="s">
        <v>46</v>
      </c>
      <c r="E938" s="2" t="s">
        <v>244</v>
      </c>
      <c r="F938" s="2" t="s">
        <v>14</v>
      </c>
      <c r="G938" s="2" t="s">
        <v>15</v>
      </c>
      <c r="H938" s="2">
        <v>10</v>
      </c>
      <c r="I938" s="7">
        <v>44.06</v>
      </c>
      <c r="J938" s="2">
        <v>15</v>
      </c>
      <c r="K938" s="7">
        <v>374.51</v>
      </c>
      <c r="L938" s="2" t="s">
        <v>31</v>
      </c>
      <c r="M938" s="2" t="s">
        <v>2364</v>
      </c>
    </row>
    <row r="939" spans="1:13" x14ac:dyDescent="0.3">
      <c r="A939" s="2" t="s">
        <v>2163</v>
      </c>
      <c r="B939" s="5">
        <v>45616</v>
      </c>
      <c r="C939" s="2" t="s">
        <v>1208</v>
      </c>
      <c r="D939" s="2" t="s">
        <v>24</v>
      </c>
      <c r="E939" s="2" t="s">
        <v>36</v>
      </c>
      <c r="F939" s="2" t="s">
        <v>14</v>
      </c>
      <c r="G939" s="2" t="s">
        <v>15</v>
      </c>
      <c r="H939" s="2">
        <v>16</v>
      </c>
      <c r="I939" s="7">
        <v>44.92</v>
      </c>
      <c r="J939" s="2">
        <v>20</v>
      </c>
      <c r="K939" s="7">
        <v>574.98</v>
      </c>
      <c r="L939" s="2" t="s">
        <v>31</v>
      </c>
      <c r="M939" s="2" t="s">
        <v>2364</v>
      </c>
    </row>
    <row r="940" spans="1:13" x14ac:dyDescent="0.3">
      <c r="A940" s="2" t="s">
        <v>1038</v>
      </c>
      <c r="B940" s="5">
        <v>46014</v>
      </c>
      <c r="C940" s="2" t="s">
        <v>879</v>
      </c>
      <c r="D940" s="2" t="s">
        <v>46</v>
      </c>
      <c r="E940" s="2" t="s">
        <v>124</v>
      </c>
      <c r="F940" s="2" t="s">
        <v>14</v>
      </c>
      <c r="G940" s="2" t="s">
        <v>15</v>
      </c>
      <c r="H940" s="2">
        <v>7</v>
      </c>
      <c r="I940" s="7">
        <v>104.55</v>
      </c>
      <c r="J940" s="2">
        <v>5</v>
      </c>
      <c r="K940" s="7">
        <v>695.26</v>
      </c>
      <c r="L940" s="2" t="s">
        <v>49</v>
      </c>
      <c r="M940" s="2" t="s">
        <v>2364</v>
      </c>
    </row>
    <row r="941" spans="1:13" x14ac:dyDescent="0.3">
      <c r="A941" s="2" t="s">
        <v>2038</v>
      </c>
      <c r="B941" s="5">
        <v>45729</v>
      </c>
      <c r="C941" s="2" t="s">
        <v>2039</v>
      </c>
      <c r="D941" s="2" t="s">
        <v>46</v>
      </c>
      <c r="E941" s="2" t="s">
        <v>47</v>
      </c>
      <c r="F941" s="2" t="s">
        <v>14</v>
      </c>
      <c r="G941" s="2" t="s">
        <v>15</v>
      </c>
      <c r="H941" s="2">
        <v>14</v>
      </c>
      <c r="I941" s="7">
        <v>50.92</v>
      </c>
      <c r="J941" s="2">
        <v>0</v>
      </c>
      <c r="K941" s="7">
        <v>712.88</v>
      </c>
      <c r="L941" s="2" t="s">
        <v>27</v>
      </c>
      <c r="M941" s="2" t="s">
        <v>2364</v>
      </c>
    </row>
    <row r="942" spans="1:13" x14ac:dyDescent="0.3">
      <c r="A942" s="2" t="s">
        <v>1456</v>
      </c>
      <c r="B942" s="5">
        <v>45721</v>
      </c>
      <c r="C942" s="2" t="s">
        <v>1457</v>
      </c>
      <c r="D942" s="2" t="s">
        <v>53</v>
      </c>
      <c r="E942" s="2" t="s">
        <v>170</v>
      </c>
      <c r="F942" s="2" t="s">
        <v>14</v>
      </c>
      <c r="G942" s="2" t="s">
        <v>15</v>
      </c>
      <c r="H942" s="2">
        <v>10</v>
      </c>
      <c r="I942" s="7">
        <v>91.1</v>
      </c>
      <c r="J942" s="2">
        <v>20</v>
      </c>
      <c r="K942" s="7">
        <v>728.8</v>
      </c>
      <c r="L942" s="1" t="s">
        <v>2347</v>
      </c>
      <c r="M942" s="2" t="s">
        <v>2365</v>
      </c>
    </row>
    <row r="943" spans="1:13" x14ac:dyDescent="0.3">
      <c r="A943" s="2" t="s">
        <v>1017</v>
      </c>
      <c r="B943" s="5">
        <v>45801</v>
      </c>
      <c r="C943" s="2" t="s">
        <v>1018</v>
      </c>
      <c r="D943" s="2" t="s">
        <v>53</v>
      </c>
      <c r="E943" s="2" t="s">
        <v>170</v>
      </c>
      <c r="F943" s="2" t="s">
        <v>14</v>
      </c>
      <c r="G943" s="2" t="s">
        <v>15</v>
      </c>
      <c r="H943" s="2">
        <v>8</v>
      </c>
      <c r="I943" s="7">
        <v>100.35</v>
      </c>
      <c r="J943" s="2">
        <v>0</v>
      </c>
      <c r="K943" s="7">
        <v>802.8</v>
      </c>
      <c r="L943" s="2" t="s">
        <v>49</v>
      </c>
      <c r="M943" s="2" t="s">
        <v>2364</v>
      </c>
    </row>
    <row r="944" spans="1:13" x14ac:dyDescent="0.3">
      <c r="A944" s="2" t="s">
        <v>2037</v>
      </c>
      <c r="B944" s="5">
        <v>46124</v>
      </c>
      <c r="C944" s="2" t="s">
        <v>217</v>
      </c>
      <c r="D944" s="2" t="s">
        <v>53</v>
      </c>
      <c r="E944" s="2" t="s">
        <v>54</v>
      </c>
      <c r="F944" s="2" t="s">
        <v>14</v>
      </c>
      <c r="G944" s="2" t="s">
        <v>15</v>
      </c>
      <c r="H944" s="2">
        <v>21</v>
      </c>
      <c r="I944" s="7">
        <v>43.09</v>
      </c>
      <c r="J944" s="2">
        <v>10</v>
      </c>
      <c r="K944" s="7">
        <v>814.4</v>
      </c>
      <c r="L944" s="2" t="s">
        <v>27</v>
      </c>
      <c r="M944" s="2" t="s">
        <v>2364</v>
      </c>
    </row>
    <row r="945" spans="1:13" x14ac:dyDescent="0.3">
      <c r="A945" s="2" t="s">
        <v>1464</v>
      </c>
      <c r="B945" s="5">
        <v>45732</v>
      </c>
      <c r="C945" s="2" t="s">
        <v>77</v>
      </c>
      <c r="D945" s="2" t="s">
        <v>24</v>
      </c>
      <c r="E945" s="2" t="s">
        <v>25</v>
      </c>
      <c r="F945" s="2" t="s">
        <v>14</v>
      </c>
      <c r="G945" s="2" t="s">
        <v>15</v>
      </c>
      <c r="H945" s="2">
        <v>21</v>
      </c>
      <c r="I945" s="7">
        <v>46.51</v>
      </c>
      <c r="J945" s="2">
        <v>15</v>
      </c>
      <c r="K945" s="7">
        <v>830.2</v>
      </c>
      <c r="L945" s="2" t="s">
        <v>31</v>
      </c>
      <c r="M945" s="2" t="s">
        <v>2364</v>
      </c>
    </row>
    <row r="946" spans="1:13" x14ac:dyDescent="0.3">
      <c r="A946" s="2" t="s">
        <v>1221</v>
      </c>
      <c r="B946" s="5">
        <v>45705</v>
      </c>
      <c r="C946" s="2" t="s">
        <v>1222</v>
      </c>
      <c r="D946" s="2" t="s">
        <v>16</v>
      </c>
      <c r="E946" s="2" t="s">
        <v>111</v>
      </c>
      <c r="F946" s="2" t="s">
        <v>14</v>
      </c>
      <c r="G946" s="2" t="s">
        <v>15</v>
      </c>
      <c r="H946" s="2">
        <v>11</v>
      </c>
      <c r="I946" s="7">
        <v>83.49</v>
      </c>
      <c r="J946" s="2">
        <v>0</v>
      </c>
      <c r="K946" s="7">
        <v>918.39</v>
      </c>
      <c r="L946" s="2" t="s">
        <v>27</v>
      </c>
      <c r="M946" s="2" t="s">
        <v>2364</v>
      </c>
    </row>
    <row r="947" spans="1:13" x14ac:dyDescent="0.3">
      <c r="A947" s="2" t="s">
        <v>1633</v>
      </c>
      <c r="B947" s="5">
        <v>45750</v>
      </c>
      <c r="C947" s="2" t="s">
        <v>1634</v>
      </c>
      <c r="D947" s="2" t="s">
        <v>16</v>
      </c>
      <c r="E947" s="2" t="s">
        <v>160</v>
      </c>
      <c r="F947" s="2" t="s">
        <v>14</v>
      </c>
      <c r="G947" s="2" t="s">
        <v>15</v>
      </c>
      <c r="H947" s="2">
        <v>12</v>
      </c>
      <c r="I947" s="7">
        <v>92.37</v>
      </c>
      <c r="J947" s="2">
        <v>15</v>
      </c>
      <c r="K947" s="7">
        <v>942.17</v>
      </c>
      <c r="L947" s="2" t="s">
        <v>27</v>
      </c>
      <c r="M947" s="2" t="s">
        <v>2364</v>
      </c>
    </row>
    <row r="948" spans="1:13" x14ac:dyDescent="0.3">
      <c r="A948" s="2" t="s">
        <v>1942</v>
      </c>
      <c r="B948" s="5">
        <v>45755</v>
      </c>
      <c r="C948" s="2" t="s">
        <v>150</v>
      </c>
      <c r="D948" s="2" t="s">
        <v>16</v>
      </c>
      <c r="E948" s="2" t="s">
        <v>91</v>
      </c>
      <c r="F948" s="2" t="s">
        <v>14</v>
      </c>
      <c r="G948" s="2" t="s">
        <v>15</v>
      </c>
      <c r="H948" s="2">
        <v>21</v>
      </c>
      <c r="I948" s="7">
        <v>45.77</v>
      </c>
      <c r="J948" s="2">
        <v>0</v>
      </c>
      <c r="K948" s="7">
        <v>961.17</v>
      </c>
      <c r="L948" s="2" t="s">
        <v>31</v>
      </c>
      <c r="M948" s="2" t="s">
        <v>2364</v>
      </c>
    </row>
    <row r="949" spans="1:13" x14ac:dyDescent="0.3">
      <c r="A949" s="2" t="s">
        <v>640</v>
      </c>
      <c r="B949" s="5">
        <v>45649</v>
      </c>
      <c r="C949" s="2" t="s">
        <v>641</v>
      </c>
      <c r="D949" s="2" t="s">
        <v>16</v>
      </c>
      <c r="E949" s="2" t="s">
        <v>74</v>
      </c>
      <c r="F949" s="2" t="s">
        <v>14</v>
      </c>
      <c r="G949" s="2" t="s">
        <v>15</v>
      </c>
      <c r="H949" s="2">
        <v>22</v>
      </c>
      <c r="I949" s="7">
        <v>55.03</v>
      </c>
      <c r="J949" s="2">
        <v>20</v>
      </c>
      <c r="K949" s="7">
        <v>968.53</v>
      </c>
      <c r="L949" s="2" t="s">
        <v>49</v>
      </c>
      <c r="M949" s="2" t="s">
        <v>2364</v>
      </c>
    </row>
    <row r="950" spans="1:13" x14ac:dyDescent="0.3">
      <c r="A950" s="2" t="s">
        <v>1997</v>
      </c>
      <c r="B950" s="5">
        <v>45961</v>
      </c>
      <c r="C950" s="2" t="s">
        <v>1998</v>
      </c>
      <c r="D950" s="2" t="s">
        <v>24</v>
      </c>
      <c r="E950" s="2" t="s">
        <v>41</v>
      </c>
      <c r="F950" s="2" t="s">
        <v>14</v>
      </c>
      <c r="G950" s="2" t="s">
        <v>15</v>
      </c>
      <c r="H950" s="2">
        <v>13</v>
      </c>
      <c r="I950" s="7">
        <v>78.92</v>
      </c>
      <c r="J950" s="2">
        <v>0</v>
      </c>
      <c r="K950" s="7">
        <v>1025.96</v>
      </c>
      <c r="L950" s="2" t="s">
        <v>49</v>
      </c>
      <c r="M950" s="2" t="s">
        <v>2364</v>
      </c>
    </row>
    <row r="951" spans="1:13" x14ac:dyDescent="0.3">
      <c r="A951" s="2" t="s">
        <v>315</v>
      </c>
      <c r="B951" s="5">
        <v>45746</v>
      </c>
      <c r="C951" s="2" t="s">
        <v>197</v>
      </c>
      <c r="D951" s="2" t="s">
        <v>53</v>
      </c>
      <c r="E951" s="2" t="s">
        <v>67</v>
      </c>
      <c r="F951" s="2" t="s">
        <v>14</v>
      </c>
      <c r="G951" s="2" t="s">
        <v>15</v>
      </c>
      <c r="H951" s="2">
        <v>16</v>
      </c>
      <c r="I951" s="7">
        <v>81.290000000000006</v>
      </c>
      <c r="J951" s="2">
        <v>15</v>
      </c>
      <c r="K951" s="7">
        <v>1105.54</v>
      </c>
      <c r="L951" s="2" t="s">
        <v>49</v>
      </c>
      <c r="M951" s="2" t="s">
        <v>2365</v>
      </c>
    </row>
    <row r="952" spans="1:13" x14ac:dyDescent="0.3">
      <c r="A952" s="2" t="s">
        <v>205</v>
      </c>
      <c r="B952" s="5">
        <v>45811</v>
      </c>
      <c r="C952" s="2" t="s">
        <v>206</v>
      </c>
      <c r="D952" s="2" t="s">
        <v>46</v>
      </c>
      <c r="E952" s="2" t="s">
        <v>78</v>
      </c>
      <c r="F952" s="2" t="s">
        <v>14</v>
      </c>
      <c r="G952" s="2" t="s">
        <v>15</v>
      </c>
      <c r="H952" s="2">
        <v>27</v>
      </c>
      <c r="I952" s="7">
        <v>60.57</v>
      </c>
      <c r="J952" s="2">
        <v>20</v>
      </c>
      <c r="K952" s="7">
        <v>1308.31</v>
      </c>
      <c r="L952" s="1" t="s">
        <v>2347</v>
      </c>
      <c r="M952" s="2" t="s">
        <v>2365</v>
      </c>
    </row>
    <row r="953" spans="1:13" x14ac:dyDescent="0.3">
      <c r="A953" s="2" t="s">
        <v>785</v>
      </c>
      <c r="B953" s="5">
        <v>46090</v>
      </c>
      <c r="C953" s="2" t="s">
        <v>786</v>
      </c>
      <c r="D953" s="2" t="s">
        <v>46</v>
      </c>
      <c r="E953" s="2" t="s">
        <v>83</v>
      </c>
      <c r="F953" s="2" t="s">
        <v>14</v>
      </c>
      <c r="G953" s="2" t="s">
        <v>15</v>
      </c>
      <c r="H953" s="2">
        <v>14</v>
      </c>
      <c r="I953" s="7">
        <v>99.27</v>
      </c>
      <c r="J953" s="2">
        <v>5</v>
      </c>
      <c r="K953" s="7">
        <v>1320.29</v>
      </c>
      <c r="L953" s="2" t="s">
        <v>31</v>
      </c>
      <c r="M953" s="2" t="s">
        <v>2365</v>
      </c>
    </row>
    <row r="954" spans="1:13" x14ac:dyDescent="0.3">
      <c r="A954" s="2" t="s">
        <v>1249</v>
      </c>
      <c r="B954" s="5">
        <v>45714</v>
      </c>
      <c r="C954" s="2" t="s">
        <v>1250</v>
      </c>
      <c r="D954" s="2" t="s">
        <v>53</v>
      </c>
      <c r="E954" s="2" t="s">
        <v>141</v>
      </c>
      <c r="F954" s="2" t="s">
        <v>14</v>
      </c>
      <c r="G954" s="2" t="s">
        <v>15</v>
      </c>
      <c r="H954" s="2">
        <v>32</v>
      </c>
      <c r="I954" s="7">
        <v>41.47</v>
      </c>
      <c r="J954" s="2">
        <v>0</v>
      </c>
      <c r="K954" s="7">
        <v>1327.04</v>
      </c>
      <c r="L954" s="2" t="s">
        <v>27</v>
      </c>
      <c r="M954" s="2" t="s">
        <v>2364</v>
      </c>
    </row>
    <row r="955" spans="1:13" x14ac:dyDescent="0.3">
      <c r="A955" s="2" t="s">
        <v>1135</v>
      </c>
      <c r="B955" s="5">
        <v>46098</v>
      </c>
      <c r="C955" s="2" t="s">
        <v>1136</v>
      </c>
      <c r="D955" s="2" t="s">
        <v>16</v>
      </c>
      <c r="E955" s="2" t="s">
        <v>91</v>
      </c>
      <c r="F955" s="2" t="s">
        <v>14</v>
      </c>
      <c r="G955" s="2" t="s">
        <v>15</v>
      </c>
      <c r="H955" s="2">
        <v>34</v>
      </c>
      <c r="I955" s="7">
        <v>41.92</v>
      </c>
      <c r="J955" s="2">
        <v>5</v>
      </c>
      <c r="K955" s="7">
        <v>1354.02</v>
      </c>
      <c r="L955" s="2" t="s">
        <v>31</v>
      </c>
      <c r="M955" s="2" t="s">
        <v>2364</v>
      </c>
    </row>
    <row r="956" spans="1:13" x14ac:dyDescent="0.3">
      <c r="A956" s="2" t="s">
        <v>1023</v>
      </c>
      <c r="B956" s="5">
        <v>46082</v>
      </c>
      <c r="C956" s="2" t="s">
        <v>1024</v>
      </c>
      <c r="D956" s="2" t="s">
        <v>16</v>
      </c>
      <c r="E956" s="2" t="s">
        <v>17</v>
      </c>
      <c r="F956" s="2" t="s">
        <v>14</v>
      </c>
      <c r="G956" s="2" t="s">
        <v>15</v>
      </c>
      <c r="H956" s="2">
        <v>17</v>
      </c>
      <c r="I956" s="7">
        <v>88.77</v>
      </c>
      <c r="J956" s="2">
        <v>5</v>
      </c>
      <c r="K956" s="7">
        <v>1433.64</v>
      </c>
      <c r="L956" s="2" t="s">
        <v>27</v>
      </c>
      <c r="M956" s="2" t="s">
        <v>2364</v>
      </c>
    </row>
    <row r="957" spans="1:13" x14ac:dyDescent="0.3">
      <c r="A957" s="2" t="s">
        <v>146</v>
      </c>
      <c r="B957" s="5">
        <v>45655</v>
      </c>
      <c r="C957" s="2" t="s">
        <v>147</v>
      </c>
      <c r="D957" s="2" t="s">
        <v>46</v>
      </c>
      <c r="E957" s="2" t="s">
        <v>47</v>
      </c>
      <c r="F957" s="2" t="s">
        <v>14</v>
      </c>
      <c r="G957" s="2" t="s">
        <v>15</v>
      </c>
      <c r="H957" s="2">
        <v>33</v>
      </c>
      <c r="I957" s="7">
        <v>45.28</v>
      </c>
      <c r="J957" s="2">
        <v>0</v>
      </c>
      <c r="K957" s="7">
        <v>1494.24</v>
      </c>
      <c r="L957" s="2" t="s">
        <v>31</v>
      </c>
      <c r="M957" s="2" t="s">
        <v>2364</v>
      </c>
    </row>
    <row r="958" spans="1:13" x14ac:dyDescent="0.3">
      <c r="A958" s="2" t="s">
        <v>2193</v>
      </c>
      <c r="B958" s="5">
        <v>45931</v>
      </c>
      <c r="C958" s="2" t="s">
        <v>2194</v>
      </c>
      <c r="D958" s="2" t="s">
        <v>24</v>
      </c>
      <c r="E958" s="2" t="s">
        <v>36</v>
      </c>
      <c r="F958" s="2" t="s">
        <v>14</v>
      </c>
      <c r="G958" s="2" t="s">
        <v>15</v>
      </c>
      <c r="H958" s="2">
        <v>14</v>
      </c>
      <c r="I958" s="7">
        <v>119.23</v>
      </c>
      <c r="J958" s="2">
        <v>10</v>
      </c>
      <c r="K958" s="7">
        <v>1502.3</v>
      </c>
      <c r="L958" s="2" t="s">
        <v>31</v>
      </c>
      <c r="M958" s="2" t="s">
        <v>2364</v>
      </c>
    </row>
    <row r="959" spans="1:13" x14ac:dyDescent="0.3">
      <c r="A959" s="2" t="s">
        <v>2091</v>
      </c>
      <c r="B959" s="5">
        <v>45629</v>
      </c>
      <c r="C959" s="2" t="s">
        <v>2092</v>
      </c>
      <c r="D959" s="2" t="s">
        <v>16</v>
      </c>
      <c r="E959" s="2" t="s">
        <v>160</v>
      </c>
      <c r="F959" s="2" t="s">
        <v>14</v>
      </c>
      <c r="G959" s="2" t="s">
        <v>15</v>
      </c>
      <c r="H959" s="2">
        <v>25</v>
      </c>
      <c r="I959" s="7">
        <v>61.35</v>
      </c>
      <c r="J959" s="2">
        <v>0</v>
      </c>
      <c r="K959" s="7">
        <v>1533.75</v>
      </c>
      <c r="L959" s="2" t="s">
        <v>69</v>
      </c>
      <c r="M959" s="2" t="s">
        <v>2364</v>
      </c>
    </row>
    <row r="960" spans="1:13" x14ac:dyDescent="0.3">
      <c r="A960" s="2" t="s">
        <v>1194</v>
      </c>
      <c r="B960" s="5">
        <v>45726</v>
      </c>
      <c r="C960" s="2" t="s">
        <v>1195</v>
      </c>
      <c r="D960" s="2" t="s">
        <v>53</v>
      </c>
      <c r="E960" s="2" t="s">
        <v>134</v>
      </c>
      <c r="F960" s="2" t="s">
        <v>14</v>
      </c>
      <c r="G960" s="2" t="s">
        <v>15</v>
      </c>
      <c r="H960" s="2">
        <v>25</v>
      </c>
      <c r="I960" s="7">
        <v>78.510000000000005</v>
      </c>
      <c r="J960" s="2">
        <v>20</v>
      </c>
      <c r="K960" s="7">
        <v>1570.2</v>
      </c>
      <c r="L960" s="2" t="s">
        <v>49</v>
      </c>
      <c r="M960" s="2" t="s">
        <v>2364</v>
      </c>
    </row>
    <row r="961" spans="1:13" x14ac:dyDescent="0.3">
      <c r="A961" s="2" t="s">
        <v>2023</v>
      </c>
      <c r="B961" s="5">
        <v>45797</v>
      </c>
      <c r="C961" s="2" t="s">
        <v>1797</v>
      </c>
      <c r="D961" s="2" t="s">
        <v>24</v>
      </c>
      <c r="E961" s="2" t="s">
        <v>36</v>
      </c>
      <c r="F961" s="2" t="s">
        <v>14</v>
      </c>
      <c r="G961" s="2" t="s">
        <v>15</v>
      </c>
      <c r="H961" s="2">
        <v>23</v>
      </c>
      <c r="I961" s="7">
        <v>73.03</v>
      </c>
      <c r="J961" s="2">
        <v>5</v>
      </c>
      <c r="K961" s="7">
        <v>1595.71</v>
      </c>
      <c r="L961" s="1" t="s">
        <v>2347</v>
      </c>
      <c r="M961" s="2" t="s">
        <v>2364</v>
      </c>
    </row>
    <row r="962" spans="1:13" x14ac:dyDescent="0.3">
      <c r="A962" s="2" t="s">
        <v>1923</v>
      </c>
      <c r="B962" s="5">
        <v>46259</v>
      </c>
      <c r="C962" s="2" t="s">
        <v>1924</v>
      </c>
      <c r="D962" s="2" t="s">
        <v>53</v>
      </c>
      <c r="E962" s="2" t="s">
        <v>134</v>
      </c>
      <c r="F962" s="2" t="s">
        <v>14</v>
      </c>
      <c r="G962" s="2" t="s">
        <v>15</v>
      </c>
      <c r="H962" s="2">
        <v>18</v>
      </c>
      <c r="I962" s="7">
        <v>94.82</v>
      </c>
      <c r="J962" s="2">
        <v>5</v>
      </c>
      <c r="K962" s="7">
        <v>1621.42</v>
      </c>
      <c r="L962" s="2" t="s">
        <v>31</v>
      </c>
      <c r="M962" s="2" t="s">
        <v>2364</v>
      </c>
    </row>
    <row r="963" spans="1:13" x14ac:dyDescent="0.3">
      <c r="A963" s="2" t="s">
        <v>149</v>
      </c>
      <c r="B963" s="5">
        <v>46159</v>
      </c>
      <c r="C963" s="2" t="s">
        <v>150</v>
      </c>
      <c r="D963" s="2" t="s">
        <v>24</v>
      </c>
      <c r="E963" s="2" t="s">
        <v>104</v>
      </c>
      <c r="F963" s="2" t="s">
        <v>14</v>
      </c>
      <c r="G963" s="2" t="s">
        <v>15</v>
      </c>
      <c r="H963" s="2">
        <v>20</v>
      </c>
      <c r="I963" s="7">
        <v>97.14</v>
      </c>
      <c r="J963" s="2">
        <v>15</v>
      </c>
      <c r="K963" s="7">
        <v>1651.38</v>
      </c>
      <c r="L963" s="2" t="s">
        <v>31</v>
      </c>
      <c r="M963" s="2" t="s">
        <v>2365</v>
      </c>
    </row>
    <row r="964" spans="1:13" x14ac:dyDescent="0.3">
      <c r="A964" s="2" t="s">
        <v>507</v>
      </c>
      <c r="B964" s="5">
        <v>45964</v>
      </c>
      <c r="C964" s="2" t="s">
        <v>508</v>
      </c>
      <c r="D964" s="2" t="s">
        <v>24</v>
      </c>
      <c r="E964" s="2" t="s">
        <v>25</v>
      </c>
      <c r="F964" s="2" t="s">
        <v>14</v>
      </c>
      <c r="G964" s="2" t="s">
        <v>15</v>
      </c>
      <c r="H964" s="2">
        <v>30</v>
      </c>
      <c r="I964" s="7">
        <v>59.43</v>
      </c>
      <c r="J964" s="2">
        <v>5</v>
      </c>
      <c r="K964" s="7">
        <v>1693.76</v>
      </c>
      <c r="L964" s="2" t="s">
        <v>69</v>
      </c>
      <c r="M964" s="2" t="s">
        <v>2364</v>
      </c>
    </row>
    <row r="965" spans="1:13" x14ac:dyDescent="0.3">
      <c r="A965" s="2" t="s">
        <v>2314</v>
      </c>
      <c r="B965" s="5">
        <v>45662</v>
      </c>
      <c r="C965" s="2" t="s">
        <v>1936</v>
      </c>
      <c r="D965" s="2" t="s">
        <v>24</v>
      </c>
      <c r="E965" s="2" t="s">
        <v>104</v>
      </c>
      <c r="F965" s="2" t="s">
        <v>14</v>
      </c>
      <c r="G965" s="2" t="s">
        <v>15</v>
      </c>
      <c r="H965" s="2">
        <v>34</v>
      </c>
      <c r="I965" s="7">
        <v>50.69</v>
      </c>
      <c r="J965" s="2">
        <v>0</v>
      </c>
      <c r="K965" s="7">
        <v>1723.46</v>
      </c>
      <c r="L965" s="2" t="s">
        <v>69</v>
      </c>
      <c r="M965" s="2" t="s">
        <v>2365</v>
      </c>
    </row>
    <row r="966" spans="1:13" x14ac:dyDescent="0.3">
      <c r="A966" s="2" t="s">
        <v>2166</v>
      </c>
      <c r="B966" s="5">
        <v>46246</v>
      </c>
      <c r="C966" s="2" t="s">
        <v>256</v>
      </c>
      <c r="D966" s="2" t="s">
        <v>16</v>
      </c>
      <c r="E966" s="2" t="s">
        <v>74</v>
      </c>
      <c r="F966" s="2" t="s">
        <v>14</v>
      </c>
      <c r="G966" s="2" t="s">
        <v>15</v>
      </c>
      <c r="H966" s="2">
        <v>23</v>
      </c>
      <c r="I966" s="7">
        <v>78.56</v>
      </c>
      <c r="J966" s="2">
        <v>0</v>
      </c>
      <c r="K966" s="7">
        <v>1806.88</v>
      </c>
      <c r="L966" s="2" t="s">
        <v>31</v>
      </c>
      <c r="M966" s="2" t="s">
        <v>2364</v>
      </c>
    </row>
    <row r="967" spans="1:13" x14ac:dyDescent="0.3">
      <c r="A967" s="2" t="s">
        <v>1612</v>
      </c>
      <c r="B967" s="5">
        <v>45587</v>
      </c>
      <c r="C967" s="2" t="s">
        <v>1613</v>
      </c>
      <c r="D967" s="2" t="s">
        <v>16</v>
      </c>
      <c r="E967" s="2" t="s">
        <v>111</v>
      </c>
      <c r="F967" s="2" t="s">
        <v>14</v>
      </c>
      <c r="G967" s="2" t="s">
        <v>15</v>
      </c>
      <c r="H967" s="2">
        <v>19</v>
      </c>
      <c r="I967" s="7">
        <v>102.04</v>
      </c>
      <c r="J967" s="2">
        <v>5</v>
      </c>
      <c r="K967" s="7">
        <v>1841.82</v>
      </c>
      <c r="L967" s="2" t="s">
        <v>69</v>
      </c>
      <c r="M967" s="2" t="s">
        <v>2365</v>
      </c>
    </row>
    <row r="968" spans="1:13" x14ac:dyDescent="0.3">
      <c r="A968" s="2" t="s">
        <v>384</v>
      </c>
      <c r="B968" s="5">
        <v>45779</v>
      </c>
      <c r="C968" s="2" t="s">
        <v>385</v>
      </c>
      <c r="D968" s="2" t="s">
        <v>16</v>
      </c>
      <c r="E968" s="2" t="s">
        <v>111</v>
      </c>
      <c r="F968" s="2" t="s">
        <v>14</v>
      </c>
      <c r="G968" s="2" t="s">
        <v>15</v>
      </c>
      <c r="H968" s="2">
        <v>22</v>
      </c>
      <c r="I968" s="7">
        <v>100.57</v>
      </c>
      <c r="J968" s="2">
        <v>10</v>
      </c>
      <c r="K968" s="7">
        <v>1991.29</v>
      </c>
      <c r="L968" s="1" t="s">
        <v>2347</v>
      </c>
      <c r="M968" s="2" t="s">
        <v>2364</v>
      </c>
    </row>
    <row r="969" spans="1:13" x14ac:dyDescent="0.3">
      <c r="A969" s="2" t="s">
        <v>2105</v>
      </c>
      <c r="B969" s="5">
        <v>46010</v>
      </c>
      <c r="C969" s="2" t="s">
        <v>2106</v>
      </c>
      <c r="D969" s="2" t="s">
        <v>16</v>
      </c>
      <c r="E969" s="2" t="s">
        <v>74</v>
      </c>
      <c r="F969" s="2" t="s">
        <v>14</v>
      </c>
      <c r="G969" s="2" t="s">
        <v>15</v>
      </c>
      <c r="H969" s="2">
        <v>30</v>
      </c>
      <c r="I969" s="7">
        <v>66.64</v>
      </c>
      <c r="J969" s="2">
        <v>0</v>
      </c>
      <c r="K969" s="7">
        <v>1999.2</v>
      </c>
      <c r="L969" s="2" t="s">
        <v>69</v>
      </c>
      <c r="M969" s="2" t="s">
        <v>2364</v>
      </c>
    </row>
    <row r="970" spans="1:13" x14ac:dyDescent="0.3">
      <c r="A970" s="2" t="s">
        <v>1573</v>
      </c>
      <c r="B970" s="5">
        <v>45617</v>
      </c>
      <c r="C970" s="2" t="s">
        <v>359</v>
      </c>
      <c r="D970" s="2" t="s">
        <v>24</v>
      </c>
      <c r="E970" s="2" t="s">
        <v>25</v>
      </c>
      <c r="F970" s="2" t="s">
        <v>14</v>
      </c>
      <c r="G970" s="2" t="s">
        <v>15</v>
      </c>
      <c r="H970" s="2">
        <v>29</v>
      </c>
      <c r="I970" s="7">
        <v>72.61</v>
      </c>
      <c r="J970" s="2">
        <v>0</v>
      </c>
      <c r="K970" s="7">
        <v>2105.69</v>
      </c>
      <c r="L970" s="2" t="s">
        <v>69</v>
      </c>
      <c r="M970" s="2" t="s">
        <v>2364</v>
      </c>
    </row>
    <row r="971" spans="1:13" x14ac:dyDescent="0.3">
      <c r="A971" s="2" t="s">
        <v>889</v>
      </c>
      <c r="B971" s="5">
        <v>45574</v>
      </c>
      <c r="C971" s="2" t="s">
        <v>890</v>
      </c>
      <c r="D971" s="2" t="s">
        <v>16</v>
      </c>
      <c r="E971" s="2" t="s">
        <v>17</v>
      </c>
      <c r="F971" s="2" t="s">
        <v>14</v>
      </c>
      <c r="G971" s="2" t="s">
        <v>15</v>
      </c>
      <c r="H971" s="2">
        <v>26</v>
      </c>
      <c r="I971" s="7">
        <v>91</v>
      </c>
      <c r="J971" s="2">
        <v>10</v>
      </c>
      <c r="K971" s="7">
        <v>2129.4</v>
      </c>
      <c r="L971" s="2" t="s">
        <v>69</v>
      </c>
      <c r="M971" s="2" t="s">
        <v>2364</v>
      </c>
    </row>
    <row r="972" spans="1:13" x14ac:dyDescent="0.3">
      <c r="A972" s="2" t="s">
        <v>1385</v>
      </c>
      <c r="B972" s="5">
        <v>45943</v>
      </c>
      <c r="C972" s="2" t="s">
        <v>1386</v>
      </c>
      <c r="D972" s="2" t="s">
        <v>46</v>
      </c>
      <c r="E972" s="2" t="s">
        <v>124</v>
      </c>
      <c r="F972" s="2" t="s">
        <v>14</v>
      </c>
      <c r="G972" s="2" t="s">
        <v>15</v>
      </c>
      <c r="H972" s="2">
        <v>43</v>
      </c>
      <c r="I972" s="7">
        <v>63.19</v>
      </c>
      <c r="J972" s="2">
        <v>20</v>
      </c>
      <c r="K972" s="7">
        <v>2173.7399999999998</v>
      </c>
      <c r="L972" s="2" t="s">
        <v>49</v>
      </c>
      <c r="M972" s="2" t="s">
        <v>2364</v>
      </c>
    </row>
    <row r="973" spans="1:13" x14ac:dyDescent="0.3">
      <c r="A973" s="2" t="s">
        <v>1580</v>
      </c>
      <c r="B973" s="5">
        <v>46036</v>
      </c>
      <c r="C973" s="2" t="s">
        <v>1581</v>
      </c>
      <c r="D973" s="2" t="s">
        <v>46</v>
      </c>
      <c r="E973" s="2" t="s">
        <v>124</v>
      </c>
      <c r="F973" s="2" t="s">
        <v>14</v>
      </c>
      <c r="G973" s="2" t="s">
        <v>15</v>
      </c>
      <c r="H973" s="2">
        <v>44</v>
      </c>
      <c r="I973" s="7">
        <v>55.8</v>
      </c>
      <c r="J973" s="2">
        <v>10</v>
      </c>
      <c r="K973" s="7">
        <v>2209.6799999999998</v>
      </c>
      <c r="L973" s="2" t="s">
        <v>69</v>
      </c>
      <c r="M973" s="2" t="s">
        <v>2364</v>
      </c>
    </row>
    <row r="974" spans="1:13" x14ac:dyDescent="0.3">
      <c r="A974" s="2" t="s">
        <v>1952</v>
      </c>
      <c r="B974" s="5">
        <v>46119</v>
      </c>
      <c r="C974" s="2" t="s">
        <v>1452</v>
      </c>
      <c r="D974" s="2" t="s">
        <v>53</v>
      </c>
      <c r="E974" s="2" t="s">
        <v>67</v>
      </c>
      <c r="F974" s="2" t="s">
        <v>14</v>
      </c>
      <c r="G974" s="2" t="s">
        <v>15</v>
      </c>
      <c r="H974" s="2">
        <v>38</v>
      </c>
      <c r="I974" s="7">
        <v>70.099999999999994</v>
      </c>
      <c r="J974" s="2">
        <v>15</v>
      </c>
      <c r="K974" s="7">
        <v>2264.23</v>
      </c>
      <c r="L974" s="2" t="s">
        <v>27</v>
      </c>
      <c r="M974" s="2" t="s">
        <v>2364</v>
      </c>
    </row>
    <row r="975" spans="1:13" x14ac:dyDescent="0.3">
      <c r="A975" s="2" t="s">
        <v>1080</v>
      </c>
      <c r="B975" s="5">
        <v>45684</v>
      </c>
      <c r="C975" s="2" t="s">
        <v>1081</v>
      </c>
      <c r="D975" s="2" t="s">
        <v>24</v>
      </c>
      <c r="E975" s="2" t="s">
        <v>104</v>
      </c>
      <c r="F975" s="2" t="s">
        <v>14</v>
      </c>
      <c r="G975" s="2" t="s">
        <v>15</v>
      </c>
      <c r="H975" s="2">
        <v>26</v>
      </c>
      <c r="I975" s="7">
        <v>97.89</v>
      </c>
      <c r="J975" s="2">
        <v>10</v>
      </c>
      <c r="K975" s="7">
        <v>2290.63</v>
      </c>
      <c r="L975" s="2" t="s">
        <v>27</v>
      </c>
      <c r="M975" s="2" t="s">
        <v>2364</v>
      </c>
    </row>
    <row r="976" spans="1:13" x14ac:dyDescent="0.3">
      <c r="A976" s="2" t="s">
        <v>1823</v>
      </c>
      <c r="B976" s="5">
        <v>45945</v>
      </c>
      <c r="C976" s="2" t="s">
        <v>1824</v>
      </c>
      <c r="D976" s="2" t="s">
        <v>16</v>
      </c>
      <c r="E976" s="2" t="s">
        <v>91</v>
      </c>
      <c r="F976" s="2" t="s">
        <v>14</v>
      </c>
      <c r="G976" s="2" t="s">
        <v>15</v>
      </c>
      <c r="H976" s="2">
        <v>42</v>
      </c>
      <c r="I976" s="7">
        <v>55.48</v>
      </c>
      <c r="J976" s="2">
        <v>0</v>
      </c>
      <c r="K976" s="7">
        <v>2330.16</v>
      </c>
      <c r="L976" s="2" t="s">
        <v>49</v>
      </c>
      <c r="M976" s="2" t="s">
        <v>2364</v>
      </c>
    </row>
    <row r="977" spans="1:13" x14ac:dyDescent="0.3">
      <c r="A977" s="2" t="s">
        <v>783</v>
      </c>
      <c r="B977" s="5">
        <v>45670</v>
      </c>
      <c r="C977" s="2" t="s">
        <v>784</v>
      </c>
      <c r="D977" s="2" t="s">
        <v>24</v>
      </c>
      <c r="E977" s="2" t="s">
        <v>41</v>
      </c>
      <c r="F977" s="2" t="s">
        <v>14</v>
      </c>
      <c r="G977" s="2" t="s">
        <v>15</v>
      </c>
      <c r="H977" s="2">
        <v>21</v>
      </c>
      <c r="I977" s="7">
        <v>113.63</v>
      </c>
      <c r="J977" s="2">
        <v>0</v>
      </c>
      <c r="K977" s="7">
        <v>2386.23</v>
      </c>
      <c r="L977" s="1" t="s">
        <v>2347</v>
      </c>
      <c r="M977" s="2" t="s">
        <v>2365</v>
      </c>
    </row>
    <row r="978" spans="1:13" x14ac:dyDescent="0.3">
      <c r="A978" s="2" t="s">
        <v>594</v>
      </c>
      <c r="B978" s="5">
        <v>45599</v>
      </c>
      <c r="C978" s="2" t="s">
        <v>595</v>
      </c>
      <c r="D978" s="2" t="s">
        <v>24</v>
      </c>
      <c r="E978" s="2" t="s">
        <v>41</v>
      </c>
      <c r="F978" s="2" t="s">
        <v>14</v>
      </c>
      <c r="G978" s="2" t="s">
        <v>15</v>
      </c>
      <c r="H978" s="2">
        <v>37</v>
      </c>
      <c r="I978" s="7">
        <v>70.95</v>
      </c>
      <c r="J978" s="2">
        <v>5</v>
      </c>
      <c r="K978" s="7">
        <v>2493.89</v>
      </c>
      <c r="L978" s="1" t="s">
        <v>2347</v>
      </c>
      <c r="M978" s="2" t="s">
        <v>2365</v>
      </c>
    </row>
    <row r="979" spans="1:13" x14ac:dyDescent="0.3">
      <c r="A979" s="2" t="s">
        <v>1988</v>
      </c>
      <c r="B979" s="5">
        <v>45631</v>
      </c>
      <c r="C979" s="2" t="s">
        <v>692</v>
      </c>
      <c r="D979" s="2" t="s">
        <v>16</v>
      </c>
      <c r="E979" s="2" t="s">
        <v>17</v>
      </c>
      <c r="F979" s="2" t="s">
        <v>14</v>
      </c>
      <c r="G979" s="2" t="s">
        <v>15</v>
      </c>
      <c r="H979" s="2">
        <v>33</v>
      </c>
      <c r="I979" s="7">
        <v>98.23</v>
      </c>
      <c r="J979" s="2">
        <v>20</v>
      </c>
      <c r="K979" s="7">
        <v>2593.27</v>
      </c>
      <c r="L979" s="1" t="s">
        <v>2347</v>
      </c>
      <c r="M979" s="2" t="s">
        <v>2364</v>
      </c>
    </row>
    <row r="980" spans="1:13" x14ac:dyDescent="0.3">
      <c r="A980" s="2" t="s">
        <v>1812</v>
      </c>
      <c r="B980" s="5">
        <v>45720</v>
      </c>
      <c r="C980" s="2" t="s">
        <v>1813</v>
      </c>
      <c r="D980" s="2" t="s">
        <v>53</v>
      </c>
      <c r="E980" s="2" t="s">
        <v>134</v>
      </c>
      <c r="F980" s="2" t="s">
        <v>14</v>
      </c>
      <c r="G980" s="2" t="s">
        <v>15</v>
      </c>
      <c r="H980" s="2">
        <v>28</v>
      </c>
      <c r="I980" s="7">
        <v>96.43</v>
      </c>
      <c r="J980" s="2">
        <v>0</v>
      </c>
      <c r="K980" s="7">
        <v>2700.04</v>
      </c>
      <c r="L980" s="2" t="s">
        <v>27</v>
      </c>
      <c r="M980" s="2" t="s">
        <v>2364</v>
      </c>
    </row>
    <row r="981" spans="1:13" x14ac:dyDescent="0.3">
      <c r="A981" s="2" t="s">
        <v>524</v>
      </c>
      <c r="B981" s="5">
        <v>45762</v>
      </c>
      <c r="C981" s="2" t="s">
        <v>525</v>
      </c>
      <c r="D981" s="2" t="s">
        <v>46</v>
      </c>
      <c r="E981" s="2" t="s">
        <v>78</v>
      </c>
      <c r="F981" s="2" t="s">
        <v>14</v>
      </c>
      <c r="G981" s="2" t="s">
        <v>15</v>
      </c>
      <c r="H981" s="2">
        <v>44</v>
      </c>
      <c r="I981" s="7">
        <v>67.94</v>
      </c>
      <c r="J981" s="2">
        <v>5</v>
      </c>
      <c r="K981" s="7">
        <v>2839.89</v>
      </c>
      <c r="L981" s="2" t="s">
        <v>31</v>
      </c>
      <c r="M981" s="2" t="s">
        <v>2364</v>
      </c>
    </row>
    <row r="982" spans="1:13" x14ac:dyDescent="0.3">
      <c r="A982" s="2" t="s">
        <v>12</v>
      </c>
      <c r="B982" s="5">
        <v>45682</v>
      </c>
      <c r="C982" s="2" t="s">
        <v>13</v>
      </c>
      <c r="D982" s="2" t="s">
        <v>16</v>
      </c>
      <c r="E982" s="2" t="s">
        <v>17</v>
      </c>
      <c r="F982" s="2" t="s">
        <v>14</v>
      </c>
      <c r="G982" s="2" t="s">
        <v>15</v>
      </c>
      <c r="H982" s="2">
        <v>31</v>
      </c>
      <c r="I982" s="7">
        <v>118.96</v>
      </c>
      <c r="J982" s="2">
        <v>20</v>
      </c>
      <c r="K982" s="7">
        <v>2950.21</v>
      </c>
      <c r="L982" s="1" t="s">
        <v>2347</v>
      </c>
      <c r="M982" s="2" t="s">
        <v>2364</v>
      </c>
    </row>
    <row r="983" spans="1:13" x14ac:dyDescent="0.3">
      <c r="A983" s="2" t="s">
        <v>927</v>
      </c>
      <c r="B983" s="5">
        <v>45915</v>
      </c>
      <c r="C983" s="2" t="s">
        <v>928</v>
      </c>
      <c r="D983" s="2" t="s">
        <v>46</v>
      </c>
      <c r="E983" s="2" t="s">
        <v>124</v>
      </c>
      <c r="F983" s="2" t="s">
        <v>14</v>
      </c>
      <c r="G983" s="2" t="s">
        <v>15</v>
      </c>
      <c r="H983" s="2">
        <v>31</v>
      </c>
      <c r="I983" s="7">
        <v>96.35</v>
      </c>
      <c r="J983" s="2">
        <v>0</v>
      </c>
      <c r="K983" s="7">
        <v>2986.85</v>
      </c>
      <c r="L983" s="2" t="s">
        <v>69</v>
      </c>
      <c r="M983" s="2" t="s">
        <v>2364</v>
      </c>
    </row>
    <row r="984" spans="1:13" x14ac:dyDescent="0.3">
      <c r="A984" s="2" t="s">
        <v>1515</v>
      </c>
      <c r="B984" s="5">
        <v>46300</v>
      </c>
      <c r="C984" s="2" t="s">
        <v>1516</v>
      </c>
      <c r="D984" s="2" t="s">
        <v>53</v>
      </c>
      <c r="E984" s="2" t="s">
        <v>67</v>
      </c>
      <c r="F984" s="2" t="s">
        <v>14</v>
      </c>
      <c r="G984" s="2" t="s">
        <v>15</v>
      </c>
      <c r="H984" s="2">
        <v>30</v>
      </c>
      <c r="I984" s="7">
        <v>105</v>
      </c>
      <c r="J984" s="2">
        <v>5</v>
      </c>
      <c r="K984" s="7">
        <v>2992.5</v>
      </c>
      <c r="L984" s="2" t="s">
        <v>31</v>
      </c>
      <c r="M984" s="2" t="s">
        <v>2365</v>
      </c>
    </row>
    <row r="985" spans="1:13" x14ac:dyDescent="0.3">
      <c r="A985" s="2" t="s">
        <v>413</v>
      </c>
      <c r="B985" s="5">
        <v>46022</v>
      </c>
      <c r="C985" s="2" t="s">
        <v>414</v>
      </c>
      <c r="D985" s="2" t="s">
        <v>53</v>
      </c>
      <c r="E985" s="2" t="s">
        <v>67</v>
      </c>
      <c r="F985" s="2" t="s">
        <v>14</v>
      </c>
      <c r="G985" s="2" t="s">
        <v>15</v>
      </c>
      <c r="H985" s="2">
        <v>36</v>
      </c>
      <c r="I985" s="7">
        <v>84.11</v>
      </c>
      <c r="J985" s="2">
        <v>0</v>
      </c>
      <c r="K985" s="7">
        <v>3027.96</v>
      </c>
      <c r="L985" s="2" t="s">
        <v>49</v>
      </c>
      <c r="M985" s="2" t="s">
        <v>2365</v>
      </c>
    </row>
    <row r="986" spans="1:13" x14ac:dyDescent="0.3">
      <c r="A986" s="2" t="s">
        <v>881</v>
      </c>
      <c r="B986" s="5">
        <v>45914</v>
      </c>
      <c r="C986" s="2" t="s">
        <v>882</v>
      </c>
      <c r="D986" s="2" t="s">
        <v>53</v>
      </c>
      <c r="E986" s="2" t="s">
        <v>54</v>
      </c>
      <c r="F986" s="2" t="s">
        <v>14</v>
      </c>
      <c r="G986" s="2" t="s">
        <v>15</v>
      </c>
      <c r="H986" s="2">
        <v>49</v>
      </c>
      <c r="I986" s="7">
        <v>63.26</v>
      </c>
      <c r="J986" s="2">
        <v>0</v>
      </c>
      <c r="K986" s="7">
        <v>3099.74</v>
      </c>
      <c r="L986" s="2" t="s">
        <v>31</v>
      </c>
      <c r="M986" s="2" t="s">
        <v>2364</v>
      </c>
    </row>
    <row r="987" spans="1:13" x14ac:dyDescent="0.3">
      <c r="A987" s="2" t="s">
        <v>341</v>
      </c>
      <c r="B987" s="5">
        <v>45974</v>
      </c>
      <c r="C987" s="2" t="s">
        <v>342</v>
      </c>
      <c r="D987" s="2" t="s">
        <v>46</v>
      </c>
      <c r="E987" s="2" t="s">
        <v>244</v>
      </c>
      <c r="F987" s="2" t="s">
        <v>14</v>
      </c>
      <c r="G987" s="2" t="s">
        <v>15</v>
      </c>
      <c r="H987" s="2">
        <v>42</v>
      </c>
      <c r="I987" s="7">
        <v>74.099999999999994</v>
      </c>
      <c r="J987" s="2">
        <v>0</v>
      </c>
      <c r="K987" s="7">
        <v>3112.2</v>
      </c>
      <c r="L987" s="2" t="s">
        <v>69</v>
      </c>
      <c r="M987" s="2" t="s">
        <v>2364</v>
      </c>
    </row>
    <row r="988" spans="1:13" x14ac:dyDescent="0.3">
      <c r="A988" s="2" t="s">
        <v>1631</v>
      </c>
      <c r="B988" s="5">
        <v>46237</v>
      </c>
      <c r="C988" s="2" t="s">
        <v>1632</v>
      </c>
      <c r="D988" s="2" t="s">
        <v>24</v>
      </c>
      <c r="E988" s="2" t="s">
        <v>36</v>
      </c>
      <c r="F988" s="2" t="s">
        <v>14</v>
      </c>
      <c r="G988" s="2" t="s">
        <v>15</v>
      </c>
      <c r="H988" s="2">
        <v>37</v>
      </c>
      <c r="I988" s="7">
        <v>92.54</v>
      </c>
      <c r="J988" s="2">
        <v>5</v>
      </c>
      <c r="K988" s="7">
        <v>3252.78</v>
      </c>
      <c r="L988" s="2" t="s">
        <v>31</v>
      </c>
      <c r="M988" s="2" t="s">
        <v>2364</v>
      </c>
    </row>
    <row r="989" spans="1:13" x14ac:dyDescent="0.3">
      <c r="A989" s="2" t="s">
        <v>972</v>
      </c>
      <c r="B989" s="5">
        <v>46254</v>
      </c>
      <c r="C989" s="2" t="s">
        <v>102</v>
      </c>
      <c r="D989" s="2" t="s">
        <v>53</v>
      </c>
      <c r="E989" s="2" t="s">
        <v>134</v>
      </c>
      <c r="F989" s="2" t="s">
        <v>14</v>
      </c>
      <c r="G989" s="2" t="s">
        <v>15</v>
      </c>
      <c r="H989" s="2">
        <v>40</v>
      </c>
      <c r="I989" s="7">
        <v>85.84</v>
      </c>
      <c r="J989" s="2">
        <v>5</v>
      </c>
      <c r="K989" s="7">
        <v>3261.92</v>
      </c>
      <c r="L989" s="2" t="s">
        <v>49</v>
      </c>
      <c r="M989" s="2" t="s">
        <v>2364</v>
      </c>
    </row>
    <row r="990" spans="1:13" x14ac:dyDescent="0.3">
      <c r="A990" s="2" t="s">
        <v>2261</v>
      </c>
      <c r="B990" s="5">
        <v>45651</v>
      </c>
      <c r="C990" s="2" t="s">
        <v>2262</v>
      </c>
      <c r="D990" s="2" t="s">
        <v>24</v>
      </c>
      <c r="E990" s="2" t="s">
        <v>59</v>
      </c>
      <c r="F990" s="2" t="s">
        <v>14</v>
      </c>
      <c r="G990" s="2" t="s">
        <v>15</v>
      </c>
      <c r="H990" s="2">
        <v>35</v>
      </c>
      <c r="I990" s="7">
        <v>96.63</v>
      </c>
      <c r="J990" s="2">
        <v>0</v>
      </c>
      <c r="K990" s="7">
        <v>3382.05</v>
      </c>
      <c r="L990" s="1" t="s">
        <v>2347</v>
      </c>
      <c r="M990" s="2" t="s">
        <v>2365</v>
      </c>
    </row>
    <row r="991" spans="1:13" x14ac:dyDescent="0.3">
      <c r="A991" s="2" t="s">
        <v>310</v>
      </c>
      <c r="B991" s="5">
        <v>46176</v>
      </c>
      <c r="C991" s="2" t="s">
        <v>311</v>
      </c>
      <c r="D991" s="2" t="s">
        <v>53</v>
      </c>
      <c r="E991" s="2" t="s">
        <v>67</v>
      </c>
      <c r="F991" s="2" t="s">
        <v>14</v>
      </c>
      <c r="G991" s="2" t="s">
        <v>15</v>
      </c>
      <c r="H991" s="2">
        <v>37</v>
      </c>
      <c r="I991" s="7">
        <v>98.32</v>
      </c>
      <c r="J991" s="2">
        <v>5</v>
      </c>
      <c r="K991" s="7">
        <v>3455.95</v>
      </c>
      <c r="L991" s="2" t="s">
        <v>31</v>
      </c>
      <c r="M991" s="2" t="s">
        <v>2364</v>
      </c>
    </row>
    <row r="992" spans="1:13" x14ac:dyDescent="0.3">
      <c r="A992" s="2" t="s">
        <v>591</v>
      </c>
      <c r="B992" s="5">
        <v>45670</v>
      </c>
      <c r="C992" s="2" t="s">
        <v>592</v>
      </c>
      <c r="D992" s="2" t="s">
        <v>24</v>
      </c>
      <c r="E992" s="2" t="s">
        <v>36</v>
      </c>
      <c r="F992" s="2" t="s">
        <v>14</v>
      </c>
      <c r="G992" s="2" t="s">
        <v>15</v>
      </c>
      <c r="H992" s="2">
        <v>40</v>
      </c>
      <c r="I992" s="7">
        <v>101.95</v>
      </c>
      <c r="J992" s="2">
        <v>15</v>
      </c>
      <c r="K992" s="7">
        <v>3466.3</v>
      </c>
      <c r="L992" s="2" t="s">
        <v>27</v>
      </c>
      <c r="M992" s="2" t="s">
        <v>2364</v>
      </c>
    </row>
    <row r="993" spans="1:13" x14ac:dyDescent="0.3">
      <c r="A993" s="2" t="s">
        <v>119</v>
      </c>
      <c r="B993" s="5">
        <v>45819</v>
      </c>
      <c r="C993" s="2" t="s">
        <v>120</v>
      </c>
      <c r="D993" s="2" t="s">
        <v>46</v>
      </c>
      <c r="E993" s="2" t="s">
        <v>83</v>
      </c>
      <c r="F993" s="2" t="s">
        <v>14</v>
      </c>
      <c r="G993" s="2" t="s">
        <v>15</v>
      </c>
      <c r="H993" s="2">
        <v>41</v>
      </c>
      <c r="I993" s="7">
        <v>102.97</v>
      </c>
      <c r="J993" s="2">
        <v>15</v>
      </c>
      <c r="K993" s="7">
        <v>3588.5</v>
      </c>
      <c r="L993" s="1" t="s">
        <v>2347</v>
      </c>
      <c r="M993" s="2" t="s">
        <v>2364</v>
      </c>
    </row>
    <row r="994" spans="1:13" x14ac:dyDescent="0.3">
      <c r="A994" s="2" t="s">
        <v>202</v>
      </c>
      <c r="B994" s="5">
        <v>46169</v>
      </c>
      <c r="C994" s="2" t="s">
        <v>203</v>
      </c>
      <c r="D994" s="2" t="s">
        <v>46</v>
      </c>
      <c r="E994" s="2" t="s">
        <v>124</v>
      </c>
      <c r="F994" s="2" t="s">
        <v>14</v>
      </c>
      <c r="G994" s="2" t="s">
        <v>15</v>
      </c>
      <c r="H994" s="2">
        <v>39</v>
      </c>
      <c r="I994" s="7">
        <v>104.76</v>
      </c>
      <c r="J994" s="2">
        <v>10</v>
      </c>
      <c r="K994" s="7">
        <v>3677.08</v>
      </c>
      <c r="L994" s="1" t="s">
        <v>2347</v>
      </c>
      <c r="M994" s="2" t="s">
        <v>2365</v>
      </c>
    </row>
    <row r="995" spans="1:13" x14ac:dyDescent="0.3">
      <c r="A995" s="2" t="s">
        <v>2156</v>
      </c>
      <c r="B995" s="5">
        <v>46029</v>
      </c>
      <c r="C995" s="2" t="s">
        <v>1091</v>
      </c>
      <c r="D995" s="2" t="s">
        <v>16</v>
      </c>
      <c r="E995" s="2" t="s">
        <v>111</v>
      </c>
      <c r="F995" s="2" t="s">
        <v>14</v>
      </c>
      <c r="G995" s="2" t="s">
        <v>15</v>
      </c>
      <c r="H995" s="2">
        <v>47</v>
      </c>
      <c r="I995" s="7">
        <v>79.760000000000005</v>
      </c>
      <c r="J995" s="2">
        <v>0</v>
      </c>
      <c r="K995" s="7">
        <v>3748.72</v>
      </c>
      <c r="L995" s="2" t="s">
        <v>69</v>
      </c>
      <c r="M995" s="2" t="s">
        <v>2365</v>
      </c>
    </row>
    <row r="996" spans="1:13" x14ac:dyDescent="0.3">
      <c r="A996" s="2" t="s">
        <v>643</v>
      </c>
      <c r="B996" s="5">
        <v>45711</v>
      </c>
      <c r="C996" s="2" t="s">
        <v>644</v>
      </c>
      <c r="D996" s="2" t="s">
        <v>24</v>
      </c>
      <c r="E996" s="2" t="s">
        <v>25</v>
      </c>
      <c r="F996" s="2" t="s">
        <v>14</v>
      </c>
      <c r="G996" s="2" t="s">
        <v>15</v>
      </c>
      <c r="H996" s="2">
        <v>50</v>
      </c>
      <c r="I996" s="7">
        <v>82.8</v>
      </c>
      <c r="J996" s="2">
        <v>0</v>
      </c>
      <c r="K996" s="7">
        <v>4140</v>
      </c>
      <c r="L996" s="2" t="s">
        <v>69</v>
      </c>
      <c r="M996" s="2" t="s">
        <v>2365</v>
      </c>
    </row>
    <row r="997" spans="1:13" x14ac:dyDescent="0.3">
      <c r="A997" s="2" t="s">
        <v>573</v>
      </c>
      <c r="B997" s="5">
        <v>46097</v>
      </c>
      <c r="C997" s="2" t="s">
        <v>574</v>
      </c>
      <c r="D997" s="2" t="s">
        <v>16</v>
      </c>
      <c r="E997" s="2" t="s">
        <v>160</v>
      </c>
      <c r="F997" s="2" t="s">
        <v>14</v>
      </c>
      <c r="G997" s="2" t="s">
        <v>15</v>
      </c>
      <c r="H997" s="2">
        <v>39</v>
      </c>
      <c r="I997" s="7">
        <v>119.39</v>
      </c>
      <c r="J997" s="2">
        <v>5</v>
      </c>
      <c r="K997" s="7">
        <v>4423.3999999999996</v>
      </c>
      <c r="L997" s="1" t="s">
        <v>2347</v>
      </c>
      <c r="M997" s="2" t="s">
        <v>2365</v>
      </c>
    </row>
    <row r="998" spans="1:13" x14ac:dyDescent="0.3">
      <c r="A998" s="2" t="s">
        <v>2160</v>
      </c>
      <c r="B998" s="5">
        <v>45688</v>
      </c>
      <c r="C998" s="2" t="s">
        <v>2161</v>
      </c>
      <c r="D998" s="2" t="s">
        <v>24</v>
      </c>
      <c r="E998" s="2" t="s">
        <v>41</v>
      </c>
      <c r="F998" s="2" t="s">
        <v>14</v>
      </c>
      <c r="G998" s="2" t="s">
        <v>15</v>
      </c>
      <c r="H998" s="2">
        <v>47</v>
      </c>
      <c r="I998" s="7">
        <v>95.56</v>
      </c>
      <c r="J998" s="2">
        <v>0</v>
      </c>
      <c r="K998" s="7">
        <v>4491.32</v>
      </c>
      <c r="L998" s="2" t="s">
        <v>49</v>
      </c>
      <c r="M998" s="2" t="s">
        <v>2365</v>
      </c>
    </row>
    <row r="999" spans="1:13" x14ac:dyDescent="0.3">
      <c r="A999" s="2" t="s">
        <v>1335</v>
      </c>
      <c r="B999" s="5">
        <v>45904</v>
      </c>
      <c r="C999" s="2" t="s">
        <v>1336</v>
      </c>
      <c r="D999" s="2" t="s">
        <v>46</v>
      </c>
      <c r="E999" s="2" t="s">
        <v>244</v>
      </c>
      <c r="F999" s="2" t="s">
        <v>14</v>
      </c>
      <c r="G999" s="2" t="s">
        <v>15</v>
      </c>
      <c r="H999" s="2">
        <v>49</v>
      </c>
      <c r="I999" s="7">
        <v>93.2</v>
      </c>
      <c r="J999" s="2">
        <v>0</v>
      </c>
      <c r="K999" s="7">
        <v>4566.8</v>
      </c>
      <c r="L999" s="2" t="s">
        <v>31</v>
      </c>
      <c r="M999" s="2" t="s">
        <v>2364</v>
      </c>
    </row>
    <row r="1000" spans="1:13" x14ac:dyDescent="0.3">
      <c r="A1000" s="2" t="s">
        <v>2008</v>
      </c>
      <c r="B1000" s="5">
        <v>45699</v>
      </c>
      <c r="C1000" s="2" t="s">
        <v>2009</v>
      </c>
      <c r="D1000" s="2" t="s">
        <v>53</v>
      </c>
      <c r="E1000" s="2" t="s">
        <v>141</v>
      </c>
      <c r="F1000" s="2" t="s">
        <v>14</v>
      </c>
      <c r="G1000" s="2" t="s">
        <v>15</v>
      </c>
      <c r="H1000" s="2">
        <v>48</v>
      </c>
      <c r="I1000" s="7">
        <v>108.02</v>
      </c>
      <c r="J1000" s="2">
        <v>10</v>
      </c>
      <c r="K1000" s="7">
        <v>4666.46</v>
      </c>
      <c r="L1000" s="2" t="s">
        <v>31</v>
      </c>
      <c r="M1000" s="2" t="s">
        <v>2364</v>
      </c>
    </row>
    <row r="1001" spans="1:13" x14ac:dyDescent="0.3">
      <c r="A1001" s="2" t="s">
        <v>2005</v>
      </c>
      <c r="B1001" s="5">
        <v>45807</v>
      </c>
      <c r="C1001" s="2" t="s">
        <v>2006</v>
      </c>
      <c r="D1001" s="2" t="s">
        <v>24</v>
      </c>
      <c r="E1001" s="2" t="s">
        <v>104</v>
      </c>
      <c r="F1001" s="2" t="s">
        <v>14</v>
      </c>
      <c r="G1001" s="2" t="s">
        <v>15</v>
      </c>
      <c r="H1001" s="2">
        <v>50</v>
      </c>
      <c r="I1001" s="7">
        <v>109.67</v>
      </c>
      <c r="J1001" s="2">
        <v>0</v>
      </c>
      <c r="K1001" s="7">
        <v>5483.5</v>
      </c>
      <c r="L1001" s="2" t="s">
        <v>31</v>
      </c>
      <c r="M1001" s="2" t="s">
        <v>2365</v>
      </c>
    </row>
  </sheetData>
  <autoFilter ref="A1:M1001" xr:uid="{B9E0BD6A-3ACD-4E2C-BBED-2FBF5CDF7B7D}"/>
  <sortState xmlns:xlrd2="http://schemas.microsoft.com/office/spreadsheetml/2017/richdata2" ref="B2:L1004">
    <sortCondition ref="G2:G1004"/>
  </sortState>
  <conditionalFormatting sqref="H1:H1048576">
    <cfRule type="colorScale" priority="4">
      <colorScale>
        <cfvo type="min"/>
        <cfvo type="percentile" val="50"/>
        <cfvo type="max"/>
        <color rgb="FFF8696B"/>
        <color rgb="FFFFEB84"/>
        <color rgb="FF63BE7B"/>
      </colorScale>
    </cfRule>
  </conditionalFormatting>
  <conditionalFormatting sqref="J1:J1048576">
    <cfRule type="iconSet" priority="1">
      <iconSet iconSet="3Arrows">
        <cfvo type="percent" val="0"/>
        <cfvo type="percent" val="33"/>
        <cfvo type="percent" val="67"/>
      </iconSet>
    </cfRule>
    <cfRule type="iconSet" priority="3">
      <iconSet iconSet="3Arrows">
        <cfvo type="percent" val="0"/>
        <cfvo type="percent" val="33"/>
        <cfvo type="percent" val="67"/>
      </iconSet>
    </cfRule>
  </conditionalFormatting>
  <conditionalFormatting sqref="K1:K1048576">
    <cfRule type="dataBar" priority="6">
      <dataBar>
        <cfvo type="min"/>
        <cfvo type="max"/>
        <color rgb="FF638EC6"/>
      </dataBar>
      <extLst>
        <ext xmlns:x14="http://schemas.microsoft.com/office/spreadsheetml/2009/9/main" uri="{B025F937-C7B1-47D3-B67F-A62EFF666E3E}">
          <x14:id>{156A373A-320B-45B1-AFDC-BA7A838231B6}</x14:id>
        </ext>
      </extLst>
    </cfRule>
  </conditionalFormatting>
  <conditionalFormatting sqref="K2:K1001">
    <cfRule type="dataBar" priority="5">
      <dataBar>
        <cfvo type="min"/>
        <cfvo type="max"/>
        <color rgb="FF638EC6"/>
      </dataBar>
      <extLst>
        <ext xmlns:x14="http://schemas.microsoft.com/office/spreadsheetml/2009/9/main" uri="{B025F937-C7B1-47D3-B67F-A62EFF666E3E}">
          <x14:id>{0B1E0169-7BD6-410C-A2BD-A3B376485A78}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56A373A-320B-45B1-AFDC-BA7A838231B6}">
            <x14:dataBar minLength="0" maxLength="100" border="1" negativeBarBorderColorSameAsPositive="0">
              <x14:cfvo type="autoMin"/>
              <x14:cfvo type="autoMax"/>
              <x14:borderColor rgb="FF638EC6"/>
              <x14:negativeFillColor rgb="FFFF0000"/>
              <x14:negativeBorderColor rgb="FFFF0000"/>
              <x14:axisColor rgb="FF000000"/>
            </x14:dataBar>
          </x14:cfRule>
          <xm:sqref>K1:K1048576</xm:sqref>
        </x14:conditionalFormatting>
        <x14:conditionalFormatting xmlns:xm="http://schemas.microsoft.com/office/excel/2006/main">
          <x14:cfRule type="dataBar" id="{0B1E0169-7BD6-410C-A2BD-A3B376485A78}">
            <x14:dataBar minLength="0" maxLength="100" gradient="0">
              <x14:cfvo type="autoMin"/>
              <x14:cfvo type="autoMax"/>
              <x14:negativeFillColor rgb="FFFF0000"/>
              <x14:axisColor rgb="FF000000"/>
            </x14:dataBar>
          </x14:cfRule>
          <xm:sqref>K2:K1001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2B4F1-D9C7-4A46-BC4C-E42A7157E06F}">
  <dimension ref="A1:M1001"/>
  <sheetViews>
    <sheetView workbookViewId="0">
      <selection activeCell="C8" sqref="C8"/>
    </sheetView>
  </sheetViews>
  <sheetFormatPr defaultRowHeight="15.6" x14ac:dyDescent="0.3"/>
  <cols>
    <col min="1" max="1" width="11.09765625" bestFit="1" customWidth="1"/>
    <col min="2" max="2" width="10.296875" bestFit="1" customWidth="1"/>
    <col min="3" max="3" width="20.5" bestFit="1" customWidth="1"/>
    <col min="4" max="4" width="6.59765625" bestFit="1" customWidth="1"/>
    <col min="5" max="5" width="7.8984375" bestFit="1" customWidth="1"/>
    <col min="6" max="6" width="13.8984375" bestFit="1" customWidth="1"/>
    <col min="7" max="8" width="10.3984375" bestFit="1" customWidth="1"/>
    <col min="9" max="9" width="9.09765625" bestFit="1" customWidth="1"/>
    <col min="10" max="10" width="11.5" bestFit="1" customWidth="1"/>
    <col min="11" max="11" width="12.5" bestFit="1" customWidth="1"/>
    <col min="12" max="12" width="15.59765625" bestFit="1" customWidth="1"/>
    <col min="13" max="13" width="11.69921875" bestFit="1" customWidth="1"/>
  </cols>
  <sheetData>
    <row r="1" spans="1:13" x14ac:dyDescent="0.3">
      <c r="A1" s="3" t="s">
        <v>0</v>
      </c>
      <c r="B1" s="4" t="s">
        <v>10</v>
      </c>
      <c r="C1" s="3" t="s">
        <v>1</v>
      </c>
      <c r="D1" s="3" t="s">
        <v>8</v>
      </c>
      <c r="E1" s="3" t="s">
        <v>9</v>
      </c>
      <c r="F1" s="21" t="s">
        <v>2</v>
      </c>
      <c r="G1" s="3" t="s">
        <v>3</v>
      </c>
      <c r="H1" s="3" t="s">
        <v>4</v>
      </c>
      <c r="I1" s="3" t="s">
        <v>5</v>
      </c>
      <c r="J1" s="3" t="s">
        <v>7</v>
      </c>
      <c r="K1" s="3" t="s">
        <v>6</v>
      </c>
      <c r="L1" s="21" t="s">
        <v>11</v>
      </c>
      <c r="M1" s="3" t="s">
        <v>2363</v>
      </c>
    </row>
    <row r="2" spans="1:13" x14ac:dyDescent="0.3">
      <c r="A2" s="2" t="s">
        <v>2075</v>
      </c>
      <c r="B2" s="5">
        <v>45579</v>
      </c>
      <c r="C2" s="2" t="s">
        <v>1093</v>
      </c>
      <c r="D2" s="2" t="s">
        <v>46</v>
      </c>
      <c r="E2" s="2" t="s">
        <v>78</v>
      </c>
      <c r="F2" s="2" t="s">
        <v>40</v>
      </c>
      <c r="G2" s="2" t="s">
        <v>23</v>
      </c>
      <c r="H2" s="2">
        <v>2</v>
      </c>
      <c r="I2" s="7">
        <v>54.34</v>
      </c>
      <c r="J2" s="2">
        <v>0</v>
      </c>
      <c r="K2" s="7">
        <v>108.68</v>
      </c>
      <c r="L2" s="2" t="s">
        <v>2347</v>
      </c>
      <c r="M2" s="2" t="s">
        <v>2364</v>
      </c>
    </row>
    <row r="3" spans="1:13" x14ac:dyDescent="0.3">
      <c r="A3" s="2" t="s">
        <v>258</v>
      </c>
      <c r="B3" s="5">
        <v>45768</v>
      </c>
      <c r="C3" s="2" t="s">
        <v>259</v>
      </c>
      <c r="D3" s="2" t="s">
        <v>46</v>
      </c>
      <c r="E3" s="2" t="s">
        <v>244</v>
      </c>
      <c r="F3" s="2" t="s">
        <v>40</v>
      </c>
      <c r="G3" s="2" t="s">
        <v>23</v>
      </c>
      <c r="H3" s="2">
        <v>2</v>
      </c>
      <c r="I3" s="7">
        <v>67.25</v>
      </c>
      <c r="J3" s="2">
        <v>10</v>
      </c>
      <c r="K3" s="7">
        <v>121.05</v>
      </c>
      <c r="L3" s="2" t="s">
        <v>2347</v>
      </c>
      <c r="M3" s="2" t="s">
        <v>2364</v>
      </c>
    </row>
    <row r="4" spans="1:13" x14ac:dyDescent="0.3">
      <c r="A4" s="2" t="s">
        <v>246</v>
      </c>
      <c r="B4" s="5">
        <v>45944</v>
      </c>
      <c r="C4" s="2" t="s">
        <v>247</v>
      </c>
      <c r="D4" s="2" t="s">
        <v>46</v>
      </c>
      <c r="E4" s="2" t="s">
        <v>244</v>
      </c>
      <c r="F4" s="2" t="s">
        <v>40</v>
      </c>
      <c r="G4" s="2" t="s">
        <v>23</v>
      </c>
      <c r="H4" s="2">
        <v>2</v>
      </c>
      <c r="I4" s="7">
        <v>77.5</v>
      </c>
      <c r="J4" s="2">
        <v>5</v>
      </c>
      <c r="K4" s="7">
        <v>147.25</v>
      </c>
      <c r="L4" s="2" t="s">
        <v>31</v>
      </c>
      <c r="M4" s="2" t="s">
        <v>2364</v>
      </c>
    </row>
    <row r="5" spans="1:13" x14ac:dyDescent="0.3">
      <c r="A5" s="2" t="s">
        <v>1984</v>
      </c>
      <c r="B5" s="5">
        <v>45684</v>
      </c>
      <c r="C5" s="2" t="s">
        <v>1985</v>
      </c>
      <c r="D5" s="2" t="s">
        <v>53</v>
      </c>
      <c r="E5" s="2" t="s">
        <v>54</v>
      </c>
      <c r="F5" s="2" t="s">
        <v>40</v>
      </c>
      <c r="G5" s="2" t="s">
        <v>23</v>
      </c>
      <c r="H5" s="2">
        <v>3</v>
      </c>
      <c r="I5" s="7">
        <v>49.12</v>
      </c>
      <c r="J5" s="2">
        <v>0</v>
      </c>
      <c r="K5" s="7">
        <v>147.36000000000001</v>
      </c>
      <c r="L5" s="2" t="s">
        <v>2347</v>
      </c>
      <c r="M5" s="2" t="s">
        <v>2364</v>
      </c>
    </row>
    <row r="6" spans="1:13" x14ac:dyDescent="0.3">
      <c r="A6" s="2" t="s">
        <v>211</v>
      </c>
      <c r="B6" s="5">
        <v>46049</v>
      </c>
      <c r="C6" s="2" t="s">
        <v>212</v>
      </c>
      <c r="D6" s="2" t="s">
        <v>16</v>
      </c>
      <c r="E6" s="2" t="s">
        <v>91</v>
      </c>
      <c r="F6" s="2" t="s">
        <v>40</v>
      </c>
      <c r="G6" s="2" t="s">
        <v>23</v>
      </c>
      <c r="H6" s="2">
        <v>7</v>
      </c>
      <c r="I6" s="7">
        <v>42.79</v>
      </c>
      <c r="J6" s="2">
        <v>0</v>
      </c>
      <c r="K6" s="7">
        <v>299.52999999999997</v>
      </c>
      <c r="L6" s="2" t="s">
        <v>31</v>
      </c>
      <c r="M6" s="2" t="s">
        <v>2365</v>
      </c>
    </row>
    <row r="7" spans="1:13" x14ac:dyDescent="0.3">
      <c r="A7" s="2" t="s">
        <v>1775</v>
      </c>
      <c r="B7" s="5">
        <v>45848</v>
      </c>
      <c r="C7" s="2" t="s">
        <v>1776</v>
      </c>
      <c r="D7" s="2" t="s">
        <v>24</v>
      </c>
      <c r="E7" s="2" t="s">
        <v>104</v>
      </c>
      <c r="F7" s="2" t="s">
        <v>40</v>
      </c>
      <c r="G7" s="2" t="s">
        <v>23</v>
      </c>
      <c r="H7" s="2">
        <v>11</v>
      </c>
      <c r="I7" s="7">
        <v>31.37</v>
      </c>
      <c r="J7" s="2">
        <v>0</v>
      </c>
      <c r="K7" s="7">
        <v>345.07</v>
      </c>
      <c r="L7" s="2" t="s">
        <v>27</v>
      </c>
      <c r="M7" s="2" t="s">
        <v>2364</v>
      </c>
    </row>
    <row r="8" spans="1:13" x14ac:dyDescent="0.3">
      <c r="A8" s="2" t="s">
        <v>335</v>
      </c>
      <c r="B8" s="5">
        <v>45679</v>
      </c>
      <c r="C8" s="2" t="s">
        <v>336</v>
      </c>
      <c r="D8" s="2" t="s">
        <v>53</v>
      </c>
      <c r="E8" s="2" t="s">
        <v>141</v>
      </c>
      <c r="F8" s="2" t="s">
        <v>40</v>
      </c>
      <c r="G8" s="2" t="s">
        <v>23</v>
      </c>
      <c r="H8" s="2">
        <v>10</v>
      </c>
      <c r="I8" s="7">
        <v>41.79</v>
      </c>
      <c r="J8" s="2">
        <v>15</v>
      </c>
      <c r="K8" s="7">
        <v>355.22</v>
      </c>
      <c r="L8" s="2" t="s">
        <v>27</v>
      </c>
      <c r="M8" s="2" t="s">
        <v>2365</v>
      </c>
    </row>
    <row r="9" spans="1:13" x14ac:dyDescent="0.3">
      <c r="A9" s="2" t="s">
        <v>1825</v>
      </c>
      <c r="B9" s="5">
        <v>46171</v>
      </c>
      <c r="C9" s="2" t="s">
        <v>1807</v>
      </c>
      <c r="D9" s="2" t="s">
        <v>24</v>
      </c>
      <c r="E9" s="2" t="s">
        <v>25</v>
      </c>
      <c r="F9" s="2" t="s">
        <v>40</v>
      </c>
      <c r="G9" s="2" t="s">
        <v>23</v>
      </c>
      <c r="H9" s="2">
        <v>8</v>
      </c>
      <c r="I9" s="7">
        <v>44.81</v>
      </c>
      <c r="J9" s="2">
        <v>0</v>
      </c>
      <c r="K9" s="7">
        <v>358.48</v>
      </c>
      <c r="L9" s="2" t="s">
        <v>69</v>
      </c>
      <c r="M9" s="2" t="s">
        <v>2364</v>
      </c>
    </row>
    <row r="10" spans="1:13" x14ac:dyDescent="0.3">
      <c r="A10" s="2" t="s">
        <v>902</v>
      </c>
      <c r="B10" s="5">
        <v>46219</v>
      </c>
      <c r="C10" s="2" t="s">
        <v>903</v>
      </c>
      <c r="D10" s="2" t="s">
        <v>24</v>
      </c>
      <c r="E10" s="2" t="s">
        <v>41</v>
      </c>
      <c r="F10" s="2" t="s">
        <v>40</v>
      </c>
      <c r="G10" s="2" t="s">
        <v>23</v>
      </c>
      <c r="H10" s="2">
        <v>12</v>
      </c>
      <c r="I10" s="7">
        <v>31.61</v>
      </c>
      <c r="J10" s="2">
        <v>5</v>
      </c>
      <c r="K10" s="7">
        <v>360.35</v>
      </c>
      <c r="L10" s="2" t="s">
        <v>27</v>
      </c>
      <c r="M10" s="2" t="s">
        <v>2365</v>
      </c>
    </row>
    <row r="11" spans="1:13" x14ac:dyDescent="0.3">
      <c r="A11" s="2" t="s">
        <v>1661</v>
      </c>
      <c r="B11" s="5">
        <v>46243</v>
      </c>
      <c r="C11" s="2" t="s">
        <v>1662</v>
      </c>
      <c r="D11" s="2" t="s">
        <v>16</v>
      </c>
      <c r="E11" s="2" t="s">
        <v>74</v>
      </c>
      <c r="F11" s="2" t="s">
        <v>40</v>
      </c>
      <c r="G11" s="2" t="s">
        <v>23</v>
      </c>
      <c r="H11" s="2">
        <v>9</v>
      </c>
      <c r="I11" s="7">
        <v>41.75</v>
      </c>
      <c r="J11" s="2">
        <v>0</v>
      </c>
      <c r="K11" s="7">
        <v>375.75</v>
      </c>
      <c r="L11" s="2" t="s">
        <v>69</v>
      </c>
      <c r="M11" s="2" t="s">
        <v>2364</v>
      </c>
    </row>
    <row r="12" spans="1:13" x14ac:dyDescent="0.3">
      <c r="A12" s="2" t="s">
        <v>422</v>
      </c>
      <c r="B12" s="5">
        <v>45582</v>
      </c>
      <c r="C12" s="2" t="s">
        <v>423</v>
      </c>
      <c r="D12" s="2" t="s">
        <v>53</v>
      </c>
      <c r="E12" s="2" t="s">
        <v>170</v>
      </c>
      <c r="F12" s="2" t="s">
        <v>40</v>
      </c>
      <c r="G12" s="2" t="s">
        <v>23</v>
      </c>
      <c r="H12" s="2">
        <v>6</v>
      </c>
      <c r="I12" s="7">
        <v>76</v>
      </c>
      <c r="J12" s="2">
        <v>0</v>
      </c>
      <c r="K12" s="7">
        <v>456</v>
      </c>
      <c r="L12" s="2" t="s">
        <v>27</v>
      </c>
      <c r="M12" s="2" t="s">
        <v>2365</v>
      </c>
    </row>
    <row r="13" spans="1:13" x14ac:dyDescent="0.3">
      <c r="A13" s="2" t="s">
        <v>2028</v>
      </c>
      <c r="B13" s="5">
        <v>45864</v>
      </c>
      <c r="C13" s="2" t="s">
        <v>1213</v>
      </c>
      <c r="D13" s="2" t="s">
        <v>46</v>
      </c>
      <c r="E13" s="2" t="s">
        <v>244</v>
      </c>
      <c r="F13" s="2" t="s">
        <v>40</v>
      </c>
      <c r="G13" s="2" t="s">
        <v>23</v>
      </c>
      <c r="H13" s="2">
        <v>11</v>
      </c>
      <c r="I13" s="7">
        <v>48.9</v>
      </c>
      <c r="J13" s="2">
        <v>5</v>
      </c>
      <c r="K13" s="7">
        <v>511</v>
      </c>
      <c r="L13" s="2" t="s">
        <v>31</v>
      </c>
      <c r="M13" s="2" t="s">
        <v>2364</v>
      </c>
    </row>
    <row r="14" spans="1:13" x14ac:dyDescent="0.3">
      <c r="A14" s="2" t="s">
        <v>924</v>
      </c>
      <c r="B14" s="5">
        <v>46212</v>
      </c>
      <c r="C14" s="2" t="s">
        <v>925</v>
      </c>
      <c r="D14" s="2" t="s">
        <v>46</v>
      </c>
      <c r="E14" s="2" t="s">
        <v>244</v>
      </c>
      <c r="F14" s="2" t="s">
        <v>40</v>
      </c>
      <c r="G14" s="2" t="s">
        <v>23</v>
      </c>
      <c r="H14" s="2">
        <v>22</v>
      </c>
      <c r="I14" s="7">
        <v>31.31</v>
      </c>
      <c r="J14" s="2">
        <v>10</v>
      </c>
      <c r="K14" s="7">
        <v>619.94000000000005</v>
      </c>
      <c r="L14" s="2" t="s">
        <v>2347</v>
      </c>
      <c r="M14" s="2" t="s">
        <v>2365</v>
      </c>
    </row>
    <row r="15" spans="1:13" x14ac:dyDescent="0.3">
      <c r="A15" s="2" t="s">
        <v>38</v>
      </c>
      <c r="B15" s="5">
        <v>46082</v>
      </c>
      <c r="C15" s="2" t="s">
        <v>39</v>
      </c>
      <c r="D15" s="2" t="s">
        <v>24</v>
      </c>
      <c r="E15" s="2" t="s">
        <v>41</v>
      </c>
      <c r="F15" s="2" t="s">
        <v>40</v>
      </c>
      <c r="G15" s="2" t="s">
        <v>23</v>
      </c>
      <c r="H15" s="2">
        <v>10</v>
      </c>
      <c r="I15" s="7">
        <v>66</v>
      </c>
      <c r="J15" s="2">
        <v>5</v>
      </c>
      <c r="K15" s="7">
        <v>627</v>
      </c>
      <c r="L15" s="2" t="s">
        <v>31</v>
      </c>
      <c r="M15" s="2" t="s">
        <v>2364</v>
      </c>
    </row>
    <row r="16" spans="1:13" x14ac:dyDescent="0.3">
      <c r="A16" s="2" t="s">
        <v>869</v>
      </c>
      <c r="B16" s="5">
        <v>46045</v>
      </c>
      <c r="C16" s="2" t="s">
        <v>870</v>
      </c>
      <c r="D16" s="2" t="s">
        <v>24</v>
      </c>
      <c r="E16" s="2" t="s">
        <v>36</v>
      </c>
      <c r="F16" s="2" t="s">
        <v>40</v>
      </c>
      <c r="G16" s="2" t="s">
        <v>23</v>
      </c>
      <c r="H16" s="2">
        <v>11</v>
      </c>
      <c r="I16" s="7">
        <v>68.28</v>
      </c>
      <c r="J16" s="2">
        <v>15</v>
      </c>
      <c r="K16" s="7">
        <v>638.41999999999996</v>
      </c>
      <c r="L16" s="2" t="s">
        <v>49</v>
      </c>
      <c r="M16" s="2" t="s">
        <v>2365</v>
      </c>
    </row>
    <row r="17" spans="1:13" x14ac:dyDescent="0.3">
      <c r="A17" s="2" t="s">
        <v>1359</v>
      </c>
      <c r="B17" s="5">
        <v>45843</v>
      </c>
      <c r="C17" s="2" t="s">
        <v>1136</v>
      </c>
      <c r="D17" s="2" t="s">
        <v>53</v>
      </c>
      <c r="E17" s="2" t="s">
        <v>141</v>
      </c>
      <c r="F17" s="2" t="s">
        <v>40</v>
      </c>
      <c r="G17" s="2" t="s">
        <v>23</v>
      </c>
      <c r="H17" s="2">
        <v>24</v>
      </c>
      <c r="I17" s="7">
        <v>31.81</v>
      </c>
      <c r="J17" s="2">
        <v>15</v>
      </c>
      <c r="K17" s="7">
        <v>648.91999999999996</v>
      </c>
      <c r="L17" s="2" t="s">
        <v>27</v>
      </c>
      <c r="M17" s="2" t="s">
        <v>2364</v>
      </c>
    </row>
    <row r="18" spans="1:13" x14ac:dyDescent="0.3">
      <c r="A18" s="2" t="s">
        <v>2300</v>
      </c>
      <c r="B18" s="5">
        <v>45731</v>
      </c>
      <c r="C18" s="2" t="s">
        <v>2301</v>
      </c>
      <c r="D18" s="2" t="s">
        <v>53</v>
      </c>
      <c r="E18" s="2" t="s">
        <v>54</v>
      </c>
      <c r="F18" s="2" t="s">
        <v>40</v>
      </c>
      <c r="G18" s="2" t="s">
        <v>23</v>
      </c>
      <c r="H18" s="2">
        <v>22</v>
      </c>
      <c r="I18" s="7">
        <v>35.44</v>
      </c>
      <c r="J18" s="2">
        <v>0</v>
      </c>
      <c r="K18" s="7">
        <v>779.68</v>
      </c>
      <c r="L18" s="2" t="s">
        <v>69</v>
      </c>
      <c r="M18" s="2" t="s">
        <v>2364</v>
      </c>
    </row>
    <row r="19" spans="1:13" x14ac:dyDescent="0.3">
      <c r="A19" s="2" t="s">
        <v>113</v>
      </c>
      <c r="B19" s="5">
        <v>46012</v>
      </c>
      <c r="C19" s="2" t="s">
        <v>114</v>
      </c>
      <c r="D19" s="2" t="s">
        <v>24</v>
      </c>
      <c r="E19" s="2" t="s">
        <v>36</v>
      </c>
      <c r="F19" s="2" t="s">
        <v>40</v>
      </c>
      <c r="G19" s="2" t="s">
        <v>23</v>
      </c>
      <c r="H19" s="2">
        <v>19</v>
      </c>
      <c r="I19" s="7">
        <v>41.57</v>
      </c>
      <c r="J19" s="2">
        <v>0</v>
      </c>
      <c r="K19" s="7">
        <v>789.83</v>
      </c>
      <c r="L19" s="2" t="s">
        <v>2347</v>
      </c>
      <c r="M19" s="2" t="s">
        <v>2364</v>
      </c>
    </row>
    <row r="20" spans="1:13" x14ac:dyDescent="0.3">
      <c r="A20" s="2" t="s">
        <v>2233</v>
      </c>
      <c r="B20" s="5">
        <v>45897</v>
      </c>
      <c r="C20" s="2" t="s">
        <v>1852</v>
      </c>
      <c r="D20" s="2" t="s">
        <v>24</v>
      </c>
      <c r="E20" s="2" t="s">
        <v>25</v>
      </c>
      <c r="F20" s="2" t="s">
        <v>40</v>
      </c>
      <c r="G20" s="2" t="s">
        <v>23</v>
      </c>
      <c r="H20" s="2">
        <v>22</v>
      </c>
      <c r="I20" s="7">
        <v>40.700000000000003</v>
      </c>
      <c r="J20" s="2">
        <v>10</v>
      </c>
      <c r="K20" s="7">
        <v>805.86</v>
      </c>
      <c r="L20" s="2" t="s">
        <v>31</v>
      </c>
      <c r="M20" s="2" t="s">
        <v>2364</v>
      </c>
    </row>
    <row r="21" spans="1:13" x14ac:dyDescent="0.3">
      <c r="A21" s="2" t="s">
        <v>2303</v>
      </c>
      <c r="B21" s="5">
        <v>46300</v>
      </c>
      <c r="C21" s="2" t="s">
        <v>789</v>
      </c>
      <c r="D21" s="2" t="s">
        <v>53</v>
      </c>
      <c r="E21" s="2" t="s">
        <v>54</v>
      </c>
      <c r="F21" s="2" t="s">
        <v>40</v>
      </c>
      <c r="G21" s="2" t="s">
        <v>23</v>
      </c>
      <c r="H21" s="2">
        <v>25</v>
      </c>
      <c r="I21" s="7">
        <v>34.99</v>
      </c>
      <c r="J21" s="2">
        <v>5</v>
      </c>
      <c r="K21" s="7">
        <v>831.01</v>
      </c>
      <c r="L21" s="2" t="s">
        <v>69</v>
      </c>
      <c r="M21" s="2" t="s">
        <v>2364</v>
      </c>
    </row>
    <row r="22" spans="1:13" x14ac:dyDescent="0.3">
      <c r="A22" s="2" t="s">
        <v>730</v>
      </c>
      <c r="B22" s="5">
        <v>45798</v>
      </c>
      <c r="C22" s="2" t="s">
        <v>731</v>
      </c>
      <c r="D22" s="2" t="s">
        <v>46</v>
      </c>
      <c r="E22" s="2" t="s">
        <v>124</v>
      </c>
      <c r="F22" s="2" t="s">
        <v>40</v>
      </c>
      <c r="G22" s="2" t="s">
        <v>23</v>
      </c>
      <c r="H22" s="2">
        <v>18</v>
      </c>
      <c r="I22" s="7">
        <v>55.18</v>
      </c>
      <c r="J22" s="2">
        <v>15</v>
      </c>
      <c r="K22" s="7">
        <v>844.25</v>
      </c>
      <c r="L22" s="2" t="s">
        <v>31</v>
      </c>
      <c r="M22" s="2" t="s">
        <v>2364</v>
      </c>
    </row>
    <row r="23" spans="1:13" x14ac:dyDescent="0.3">
      <c r="A23" s="2" t="s">
        <v>2236</v>
      </c>
      <c r="B23" s="5">
        <v>46262</v>
      </c>
      <c r="C23" s="2" t="s">
        <v>2237</v>
      </c>
      <c r="D23" s="2" t="s">
        <v>16</v>
      </c>
      <c r="E23" s="2" t="s">
        <v>111</v>
      </c>
      <c r="F23" s="2" t="s">
        <v>40</v>
      </c>
      <c r="G23" s="2" t="s">
        <v>23</v>
      </c>
      <c r="H23" s="2">
        <v>17</v>
      </c>
      <c r="I23" s="7">
        <v>50.45</v>
      </c>
      <c r="J23" s="2">
        <v>0</v>
      </c>
      <c r="K23" s="7">
        <v>857.65</v>
      </c>
      <c r="L23" s="2" t="s">
        <v>69</v>
      </c>
      <c r="M23" s="2" t="s">
        <v>2364</v>
      </c>
    </row>
    <row r="24" spans="1:13" x14ac:dyDescent="0.3">
      <c r="A24" s="2" t="s">
        <v>1669</v>
      </c>
      <c r="B24" s="5">
        <v>45900</v>
      </c>
      <c r="C24" s="2" t="s">
        <v>1403</v>
      </c>
      <c r="D24" s="2" t="s">
        <v>24</v>
      </c>
      <c r="E24" s="2" t="s">
        <v>41</v>
      </c>
      <c r="F24" s="2" t="s">
        <v>40</v>
      </c>
      <c r="G24" s="2" t="s">
        <v>23</v>
      </c>
      <c r="H24" s="2">
        <v>16</v>
      </c>
      <c r="I24" s="7">
        <v>57.93</v>
      </c>
      <c r="J24" s="2">
        <v>0</v>
      </c>
      <c r="K24" s="7">
        <v>926.88</v>
      </c>
      <c r="L24" s="2" t="s">
        <v>2347</v>
      </c>
      <c r="M24" s="2" t="s">
        <v>2364</v>
      </c>
    </row>
    <row r="25" spans="1:13" x14ac:dyDescent="0.3">
      <c r="A25" s="2" t="s">
        <v>970</v>
      </c>
      <c r="B25" s="5">
        <v>46008</v>
      </c>
      <c r="C25" s="2" t="s">
        <v>971</v>
      </c>
      <c r="D25" s="2" t="s">
        <v>24</v>
      </c>
      <c r="E25" s="2" t="s">
        <v>104</v>
      </c>
      <c r="F25" s="2" t="s">
        <v>40</v>
      </c>
      <c r="G25" s="2" t="s">
        <v>23</v>
      </c>
      <c r="H25" s="2">
        <v>25</v>
      </c>
      <c r="I25" s="7">
        <v>41.44</v>
      </c>
      <c r="J25" s="2">
        <v>5</v>
      </c>
      <c r="K25" s="7">
        <v>984.2</v>
      </c>
      <c r="L25" s="2" t="s">
        <v>49</v>
      </c>
      <c r="M25" s="2" t="s">
        <v>2365</v>
      </c>
    </row>
    <row r="26" spans="1:13" x14ac:dyDescent="0.3">
      <c r="A26" s="2" t="s">
        <v>646</v>
      </c>
      <c r="B26" s="5">
        <v>45729</v>
      </c>
      <c r="C26" s="2" t="s">
        <v>647</v>
      </c>
      <c r="D26" s="2" t="s">
        <v>24</v>
      </c>
      <c r="E26" s="2" t="s">
        <v>104</v>
      </c>
      <c r="F26" s="2" t="s">
        <v>40</v>
      </c>
      <c r="G26" s="2" t="s">
        <v>23</v>
      </c>
      <c r="H26" s="2">
        <v>36</v>
      </c>
      <c r="I26" s="7">
        <v>36.5</v>
      </c>
      <c r="J26" s="2">
        <v>20</v>
      </c>
      <c r="K26" s="7">
        <v>1051.2</v>
      </c>
      <c r="L26" s="2" t="s">
        <v>27</v>
      </c>
      <c r="M26" s="2" t="s">
        <v>2364</v>
      </c>
    </row>
    <row r="27" spans="1:13" x14ac:dyDescent="0.3">
      <c r="A27" s="2" t="s">
        <v>2276</v>
      </c>
      <c r="B27" s="5">
        <v>46062</v>
      </c>
      <c r="C27" s="2" t="s">
        <v>2277</v>
      </c>
      <c r="D27" s="2" t="s">
        <v>24</v>
      </c>
      <c r="E27" s="2" t="s">
        <v>25</v>
      </c>
      <c r="F27" s="2" t="s">
        <v>40</v>
      </c>
      <c r="G27" s="2" t="s">
        <v>23</v>
      </c>
      <c r="H27" s="2">
        <v>22</v>
      </c>
      <c r="I27" s="7">
        <v>49.42</v>
      </c>
      <c r="J27" s="2">
        <v>0</v>
      </c>
      <c r="K27" s="7">
        <v>1087.24</v>
      </c>
      <c r="L27" s="2" t="s">
        <v>49</v>
      </c>
      <c r="M27" s="2" t="s">
        <v>2365</v>
      </c>
    </row>
    <row r="28" spans="1:13" x14ac:dyDescent="0.3">
      <c r="A28" s="2" t="s">
        <v>1077</v>
      </c>
      <c r="B28" s="5">
        <v>46216</v>
      </c>
      <c r="C28" s="2" t="s">
        <v>1078</v>
      </c>
      <c r="D28" s="2" t="s">
        <v>16</v>
      </c>
      <c r="E28" s="2" t="s">
        <v>17</v>
      </c>
      <c r="F28" s="2" t="s">
        <v>40</v>
      </c>
      <c r="G28" s="2" t="s">
        <v>23</v>
      </c>
      <c r="H28" s="2">
        <v>24</v>
      </c>
      <c r="I28" s="7">
        <v>53.5</v>
      </c>
      <c r="J28" s="2">
        <v>15</v>
      </c>
      <c r="K28" s="7">
        <v>1091.4000000000001</v>
      </c>
      <c r="L28" s="2" t="s">
        <v>49</v>
      </c>
      <c r="M28" s="2" t="s">
        <v>2364</v>
      </c>
    </row>
    <row r="29" spans="1:13" x14ac:dyDescent="0.3">
      <c r="A29" s="2" t="s">
        <v>559</v>
      </c>
      <c r="B29" s="5">
        <v>45587</v>
      </c>
      <c r="C29" s="2" t="s">
        <v>560</v>
      </c>
      <c r="D29" s="2" t="s">
        <v>46</v>
      </c>
      <c r="E29" s="2" t="s">
        <v>124</v>
      </c>
      <c r="F29" s="2" t="s">
        <v>40</v>
      </c>
      <c r="G29" s="2" t="s">
        <v>23</v>
      </c>
      <c r="H29" s="2">
        <v>21</v>
      </c>
      <c r="I29" s="7">
        <v>58.83</v>
      </c>
      <c r="J29" s="2">
        <v>10</v>
      </c>
      <c r="K29" s="7">
        <v>1111.8900000000001</v>
      </c>
      <c r="L29" s="2" t="s">
        <v>69</v>
      </c>
      <c r="M29" s="2" t="s">
        <v>2364</v>
      </c>
    </row>
    <row r="30" spans="1:13" x14ac:dyDescent="0.3">
      <c r="A30" s="2" t="s">
        <v>1616</v>
      </c>
      <c r="B30" s="5">
        <v>45970</v>
      </c>
      <c r="C30" s="2" t="s">
        <v>179</v>
      </c>
      <c r="D30" s="2" t="s">
        <v>46</v>
      </c>
      <c r="E30" s="2" t="s">
        <v>124</v>
      </c>
      <c r="F30" s="2" t="s">
        <v>40</v>
      </c>
      <c r="G30" s="2" t="s">
        <v>23</v>
      </c>
      <c r="H30" s="2">
        <v>26</v>
      </c>
      <c r="I30" s="7">
        <v>43.84</v>
      </c>
      <c r="J30" s="2">
        <v>0</v>
      </c>
      <c r="K30" s="7">
        <v>1139.8399999999999</v>
      </c>
      <c r="L30" s="2" t="s">
        <v>27</v>
      </c>
      <c r="M30" s="2" t="s">
        <v>2364</v>
      </c>
    </row>
    <row r="31" spans="1:13" x14ac:dyDescent="0.3">
      <c r="A31" s="2" t="s">
        <v>685</v>
      </c>
      <c r="B31" s="5">
        <v>45924</v>
      </c>
      <c r="C31" s="2" t="s">
        <v>686</v>
      </c>
      <c r="D31" s="2" t="s">
        <v>16</v>
      </c>
      <c r="E31" s="2" t="s">
        <v>91</v>
      </c>
      <c r="F31" s="2" t="s">
        <v>40</v>
      </c>
      <c r="G31" s="2" t="s">
        <v>23</v>
      </c>
      <c r="H31" s="2">
        <v>23</v>
      </c>
      <c r="I31" s="7">
        <v>52.28</v>
      </c>
      <c r="J31" s="2">
        <v>5</v>
      </c>
      <c r="K31" s="7">
        <v>1142.32</v>
      </c>
      <c r="L31" s="2" t="s">
        <v>2347</v>
      </c>
      <c r="M31" s="2" t="s">
        <v>2364</v>
      </c>
    </row>
    <row r="32" spans="1:13" x14ac:dyDescent="0.3">
      <c r="A32" s="2" t="s">
        <v>954</v>
      </c>
      <c r="B32" s="5">
        <v>45723</v>
      </c>
      <c r="C32" s="2" t="s">
        <v>763</v>
      </c>
      <c r="D32" s="2" t="s">
        <v>46</v>
      </c>
      <c r="E32" s="2" t="s">
        <v>244</v>
      </c>
      <c r="F32" s="2" t="s">
        <v>40</v>
      </c>
      <c r="G32" s="2" t="s">
        <v>23</v>
      </c>
      <c r="H32" s="2">
        <v>24</v>
      </c>
      <c r="I32" s="7">
        <v>51.39</v>
      </c>
      <c r="J32" s="2">
        <v>0</v>
      </c>
      <c r="K32" s="7">
        <v>1233.3599999999999</v>
      </c>
      <c r="L32" s="2" t="s">
        <v>31</v>
      </c>
      <c r="M32" s="2" t="s">
        <v>2364</v>
      </c>
    </row>
    <row r="33" spans="1:13" x14ac:dyDescent="0.3">
      <c r="A33" s="2" t="s">
        <v>1780</v>
      </c>
      <c r="B33" s="5">
        <v>45576</v>
      </c>
      <c r="C33" s="2" t="s">
        <v>1642</v>
      </c>
      <c r="D33" s="2" t="s">
        <v>16</v>
      </c>
      <c r="E33" s="2" t="s">
        <v>74</v>
      </c>
      <c r="F33" s="2" t="s">
        <v>40</v>
      </c>
      <c r="G33" s="2" t="s">
        <v>23</v>
      </c>
      <c r="H33" s="2">
        <v>17</v>
      </c>
      <c r="I33" s="7">
        <v>75.599999999999994</v>
      </c>
      <c r="J33" s="2">
        <v>0</v>
      </c>
      <c r="K33" s="7">
        <v>1285.2</v>
      </c>
      <c r="L33" s="2" t="s">
        <v>31</v>
      </c>
      <c r="M33" s="2" t="s">
        <v>2364</v>
      </c>
    </row>
    <row r="34" spans="1:13" x14ac:dyDescent="0.3">
      <c r="A34" s="2" t="s">
        <v>1166</v>
      </c>
      <c r="B34" s="5">
        <v>45946</v>
      </c>
      <c r="C34" s="2" t="s">
        <v>659</v>
      </c>
      <c r="D34" s="2" t="s">
        <v>16</v>
      </c>
      <c r="E34" s="2" t="s">
        <v>91</v>
      </c>
      <c r="F34" s="2" t="s">
        <v>40</v>
      </c>
      <c r="G34" s="2" t="s">
        <v>23</v>
      </c>
      <c r="H34" s="2">
        <v>29</v>
      </c>
      <c r="I34" s="7">
        <v>45.1</v>
      </c>
      <c r="J34" s="2">
        <v>0</v>
      </c>
      <c r="K34" s="7">
        <v>1307.9000000000001</v>
      </c>
      <c r="L34" s="2" t="s">
        <v>27</v>
      </c>
      <c r="M34" s="2" t="s">
        <v>2364</v>
      </c>
    </row>
    <row r="35" spans="1:13" x14ac:dyDescent="0.3">
      <c r="A35" s="2" t="s">
        <v>1547</v>
      </c>
      <c r="B35" s="5">
        <v>45636</v>
      </c>
      <c r="C35" s="2" t="s">
        <v>1206</v>
      </c>
      <c r="D35" s="2" t="s">
        <v>46</v>
      </c>
      <c r="E35" s="2" t="s">
        <v>83</v>
      </c>
      <c r="F35" s="2" t="s">
        <v>40</v>
      </c>
      <c r="G35" s="2" t="s">
        <v>23</v>
      </c>
      <c r="H35" s="2">
        <v>48</v>
      </c>
      <c r="I35" s="7">
        <v>34.119999999999997</v>
      </c>
      <c r="J35" s="2">
        <v>20</v>
      </c>
      <c r="K35" s="7">
        <v>1310.21</v>
      </c>
      <c r="L35" s="2" t="s">
        <v>69</v>
      </c>
      <c r="M35" s="2" t="s">
        <v>2365</v>
      </c>
    </row>
    <row r="36" spans="1:13" x14ac:dyDescent="0.3">
      <c r="A36" s="2" t="s">
        <v>849</v>
      </c>
      <c r="B36" s="5">
        <v>45892</v>
      </c>
      <c r="C36" s="2" t="s">
        <v>850</v>
      </c>
      <c r="D36" s="2" t="s">
        <v>16</v>
      </c>
      <c r="E36" s="2" t="s">
        <v>160</v>
      </c>
      <c r="F36" s="2" t="s">
        <v>40</v>
      </c>
      <c r="G36" s="2" t="s">
        <v>23</v>
      </c>
      <c r="H36" s="2">
        <v>21</v>
      </c>
      <c r="I36" s="7">
        <v>62.6</v>
      </c>
      <c r="J36" s="2">
        <v>0</v>
      </c>
      <c r="K36" s="7">
        <v>1314.6</v>
      </c>
      <c r="L36" s="2" t="s">
        <v>2347</v>
      </c>
      <c r="M36" s="2" t="s">
        <v>2364</v>
      </c>
    </row>
    <row r="37" spans="1:13" x14ac:dyDescent="0.3">
      <c r="A37" s="2" t="s">
        <v>735</v>
      </c>
      <c r="B37" s="5">
        <v>46073</v>
      </c>
      <c r="C37" s="2" t="s">
        <v>330</v>
      </c>
      <c r="D37" s="2" t="s">
        <v>16</v>
      </c>
      <c r="E37" s="2" t="s">
        <v>74</v>
      </c>
      <c r="F37" s="2" t="s">
        <v>40</v>
      </c>
      <c r="G37" s="2" t="s">
        <v>23</v>
      </c>
      <c r="H37" s="2">
        <v>28</v>
      </c>
      <c r="I37" s="7">
        <v>49.1</v>
      </c>
      <c r="J37" s="2">
        <v>0</v>
      </c>
      <c r="K37" s="7">
        <v>1374.8</v>
      </c>
      <c r="L37" s="2" t="s">
        <v>27</v>
      </c>
      <c r="M37" s="2" t="s">
        <v>2364</v>
      </c>
    </row>
    <row r="38" spans="1:13" x14ac:dyDescent="0.3">
      <c r="A38" s="2" t="s">
        <v>1680</v>
      </c>
      <c r="B38" s="5">
        <v>46121</v>
      </c>
      <c r="C38" s="2" t="s">
        <v>1681</v>
      </c>
      <c r="D38" s="2" t="s">
        <v>24</v>
      </c>
      <c r="E38" s="2" t="s">
        <v>25</v>
      </c>
      <c r="F38" s="2" t="s">
        <v>40</v>
      </c>
      <c r="G38" s="2" t="s">
        <v>23</v>
      </c>
      <c r="H38" s="2">
        <v>46</v>
      </c>
      <c r="I38" s="7">
        <v>31.49</v>
      </c>
      <c r="J38" s="2">
        <v>5</v>
      </c>
      <c r="K38" s="7">
        <v>1376.11</v>
      </c>
      <c r="L38" s="2" t="s">
        <v>2347</v>
      </c>
      <c r="M38" s="2" t="s">
        <v>2364</v>
      </c>
    </row>
    <row r="39" spans="1:13" x14ac:dyDescent="0.3">
      <c r="A39" s="2" t="s">
        <v>1789</v>
      </c>
      <c r="B39" s="5">
        <v>45893</v>
      </c>
      <c r="C39" s="2" t="s">
        <v>1790</v>
      </c>
      <c r="D39" s="2" t="s">
        <v>24</v>
      </c>
      <c r="E39" s="2" t="s">
        <v>59</v>
      </c>
      <c r="F39" s="2" t="s">
        <v>40</v>
      </c>
      <c r="G39" s="2" t="s">
        <v>23</v>
      </c>
      <c r="H39" s="2">
        <v>39</v>
      </c>
      <c r="I39" s="7">
        <v>36.270000000000003</v>
      </c>
      <c r="J39" s="2">
        <v>0</v>
      </c>
      <c r="K39" s="7">
        <v>1414.53</v>
      </c>
      <c r="L39" s="2" t="s">
        <v>69</v>
      </c>
      <c r="M39" s="2" t="s">
        <v>2365</v>
      </c>
    </row>
    <row r="40" spans="1:13" x14ac:dyDescent="0.3">
      <c r="A40" s="2" t="s">
        <v>2047</v>
      </c>
      <c r="B40" s="5">
        <v>45689</v>
      </c>
      <c r="C40" s="2" t="s">
        <v>2048</v>
      </c>
      <c r="D40" s="2" t="s">
        <v>24</v>
      </c>
      <c r="E40" s="2" t="s">
        <v>25</v>
      </c>
      <c r="F40" s="2" t="s">
        <v>40</v>
      </c>
      <c r="G40" s="2" t="s">
        <v>23</v>
      </c>
      <c r="H40" s="2">
        <v>43</v>
      </c>
      <c r="I40" s="7">
        <v>39.049999999999997</v>
      </c>
      <c r="J40" s="2">
        <v>15</v>
      </c>
      <c r="K40" s="7">
        <v>1427.28</v>
      </c>
      <c r="L40" s="2" t="s">
        <v>2347</v>
      </c>
      <c r="M40" s="2" t="s">
        <v>2364</v>
      </c>
    </row>
    <row r="41" spans="1:13" x14ac:dyDescent="0.3">
      <c r="A41" s="2" t="s">
        <v>261</v>
      </c>
      <c r="B41" s="5">
        <v>45879</v>
      </c>
      <c r="C41" s="2" t="s">
        <v>262</v>
      </c>
      <c r="D41" s="2" t="s">
        <v>16</v>
      </c>
      <c r="E41" s="2" t="s">
        <v>91</v>
      </c>
      <c r="F41" s="2" t="s">
        <v>40</v>
      </c>
      <c r="G41" s="2" t="s">
        <v>23</v>
      </c>
      <c r="H41" s="2">
        <v>23</v>
      </c>
      <c r="I41" s="7">
        <v>64.349999999999994</v>
      </c>
      <c r="J41" s="2">
        <v>0</v>
      </c>
      <c r="K41" s="7">
        <v>1480.05</v>
      </c>
      <c r="L41" s="2" t="s">
        <v>49</v>
      </c>
      <c r="M41" s="2" t="s">
        <v>2364</v>
      </c>
    </row>
    <row r="42" spans="1:13" x14ac:dyDescent="0.3">
      <c r="A42" s="2" t="s">
        <v>1728</v>
      </c>
      <c r="B42" s="5">
        <v>46193</v>
      </c>
      <c r="C42" s="2" t="s">
        <v>267</v>
      </c>
      <c r="D42" s="2" t="s">
        <v>24</v>
      </c>
      <c r="E42" s="2" t="s">
        <v>36</v>
      </c>
      <c r="F42" s="2" t="s">
        <v>40</v>
      </c>
      <c r="G42" s="2" t="s">
        <v>23</v>
      </c>
      <c r="H42" s="2">
        <v>43</v>
      </c>
      <c r="I42" s="7">
        <v>34.44</v>
      </c>
      <c r="J42" s="2">
        <v>0</v>
      </c>
      <c r="K42" s="7">
        <v>1480.92</v>
      </c>
      <c r="L42" s="2" t="s">
        <v>31</v>
      </c>
      <c r="M42" s="2" t="s">
        <v>2364</v>
      </c>
    </row>
    <row r="43" spans="1:13" x14ac:dyDescent="0.3">
      <c r="A43" s="2" t="s">
        <v>794</v>
      </c>
      <c r="B43" s="5">
        <v>45768</v>
      </c>
      <c r="C43" s="2" t="s">
        <v>795</v>
      </c>
      <c r="D43" s="2" t="s">
        <v>24</v>
      </c>
      <c r="E43" s="2" t="s">
        <v>25</v>
      </c>
      <c r="F43" s="2" t="s">
        <v>40</v>
      </c>
      <c r="G43" s="2" t="s">
        <v>23</v>
      </c>
      <c r="H43" s="2">
        <v>40</v>
      </c>
      <c r="I43" s="7">
        <v>37.270000000000003</v>
      </c>
      <c r="J43" s="2">
        <v>0</v>
      </c>
      <c r="K43" s="7">
        <v>1490.8</v>
      </c>
      <c r="L43" s="2" t="s">
        <v>2347</v>
      </c>
      <c r="M43" s="2" t="s">
        <v>2364</v>
      </c>
    </row>
    <row r="44" spans="1:13" x14ac:dyDescent="0.3">
      <c r="A44" s="2" t="s">
        <v>1472</v>
      </c>
      <c r="B44" s="5">
        <v>45825</v>
      </c>
      <c r="C44" s="2" t="s">
        <v>1473</v>
      </c>
      <c r="D44" s="2" t="s">
        <v>46</v>
      </c>
      <c r="E44" s="2" t="s">
        <v>78</v>
      </c>
      <c r="F44" s="2" t="s">
        <v>40</v>
      </c>
      <c r="G44" s="2" t="s">
        <v>23</v>
      </c>
      <c r="H44" s="2">
        <v>23</v>
      </c>
      <c r="I44" s="7">
        <v>78.849999999999994</v>
      </c>
      <c r="J44" s="2">
        <v>15</v>
      </c>
      <c r="K44" s="7">
        <v>1541.52</v>
      </c>
      <c r="L44" s="2" t="s">
        <v>49</v>
      </c>
      <c r="M44" s="2" t="s">
        <v>2364</v>
      </c>
    </row>
    <row r="45" spans="1:13" x14ac:dyDescent="0.3">
      <c r="A45" s="2" t="s">
        <v>1351</v>
      </c>
      <c r="B45" s="5">
        <v>45650</v>
      </c>
      <c r="C45" s="2" t="s">
        <v>1352</v>
      </c>
      <c r="D45" s="2" t="s">
        <v>46</v>
      </c>
      <c r="E45" s="2" t="s">
        <v>47</v>
      </c>
      <c r="F45" s="2" t="s">
        <v>40</v>
      </c>
      <c r="G45" s="2" t="s">
        <v>23</v>
      </c>
      <c r="H45" s="2">
        <v>20</v>
      </c>
      <c r="I45" s="7">
        <v>77.650000000000006</v>
      </c>
      <c r="J45" s="2">
        <v>0</v>
      </c>
      <c r="K45" s="7">
        <v>1553</v>
      </c>
      <c r="L45" s="2" t="s">
        <v>2347</v>
      </c>
      <c r="M45" s="2" t="s">
        <v>2364</v>
      </c>
    </row>
    <row r="46" spans="1:13" x14ac:dyDescent="0.3">
      <c r="A46" s="2" t="s">
        <v>1694</v>
      </c>
      <c r="B46" s="5">
        <v>46280</v>
      </c>
      <c r="C46" s="2" t="s">
        <v>1695</v>
      </c>
      <c r="D46" s="2" t="s">
        <v>46</v>
      </c>
      <c r="E46" s="2" t="s">
        <v>78</v>
      </c>
      <c r="F46" s="2" t="s">
        <v>40</v>
      </c>
      <c r="G46" s="2" t="s">
        <v>23</v>
      </c>
      <c r="H46" s="2">
        <v>37</v>
      </c>
      <c r="I46" s="7">
        <v>50.9</v>
      </c>
      <c r="J46" s="2">
        <v>15</v>
      </c>
      <c r="K46" s="7">
        <v>1600.8</v>
      </c>
      <c r="L46" s="2" t="s">
        <v>49</v>
      </c>
      <c r="M46" s="2" t="s">
        <v>2364</v>
      </c>
    </row>
    <row r="47" spans="1:13" x14ac:dyDescent="0.3">
      <c r="A47" s="2" t="s">
        <v>1763</v>
      </c>
      <c r="B47" s="5">
        <v>46040</v>
      </c>
      <c r="C47" s="2" t="s">
        <v>1764</v>
      </c>
      <c r="D47" s="2" t="s">
        <v>46</v>
      </c>
      <c r="E47" s="2" t="s">
        <v>244</v>
      </c>
      <c r="F47" s="2" t="s">
        <v>40</v>
      </c>
      <c r="G47" s="2" t="s">
        <v>23</v>
      </c>
      <c r="H47" s="2">
        <v>30</v>
      </c>
      <c r="I47" s="7">
        <v>53.53</v>
      </c>
      <c r="J47" s="2">
        <v>0</v>
      </c>
      <c r="K47" s="7">
        <v>1605.9</v>
      </c>
      <c r="L47" s="2" t="s">
        <v>27</v>
      </c>
      <c r="M47" s="2" t="s">
        <v>2364</v>
      </c>
    </row>
    <row r="48" spans="1:13" x14ac:dyDescent="0.3">
      <c r="A48" s="2" t="s">
        <v>1862</v>
      </c>
      <c r="B48" s="5">
        <v>46196</v>
      </c>
      <c r="C48" s="2" t="s">
        <v>1863</v>
      </c>
      <c r="D48" s="2" t="s">
        <v>46</v>
      </c>
      <c r="E48" s="2" t="s">
        <v>47</v>
      </c>
      <c r="F48" s="2" t="s">
        <v>40</v>
      </c>
      <c r="G48" s="2" t="s">
        <v>23</v>
      </c>
      <c r="H48" s="2">
        <v>30</v>
      </c>
      <c r="I48" s="7">
        <v>66.099999999999994</v>
      </c>
      <c r="J48" s="2">
        <v>15</v>
      </c>
      <c r="K48" s="7">
        <v>1685.55</v>
      </c>
      <c r="L48" s="2" t="s">
        <v>2347</v>
      </c>
      <c r="M48" s="2" t="s">
        <v>2364</v>
      </c>
    </row>
    <row r="49" spans="1:13" x14ac:dyDescent="0.3">
      <c r="A49" s="2" t="s">
        <v>2182</v>
      </c>
      <c r="B49" s="5">
        <v>45799</v>
      </c>
      <c r="C49" s="2" t="s">
        <v>1452</v>
      </c>
      <c r="D49" s="2" t="s">
        <v>24</v>
      </c>
      <c r="E49" s="2" t="s">
        <v>36</v>
      </c>
      <c r="F49" s="2" t="s">
        <v>40</v>
      </c>
      <c r="G49" s="2" t="s">
        <v>23</v>
      </c>
      <c r="H49" s="2">
        <v>48</v>
      </c>
      <c r="I49" s="7">
        <v>36.590000000000003</v>
      </c>
      <c r="J49" s="2">
        <v>0</v>
      </c>
      <c r="K49" s="7">
        <v>1756.32</v>
      </c>
      <c r="L49" s="2" t="s">
        <v>27</v>
      </c>
      <c r="M49" s="2" t="s">
        <v>2364</v>
      </c>
    </row>
    <row r="50" spans="1:13" x14ac:dyDescent="0.3">
      <c r="A50" s="2" t="s">
        <v>1787</v>
      </c>
      <c r="B50" s="5">
        <v>46016</v>
      </c>
      <c r="C50" s="2" t="s">
        <v>1788</v>
      </c>
      <c r="D50" s="2" t="s">
        <v>16</v>
      </c>
      <c r="E50" s="2" t="s">
        <v>74</v>
      </c>
      <c r="F50" s="2" t="s">
        <v>40</v>
      </c>
      <c r="G50" s="2" t="s">
        <v>23</v>
      </c>
      <c r="H50" s="2">
        <v>41</v>
      </c>
      <c r="I50" s="7">
        <v>50.85</v>
      </c>
      <c r="J50" s="2">
        <v>10</v>
      </c>
      <c r="K50" s="7">
        <v>1876.37</v>
      </c>
      <c r="L50" s="2" t="s">
        <v>69</v>
      </c>
      <c r="M50" s="2" t="s">
        <v>2364</v>
      </c>
    </row>
    <row r="51" spans="1:13" x14ac:dyDescent="0.3">
      <c r="A51" s="2" t="s">
        <v>1965</v>
      </c>
      <c r="B51" s="5">
        <v>46117</v>
      </c>
      <c r="C51" s="2" t="s">
        <v>1966</v>
      </c>
      <c r="D51" s="2" t="s">
        <v>16</v>
      </c>
      <c r="E51" s="2" t="s">
        <v>17</v>
      </c>
      <c r="F51" s="2" t="s">
        <v>40</v>
      </c>
      <c r="G51" s="2" t="s">
        <v>23</v>
      </c>
      <c r="H51" s="2">
        <v>43</v>
      </c>
      <c r="I51" s="7">
        <v>49.27</v>
      </c>
      <c r="J51" s="2">
        <v>10</v>
      </c>
      <c r="K51" s="7">
        <v>1906.75</v>
      </c>
      <c r="L51" s="2" t="s">
        <v>27</v>
      </c>
      <c r="M51" s="2" t="s">
        <v>2364</v>
      </c>
    </row>
    <row r="52" spans="1:13" x14ac:dyDescent="0.3">
      <c r="A52" s="2" t="s">
        <v>2196</v>
      </c>
      <c r="B52" s="5">
        <v>46176</v>
      </c>
      <c r="C52" s="2" t="s">
        <v>2197</v>
      </c>
      <c r="D52" s="2" t="s">
        <v>24</v>
      </c>
      <c r="E52" s="2" t="s">
        <v>25</v>
      </c>
      <c r="F52" s="2" t="s">
        <v>40</v>
      </c>
      <c r="G52" s="2" t="s">
        <v>23</v>
      </c>
      <c r="H52" s="2">
        <v>32</v>
      </c>
      <c r="I52" s="7">
        <v>65.02</v>
      </c>
      <c r="J52" s="2">
        <v>5</v>
      </c>
      <c r="K52" s="7">
        <v>1976.61</v>
      </c>
      <c r="L52" s="2" t="s">
        <v>69</v>
      </c>
      <c r="M52" s="2" t="s">
        <v>2364</v>
      </c>
    </row>
    <row r="53" spans="1:13" x14ac:dyDescent="0.3">
      <c r="A53" s="2" t="s">
        <v>199</v>
      </c>
      <c r="B53" s="5">
        <v>45897</v>
      </c>
      <c r="C53" s="2" t="s">
        <v>200</v>
      </c>
      <c r="D53" s="2" t="s">
        <v>24</v>
      </c>
      <c r="E53" s="2" t="s">
        <v>59</v>
      </c>
      <c r="F53" s="2" t="s">
        <v>40</v>
      </c>
      <c r="G53" s="2" t="s">
        <v>23</v>
      </c>
      <c r="H53" s="2">
        <v>44</v>
      </c>
      <c r="I53" s="7">
        <v>47.86</v>
      </c>
      <c r="J53" s="2">
        <v>0</v>
      </c>
      <c r="K53" s="7">
        <v>2105.84</v>
      </c>
      <c r="L53" s="2" t="s">
        <v>31</v>
      </c>
      <c r="M53" s="2" t="s">
        <v>2365</v>
      </c>
    </row>
    <row r="54" spans="1:13" x14ac:dyDescent="0.3">
      <c r="A54" s="2" t="s">
        <v>582</v>
      </c>
      <c r="B54" s="5">
        <v>45811</v>
      </c>
      <c r="C54" s="2" t="s">
        <v>583</v>
      </c>
      <c r="D54" s="2" t="s">
        <v>53</v>
      </c>
      <c r="E54" s="2" t="s">
        <v>141</v>
      </c>
      <c r="F54" s="2" t="s">
        <v>40</v>
      </c>
      <c r="G54" s="2" t="s">
        <v>23</v>
      </c>
      <c r="H54" s="2">
        <v>28</v>
      </c>
      <c r="I54" s="7">
        <v>79.739999999999995</v>
      </c>
      <c r="J54" s="2">
        <v>5</v>
      </c>
      <c r="K54" s="7">
        <v>2121.08</v>
      </c>
      <c r="L54" s="2" t="s">
        <v>31</v>
      </c>
      <c r="M54" s="2" t="s">
        <v>2364</v>
      </c>
    </row>
    <row r="55" spans="1:13" x14ac:dyDescent="0.3">
      <c r="A55" s="2" t="s">
        <v>727</v>
      </c>
      <c r="B55" s="5">
        <v>45752</v>
      </c>
      <c r="C55" s="2" t="s">
        <v>728</v>
      </c>
      <c r="D55" s="2" t="s">
        <v>46</v>
      </c>
      <c r="E55" s="2" t="s">
        <v>83</v>
      </c>
      <c r="F55" s="2" t="s">
        <v>40</v>
      </c>
      <c r="G55" s="2" t="s">
        <v>23</v>
      </c>
      <c r="H55" s="2">
        <v>33</v>
      </c>
      <c r="I55" s="7">
        <v>73.66</v>
      </c>
      <c r="J55" s="2">
        <v>10</v>
      </c>
      <c r="K55" s="7">
        <v>2187.6999999999998</v>
      </c>
      <c r="L55" s="2" t="s">
        <v>69</v>
      </c>
      <c r="M55" s="2" t="s">
        <v>2364</v>
      </c>
    </row>
    <row r="56" spans="1:13" x14ac:dyDescent="0.3">
      <c r="A56" s="2" t="s">
        <v>2078</v>
      </c>
      <c r="B56" s="5">
        <v>46151</v>
      </c>
      <c r="C56" s="2" t="s">
        <v>665</v>
      </c>
      <c r="D56" s="2" t="s">
        <v>53</v>
      </c>
      <c r="E56" s="2" t="s">
        <v>54</v>
      </c>
      <c r="F56" s="2" t="s">
        <v>40</v>
      </c>
      <c r="G56" s="2" t="s">
        <v>23</v>
      </c>
      <c r="H56" s="2">
        <v>46</v>
      </c>
      <c r="I56" s="7">
        <v>47.95</v>
      </c>
      <c r="J56" s="2">
        <v>0</v>
      </c>
      <c r="K56" s="7">
        <v>2205.6999999999998</v>
      </c>
      <c r="L56" s="2" t="s">
        <v>49</v>
      </c>
      <c r="M56" s="2" t="s">
        <v>2364</v>
      </c>
    </row>
    <row r="57" spans="1:13" x14ac:dyDescent="0.3">
      <c r="A57" s="2" t="s">
        <v>350</v>
      </c>
      <c r="B57" s="5">
        <v>46096</v>
      </c>
      <c r="C57" s="2" t="s">
        <v>351</v>
      </c>
      <c r="D57" s="2" t="s">
        <v>53</v>
      </c>
      <c r="E57" s="2" t="s">
        <v>170</v>
      </c>
      <c r="F57" s="2" t="s">
        <v>40</v>
      </c>
      <c r="G57" s="2" t="s">
        <v>23</v>
      </c>
      <c r="H57" s="2">
        <v>34</v>
      </c>
      <c r="I57" s="7">
        <v>69.430000000000007</v>
      </c>
      <c r="J57" s="2">
        <v>0</v>
      </c>
      <c r="K57" s="7">
        <v>2360.62</v>
      </c>
      <c r="L57" s="2" t="s">
        <v>49</v>
      </c>
      <c r="M57" s="2" t="s">
        <v>2365</v>
      </c>
    </row>
    <row r="58" spans="1:13" x14ac:dyDescent="0.3">
      <c r="A58" s="2" t="s">
        <v>1881</v>
      </c>
      <c r="B58" s="5">
        <v>46061</v>
      </c>
      <c r="C58" s="2" t="s">
        <v>719</v>
      </c>
      <c r="D58" s="2" t="s">
        <v>16</v>
      </c>
      <c r="E58" s="2" t="s">
        <v>111</v>
      </c>
      <c r="F58" s="2" t="s">
        <v>40</v>
      </c>
      <c r="G58" s="2" t="s">
        <v>23</v>
      </c>
      <c r="H58" s="2">
        <v>50</v>
      </c>
      <c r="I58" s="7">
        <v>48.25</v>
      </c>
      <c r="J58" s="2">
        <v>0</v>
      </c>
      <c r="K58" s="7">
        <v>2412.5</v>
      </c>
      <c r="L58" s="2" t="s">
        <v>2347</v>
      </c>
      <c r="M58" s="2" t="s">
        <v>2365</v>
      </c>
    </row>
    <row r="59" spans="1:13" x14ac:dyDescent="0.3">
      <c r="A59" s="2" t="s">
        <v>668</v>
      </c>
      <c r="B59" s="5">
        <v>46055</v>
      </c>
      <c r="C59" s="2" t="s">
        <v>669</v>
      </c>
      <c r="D59" s="2" t="s">
        <v>53</v>
      </c>
      <c r="E59" s="2" t="s">
        <v>67</v>
      </c>
      <c r="F59" s="2" t="s">
        <v>40</v>
      </c>
      <c r="G59" s="2" t="s">
        <v>23</v>
      </c>
      <c r="H59" s="2">
        <v>42</v>
      </c>
      <c r="I59" s="7">
        <v>65.62</v>
      </c>
      <c r="J59" s="2">
        <v>10</v>
      </c>
      <c r="K59" s="7">
        <v>2480.44</v>
      </c>
      <c r="L59" s="2" t="s">
        <v>27</v>
      </c>
      <c r="M59" s="2" t="s">
        <v>2365</v>
      </c>
    </row>
    <row r="60" spans="1:13" x14ac:dyDescent="0.3">
      <c r="A60" s="2" t="s">
        <v>2044</v>
      </c>
      <c r="B60" s="5">
        <v>46103</v>
      </c>
      <c r="C60" s="2" t="s">
        <v>1877</v>
      </c>
      <c r="D60" s="2" t="s">
        <v>24</v>
      </c>
      <c r="E60" s="2" t="s">
        <v>36</v>
      </c>
      <c r="F60" s="2" t="s">
        <v>40</v>
      </c>
      <c r="G60" s="2" t="s">
        <v>23</v>
      </c>
      <c r="H60" s="2">
        <v>47</v>
      </c>
      <c r="I60" s="7">
        <v>66.36</v>
      </c>
      <c r="J60" s="2">
        <v>20</v>
      </c>
      <c r="K60" s="7">
        <v>2495.14</v>
      </c>
      <c r="L60" s="2" t="s">
        <v>49</v>
      </c>
      <c r="M60" s="2" t="s">
        <v>2364</v>
      </c>
    </row>
    <row r="61" spans="1:13" x14ac:dyDescent="0.3">
      <c r="A61" s="2" t="s">
        <v>1074</v>
      </c>
      <c r="B61" s="5">
        <v>45650</v>
      </c>
      <c r="C61" s="2" t="s">
        <v>1075</v>
      </c>
      <c r="D61" s="2" t="s">
        <v>53</v>
      </c>
      <c r="E61" s="2" t="s">
        <v>134</v>
      </c>
      <c r="F61" s="2" t="s">
        <v>40</v>
      </c>
      <c r="G61" s="2" t="s">
        <v>23</v>
      </c>
      <c r="H61" s="2">
        <v>40</v>
      </c>
      <c r="I61" s="7">
        <v>63.91</v>
      </c>
      <c r="J61" s="2">
        <v>0</v>
      </c>
      <c r="K61" s="7">
        <v>2556.4</v>
      </c>
      <c r="L61" s="2" t="s">
        <v>27</v>
      </c>
      <c r="M61" s="2" t="s">
        <v>2364</v>
      </c>
    </row>
    <row r="62" spans="1:13" x14ac:dyDescent="0.3">
      <c r="A62" s="2" t="s">
        <v>1491</v>
      </c>
      <c r="B62" s="5">
        <v>45626</v>
      </c>
      <c r="C62" s="2" t="s">
        <v>1492</v>
      </c>
      <c r="D62" s="2" t="s">
        <v>53</v>
      </c>
      <c r="E62" s="2" t="s">
        <v>170</v>
      </c>
      <c r="F62" s="2" t="s">
        <v>40</v>
      </c>
      <c r="G62" s="2" t="s">
        <v>23</v>
      </c>
      <c r="H62" s="2">
        <v>42</v>
      </c>
      <c r="I62" s="7">
        <v>74.81</v>
      </c>
      <c r="J62" s="2">
        <v>10</v>
      </c>
      <c r="K62" s="7">
        <v>2827.82</v>
      </c>
      <c r="L62" s="2" t="s">
        <v>27</v>
      </c>
      <c r="M62" s="2" t="s">
        <v>2365</v>
      </c>
    </row>
    <row r="63" spans="1:13" x14ac:dyDescent="0.3">
      <c r="A63" s="2" t="s">
        <v>2320</v>
      </c>
      <c r="B63" s="5">
        <v>46282</v>
      </c>
      <c r="C63" s="2" t="s">
        <v>1610</v>
      </c>
      <c r="D63" s="2" t="s">
        <v>24</v>
      </c>
      <c r="E63" s="2" t="s">
        <v>41</v>
      </c>
      <c r="F63" s="2" t="s">
        <v>40</v>
      </c>
      <c r="G63" s="2" t="s">
        <v>23</v>
      </c>
      <c r="H63" s="2">
        <v>44</v>
      </c>
      <c r="I63" s="7">
        <v>65.02</v>
      </c>
      <c r="J63" s="2">
        <v>0</v>
      </c>
      <c r="K63" s="7">
        <v>2860.88</v>
      </c>
      <c r="L63" s="2" t="s">
        <v>31</v>
      </c>
      <c r="M63" s="2" t="s">
        <v>2365</v>
      </c>
    </row>
    <row r="64" spans="1:13" x14ac:dyDescent="0.3">
      <c r="A64" s="2" t="s">
        <v>2129</v>
      </c>
      <c r="B64" s="5">
        <v>45945</v>
      </c>
      <c r="C64" s="2" t="s">
        <v>2130</v>
      </c>
      <c r="D64" s="2" t="s">
        <v>24</v>
      </c>
      <c r="E64" s="2" t="s">
        <v>104</v>
      </c>
      <c r="F64" s="2" t="s">
        <v>40</v>
      </c>
      <c r="G64" s="2" t="s">
        <v>23</v>
      </c>
      <c r="H64" s="2">
        <v>44</v>
      </c>
      <c r="I64" s="7">
        <v>78.42</v>
      </c>
      <c r="J64" s="2">
        <v>5</v>
      </c>
      <c r="K64" s="7">
        <v>3277.96</v>
      </c>
      <c r="L64" s="2" t="s">
        <v>49</v>
      </c>
      <c r="M64" s="2" t="s">
        <v>2364</v>
      </c>
    </row>
    <row r="65" spans="1:13" x14ac:dyDescent="0.3">
      <c r="A65" s="2" t="s">
        <v>918</v>
      </c>
      <c r="B65" s="5">
        <v>45936</v>
      </c>
      <c r="C65" s="2" t="s">
        <v>919</v>
      </c>
      <c r="D65" s="2" t="s">
        <v>46</v>
      </c>
      <c r="E65" s="2" t="s">
        <v>244</v>
      </c>
      <c r="F65" s="2" t="s">
        <v>40</v>
      </c>
      <c r="G65" s="2" t="s">
        <v>23</v>
      </c>
      <c r="H65" s="2">
        <v>46</v>
      </c>
      <c r="I65" s="7">
        <v>79.64</v>
      </c>
      <c r="J65" s="2">
        <v>10</v>
      </c>
      <c r="K65" s="7">
        <v>3297.1</v>
      </c>
      <c r="L65" s="2" t="s">
        <v>27</v>
      </c>
      <c r="M65" s="2" t="s">
        <v>2365</v>
      </c>
    </row>
    <row r="66" spans="1:13" x14ac:dyDescent="0.3">
      <c r="A66" s="2" t="s">
        <v>1329</v>
      </c>
      <c r="B66" s="5">
        <v>46151</v>
      </c>
      <c r="C66" s="2" t="s">
        <v>1330</v>
      </c>
      <c r="D66" s="2" t="s">
        <v>53</v>
      </c>
      <c r="E66" s="2" t="s">
        <v>134</v>
      </c>
      <c r="F66" s="2" t="s">
        <v>99</v>
      </c>
      <c r="G66" s="2" t="s">
        <v>23</v>
      </c>
      <c r="H66" s="2">
        <v>1</v>
      </c>
      <c r="I66" s="7">
        <v>19.72</v>
      </c>
      <c r="J66" s="2">
        <v>0</v>
      </c>
      <c r="K66" s="7">
        <v>19.72</v>
      </c>
      <c r="L66" s="2" t="s">
        <v>31</v>
      </c>
      <c r="M66" s="2" t="s">
        <v>2365</v>
      </c>
    </row>
    <row r="67" spans="1:13" x14ac:dyDescent="0.3">
      <c r="A67" s="2" t="s">
        <v>355</v>
      </c>
      <c r="B67" s="5">
        <v>46114</v>
      </c>
      <c r="C67" s="2" t="s">
        <v>356</v>
      </c>
      <c r="D67" s="2" t="s">
        <v>53</v>
      </c>
      <c r="E67" s="2" t="s">
        <v>67</v>
      </c>
      <c r="F67" s="2" t="s">
        <v>99</v>
      </c>
      <c r="G67" s="2" t="s">
        <v>23</v>
      </c>
      <c r="H67" s="2">
        <v>2</v>
      </c>
      <c r="I67" s="7">
        <v>13.86</v>
      </c>
      <c r="J67" s="2">
        <v>5</v>
      </c>
      <c r="K67" s="7">
        <v>26.33</v>
      </c>
      <c r="L67" s="2" t="s">
        <v>49</v>
      </c>
      <c r="M67" s="2" t="s">
        <v>2364</v>
      </c>
    </row>
    <row r="68" spans="1:13" x14ac:dyDescent="0.3">
      <c r="A68" s="2" t="s">
        <v>1563</v>
      </c>
      <c r="B68" s="5">
        <v>45986</v>
      </c>
      <c r="C68" s="2" t="s">
        <v>1564</v>
      </c>
      <c r="D68" s="2" t="s">
        <v>16</v>
      </c>
      <c r="E68" s="2" t="s">
        <v>160</v>
      </c>
      <c r="F68" s="2" t="s">
        <v>99</v>
      </c>
      <c r="G68" s="2" t="s">
        <v>23</v>
      </c>
      <c r="H68" s="2">
        <v>2</v>
      </c>
      <c r="I68" s="7">
        <v>13.26</v>
      </c>
      <c r="J68" s="2">
        <v>0</v>
      </c>
      <c r="K68" s="7">
        <v>26.52</v>
      </c>
      <c r="L68" s="2" t="s">
        <v>49</v>
      </c>
      <c r="M68" s="2" t="s">
        <v>2365</v>
      </c>
    </row>
    <row r="69" spans="1:13" x14ac:dyDescent="0.3">
      <c r="A69" s="2" t="s">
        <v>843</v>
      </c>
      <c r="B69" s="5">
        <v>45930</v>
      </c>
      <c r="C69" s="2" t="s">
        <v>844</v>
      </c>
      <c r="D69" s="2" t="s">
        <v>46</v>
      </c>
      <c r="E69" s="2" t="s">
        <v>244</v>
      </c>
      <c r="F69" s="2" t="s">
        <v>99</v>
      </c>
      <c r="G69" s="2" t="s">
        <v>23</v>
      </c>
      <c r="H69" s="2">
        <v>1</v>
      </c>
      <c r="I69" s="7">
        <v>27.9</v>
      </c>
      <c r="J69" s="2">
        <v>0</v>
      </c>
      <c r="K69" s="7">
        <v>27.9</v>
      </c>
      <c r="L69" s="2" t="s">
        <v>31</v>
      </c>
      <c r="M69" s="2" t="s">
        <v>2364</v>
      </c>
    </row>
    <row r="70" spans="1:13" x14ac:dyDescent="0.3">
      <c r="A70" s="2" t="s">
        <v>878</v>
      </c>
      <c r="B70" s="5">
        <v>45754</v>
      </c>
      <c r="C70" s="2" t="s">
        <v>879</v>
      </c>
      <c r="D70" s="2" t="s">
        <v>24</v>
      </c>
      <c r="E70" s="2" t="s">
        <v>41</v>
      </c>
      <c r="F70" s="2" t="s">
        <v>99</v>
      </c>
      <c r="G70" s="2" t="s">
        <v>23</v>
      </c>
      <c r="H70" s="2">
        <v>6</v>
      </c>
      <c r="I70" s="7">
        <v>12.3</v>
      </c>
      <c r="J70" s="2">
        <v>15</v>
      </c>
      <c r="K70" s="7">
        <v>62.73</v>
      </c>
      <c r="L70" s="2" t="s">
        <v>69</v>
      </c>
      <c r="M70" s="2" t="s">
        <v>2365</v>
      </c>
    </row>
    <row r="71" spans="1:13" x14ac:dyDescent="0.3">
      <c r="A71" s="2" t="s">
        <v>1145</v>
      </c>
      <c r="B71" s="5">
        <v>45949</v>
      </c>
      <c r="C71" s="2" t="s">
        <v>1146</v>
      </c>
      <c r="D71" s="2" t="s">
        <v>53</v>
      </c>
      <c r="E71" s="2" t="s">
        <v>170</v>
      </c>
      <c r="F71" s="2" t="s">
        <v>99</v>
      </c>
      <c r="G71" s="2" t="s">
        <v>23</v>
      </c>
      <c r="H71" s="2">
        <v>6</v>
      </c>
      <c r="I71" s="7">
        <v>11.87</v>
      </c>
      <c r="J71" s="2">
        <v>10</v>
      </c>
      <c r="K71" s="7">
        <v>64.099999999999994</v>
      </c>
      <c r="L71" s="2" t="s">
        <v>31</v>
      </c>
      <c r="M71" s="2" t="s">
        <v>2364</v>
      </c>
    </row>
    <row r="72" spans="1:13" x14ac:dyDescent="0.3">
      <c r="A72" s="2" t="s">
        <v>2024</v>
      </c>
      <c r="B72" s="5">
        <v>45957</v>
      </c>
      <c r="C72" s="2" t="s">
        <v>2025</v>
      </c>
      <c r="D72" s="2" t="s">
        <v>16</v>
      </c>
      <c r="E72" s="2" t="s">
        <v>111</v>
      </c>
      <c r="F72" s="2" t="s">
        <v>99</v>
      </c>
      <c r="G72" s="2" t="s">
        <v>23</v>
      </c>
      <c r="H72" s="2">
        <v>7</v>
      </c>
      <c r="I72" s="7">
        <v>10.52</v>
      </c>
      <c r="J72" s="2">
        <v>0</v>
      </c>
      <c r="K72" s="7">
        <v>73.64</v>
      </c>
      <c r="L72" s="2" t="s">
        <v>31</v>
      </c>
      <c r="M72" s="2" t="s">
        <v>2365</v>
      </c>
    </row>
    <row r="73" spans="1:13" x14ac:dyDescent="0.3">
      <c r="A73" s="2" t="s">
        <v>1060</v>
      </c>
      <c r="B73" s="5">
        <v>45938</v>
      </c>
      <c r="C73" s="2" t="s">
        <v>1061</v>
      </c>
      <c r="D73" s="2" t="s">
        <v>46</v>
      </c>
      <c r="E73" s="2" t="s">
        <v>124</v>
      </c>
      <c r="F73" s="2" t="s">
        <v>99</v>
      </c>
      <c r="G73" s="2" t="s">
        <v>23</v>
      </c>
      <c r="H73" s="2">
        <v>10</v>
      </c>
      <c r="I73" s="7">
        <v>10.220000000000001</v>
      </c>
      <c r="J73" s="2">
        <v>20</v>
      </c>
      <c r="K73" s="7">
        <v>81.760000000000005</v>
      </c>
      <c r="L73" s="2" t="s">
        <v>49</v>
      </c>
      <c r="M73" s="2" t="s">
        <v>2364</v>
      </c>
    </row>
    <row r="74" spans="1:13" x14ac:dyDescent="0.3">
      <c r="A74" s="2" t="s">
        <v>1223</v>
      </c>
      <c r="B74" s="5">
        <v>46293</v>
      </c>
      <c r="C74" s="2" t="s">
        <v>713</v>
      </c>
      <c r="D74" s="2" t="s">
        <v>24</v>
      </c>
      <c r="E74" s="2" t="s">
        <v>36</v>
      </c>
      <c r="F74" s="2" t="s">
        <v>99</v>
      </c>
      <c r="G74" s="2" t="s">
        <v>23</v>
      </c>
      <c r="H74" s="2">
        <v>7</v>
      </c>
      <c r="I74" s="7">
        <v>13.46</v>
      </c>
      <c r="J74" s="2">
        <v>10</v>
      </c>
      <c r="K74" s="7">
        <v>84.8</v>
      </c>
      <c r="L74" s="2" t="s">
        <v>31</v>
      </c>
      <c r="M74" s="2" t="s">
        <v>2364</v>
      </c>
    </row>
    <row r="75" spans="1:13" x14ac:dyDescent="0.3">
      <c r="A75" s="2" t="s">
        <v>1225</v>
      </c>
      <c r="B75" s="5">
        <v>45737</v>
      </c>
      <c r="C75" s="2" t="s">
        <v>865</v>
      </c>
      <c r="D75" s="2" t="s">
        <v>16</v>
      </c>
      <c r="E75" s="2" t="s">
        <v>160</v>
      </c>
      <c r="F75" s="2" t="s">
        <v>99</v>
      </c>
      <c r="G75" s="2" t="s">
        <v>23</v>
      </c>
      <c r="H75" s="2">
        <v>6</v>
      </c>
      <c r="I75" s="7">
        <v>16.670000000000002</v>
      </c>
      <c r="J75" s="2">
        <v>5</v>
      </c>
      <c r="K75" s="7">
        <v>95.02</v>
      </c>
      <c r="L75" s="2" t="s">
        <v>69</v>
      </c>
      <c r="M75" s="2" t="s">
        <v>2364</v>
      </c>
    </row>
    <row r="76" spans="1:13" x14ac:dyDescent="0.3">
      <c r="A76" s="2" t="s">
        <v>381</v>
      </c>
      <c r="B76" s="5">
        <v>45886</v>
      </c>
      <c r="C76" s="2" t="s">
        <v>382</v>
      </c>
      <c r="D76" s="2" t="s">
        <v>53</v>
      </c>
      <c r="E76" s="2" t="s">
        <v>170</v>
      </c>
      <c r="F76" s="2" t="s">
        <v>99</v>
      </c>
      <c r="G76" s="2" t="s">
        <v>23</v>
      </c>
      <c r="H76" s="2">
        <v>7</v>
      </c>
      <c r="I76" s="7">
        <v>14.78</v>
      </c>
      <c r="J76" s="2">
        <v>5</v>
      </c>
      <c r="K76" s="7">
        <v>98.29</v>
      </c>
      <c r="L76" s="2" t="s">
        <v>27</v>
      </c>
      <c r="M76" s="2" t="s">
        <v>2364</v>
      </c>
    </row>
    <row r="77" spans="1:13" x14ac:dyDescent="0.3">
      <c r="A77" s="2" t="s">
        <v>489</v>
      </c>
      <c r="B77" s="5">
        <v>45705</v>
      </c>
      <c r="C77" s="2" t="s">
        <v>490</v>
      </c>
      <c r="D77" s="2" t="s">
        <v>24</v>
      </c>
      <c r="E77" s="2" t="s">
        <v>104</v>
      </c>
      <c r="F77" s="2" t="s">
        <v>99</v>
      </c>
      <c r="G77" s="2" t="s">
        <v>23</v>
      </c>
      <c r="H77" s="2">
        <v>4</v>
      </c>
      <c r="I77" s="7">
        <v>29.84</v>
      </c>
      <c r="J77" s="2">
        <v>5</v>
      </c>
      <c r="K77" s="7">
        <v>113.39</v>
      </c>
      <c r="L77" s="2" t="s">
        <v>31</v>
      </c>
      <c r="M77" s="2" t="s">
        <v>2364</v>
      </c>
    </row>
    <row r="78" spans="1:13" x14ac:dyDescent="0.3">
      <c r="A78" s="2" t="s">
        <v>557</v>
      </c>
      <c r="B78" s="5">
        <v>46229</v>
      </c>
      <c r="C78" s="2" t="s">
        <v>558</v>
      </c>
      <c r="D78" s="2" t="s">
        <v>16</v>
      </c>
      <c r="E78" s="2" t="s">
        <v>111</v>
      </c>
      <c r="F78" s="2" t="s">
        <v>99</v>
      </c>
      <c r="G78" s="2" t="s">
        <v>23</v>
      </c>
      <c r="H78" s="2">
        <v>5</v>
      </c>
      <c r="I78" s="7">
        <v>27.27</v>
      </c>
      <c r="J78" s="2">
        <v>15</v>
      </c>
      <c r="K78" s="7">
        <v>115.9</v>
      </c>
      <c r="L78" s="2" t="s">
        <v>49</v>
      </c>
      <c r="M78" s="2" t="s">
        <v>2365</v>
      </c>
    </row>
    <row r="79" spans="1:13" x14ac:dyDescent="0.3">
      <c r="A79" s="2" t="s">
        <v>1203</v>
      </c>
      <c r="B79" s="5">
        <v>45788</v>
      </c>
      <c r="C79" s="2" t="s">
        <v>336</v>
      </c>
      <c r="D79" s="2" t="s">
        <v>16</v>
      </c>
      <c r="E79" s="2" t="s">
        <v>17</v>
      </c>
      <c r="F79" s="2" t="s">
        <v>99</v>
      </c>
      <c r="G79" s="2" t="s">
        <v>23</v>
      </c>
      <c r="H79" s="2">
        <v>15</v>
      </c>
      <c r="I79" s="7">
        <v>11.21</v>
      </c>
      <c r="J79" s="2">
        <v>15</v>
      </c>
      <c r="K79" s="7">
        <v>142.93</v>
      </c>
      <c r="L79" s="2" t="s">
        <v>31</v>
      </c>
      <c r="M79" s="2" t="s">
        <v>2364</v>
      </c>
    </row>
    <row r="80" spans="1:13" x14ac:dyDescent="0.3">
      <c r="A80" s="2" t="s">
        <v>393</v>
      </c>
      <c r="B80" s="5">
        <v>46008</v>
      </c>
      <c r="C80" s="2" t="s">
        <v>394</v>
      </c>
      <c r="D80" s="2" t="s">
        <v>46</v>
      </c>
      <c r="E80" s="2" t="s">
        <v>124</v>
      </c>
      <c r="F80" s="2" t="s">
        <v>99</v>
      </c>
      <c r="G80" s="2" t="s">
        <v>23</v>
      </c>
      <c r="H80" s="2">
        <v>15</v>
      </c>
      <c r="I80" s="7">
        <v>14.91</v>
      </c>
      <c r="J80" s="2">
        <v>5</v>
      </c>
      <c r="K80" s="7">
        <v>212.47</v>
      </c>
      <c r="L80" s="2" t="s">
        <v>31</v>
      </c>
      <c r="M80" s="2" t="s">
        <v>2364</v>
      </c>
    </row>
    <row r="81" spans="1:13" x14ac:dyDescent="0.3">
      <c r="A81" s="2" t="s">
        <v>1028</v>
      </c>
      <c r="B81" s="5">
        <v>46262</v>
      </c>
      <c r="C81" s="2" t="s">
        <v>773</v>
      </c>
      <c r="D81" s="2" t="s">
        <v>46</v>
      </c>
      <c r="E81" s="2" t="s">
        <v>78</v>
      </c>
      <c r="F81" s="2" t="s">
        <v>99</v>
      </c>
      <c r="G81" s="2" t="s">
        <v>23</v>
      </c>
      <c r="H81" s="2">
        <v>9</v>
      </c>
      <c r="I81" s="7">
        <v>23.71</v>
      </c>
      <c r="J81" s="2">
        <v>0</v>
      </c>
      <c r="K81" s="7">
        <v>213.39</v>
      </c>
      <c r="L81" s="2" t="s">
        <v>31</v>
      </c>
      <c r="M81" s="2" t="s">
        <v>2364</v>
      </c>
    </row>
    <row r="82" spans="1:13" x14ac:dyDescent="0.3">
      <c r="A82" s="2" t="s">
        <v>620</v>
      </c>
      <c r="B82" s="5">
        <v>46273</v>
      </c>
      <c r="C82" s="2" t="s">
        <v>621</v>
      </c>
      <c r="D82" s="2" t="s">
        <v>24</v>
      </c>
      <c r="E82" s="2" t="s">
        <v>25</v>
      </c>
      <c r="F82" s="2" t="s">
        <v>99</v>
      </c>
      <c r="G82" s="2" t="s">
        <v>23</v>
      </c>
      <c r="H82" s="2">
        <v>12</v>
      </c>
      <c r="I82" s="7">
        <v>19.43</v>
      </c>
      <c r="J82" s="2">
        <v>5</v>
      </c>
      <c r="K82" s="7">
        <v>221.5</v>
      </c>
      <c r="L82" s="2" t="s">
        <v>31</v>
      </c>
      <c r="M82" s="2" t="s">
        <v>2365</v>
      </c>
    </row>
    <row r="83" spans="1:13" x14ac:dyDescent="0.3">
      <c r="A83" s="2" t="s">
        <v>2304</v>
      </c>
      <c r="B83" s="5">
        <v>46033</v>
      </c>
      <c r="C83" s="2" t="s">
        <v>991</v>
      </c>
      <c r="D83" s="2" t="s">
        <v>16</v>
      </c>
      <c r="E83" s="2" t="s">
        <v>74</v>
      </c>
      <c r="F83" s="2" t="s">
        <v>99</v>
      </c>
      <c r="G83" s="2" t="s">
        <v>23</v>
      </c>
      <c r="H83" s="2">
        <v>14</v>
      </c>
      <c r="I83" s="7">
        <v>18.760000000000002</v>
      </c>
      <c r="J83" s="2">
        <v>15</v>
      </c>
      <c r="K83" s="7">
        <v>223.24</v>
      </c>
      <c r="L83" s="2" t="s">
        <v>69</v>
      </c>
      <c r="M83" s="2" t="s">
        <v>2364</v>
      </c>
    </row>
    <row r="84" spans="1:13" x14ac:dyDescent="0.3">
      <c r="A84" s="2" t="s">
        <v>894</v>
      </c>
      <c r="B84" s="5">
        <v>45879</v>
      </c>
      <c r="C84" s="2" t="s">
        <v>895</v>
      </c>
      <c r="D84" s="2" t="s">
        <v>46</v>
      </c>
      <c r="E84" s="2" t="s">
        <v>124</v>
      </c>
      <c r="F84" s="2" t="s">
        <v>99</v>
      </c>
      <c r="G84" s="2" t="s">
        <v>23</v>
      </c>
      <c r="H84" s="2">
        <v>25</v>
      </c>
      <c r="I84" s="7">
        <v>11.94</v>
      </c>
      <c r="J84" s="2">
        <v>0</v>
      </c>
      <c r="K84" s="7">
        <v>298.5</v>
      </c>
      <c r="L84" s="2" t="s">
        <v>31</v>
      </c>
      <c r="M84" s="2" t="s">
        <v>2364</v>
      </c>
    </row>
    <row r="85" spans="1:13" x14ac:dyDescent="0.3">
      <c r="A85" s="2" t="s">
        <v>696</v>
      </c>
      <c r="B85" s="5">
        <v>45939</v>
      </c>
      <c r="C85" s="2" t="s">
        <v>697</v>
      </c>
      <c r="D85" s="2" t="s">
        <v>53</v>
      </c>
      <c r="E85" s="2" t="s">
        <v>54</v>
      </c>
      <c r="F85" s="2" t="s">
        <v>99</v>
      </c>
      <c r="G85" s="2" t="s">
        <v>23</v>
      </c>
      <c r="H85" s="2">
        <v>15</v>
      </c>
      <c r="I85" s="7">
        <v>21.06</v>
      </c>
      <c r="J85" s="2">
        <v>5</v>
      </c>
      <c r="K85" s="7">
        <v>300.10000000000002</v>
      </c>
      <c r="L85" s="2" t="s">
        <v>27</v>
      </c>
      <c r="M85" s="2" t="s">
        <v>2364</v>
      </c>
    </row>
    <row r="86" spans="1:13" x14ac:dyDescent="0.3">
      <c r="A86" s="2" t="s">
        <v>612</v>
      </c>
      <c r="B86" s="5">
        <v>46075</v>
      </c>
      <c r="C86" s="2" t="s">
        <v>273</v>
      </c>
      <c r="D86" s="2" t="s">
        <v>46</v>
      </c>
      <c r="E86" s="2" t="s">
        <v>244</v>
      </c>
      <c r="F86" s="2" t="s">
        <v>99</v>
      </c>
      <c r="G86" s="2" t="s">
        <v>23</v>
      </c>
      <c r="H86" s="2">
        <v>14</v>
      </c>
      <c r="I86" s="7">
        <v>24.9</v>
      </c>
      <c r="J86" s="2">
        <v>5</v>
      </c>
      <c r="K86" s="7">
        <v>331.17</v>
      </c>
      <c r="L86" s="2" t="s">
        <v>49</v>
      </c>
      <c r="M86" s="2" t="s">
        <v>2364</v>
      </c>
    </row>
    <row r="87" spans="1:13" x14ac:dyDescent="0.3">
      <c r="A87" s="2" t="s">
        <v>1480</v>
      </c>
      <c r="B87" s="5">
        <v>45710</v>
      </c>
      <c r="C87" s="2" t="s">
        <v>1481</v>
      </c>
      <c r="D87" s="2" t="s">
        <v>53</v>
      </c>
      <c r="E87" s="2" t="s">
        <v>67</v>
      </c>
      <c r="F87" s="2" t="s">
        <v>99</v>
      </c>
      <c r="G87" s="2" t="s">
        <v>23</v>
      </c>
      <c r="H87" s="2">
        <v>38</v>
      </c>
      <c r="I87" s="7">
        <v>10.97</v>
      </c>
      <c r="J87" s="2">
        <v>20</v>
      </c>
      <c r="K87" s="7">
        <v>333.49</v>
      </c>
      <c r="L87" s="2" t="s">
        <v>31</v>
      </c>
      <c r="M87" s="2" t="s">
        <v>2364</v>
      </c>
    </row>
    <row r="88" spans="1:13" x14ac:dyDescent="0.3">
      <c r="A88" s="2" t="s">
        <v>1827</v>
      </c>
      <c r="B88" s="5">
        <v>45732</v>
      </c>
      <c r="C88" s="2" t="s">
        <v>362</v>
      </c>
      <c r="D88" s="2" t="s">
        <v>46</v>
      </c>
      <c r="E88" s="2" t="s">
        <v>78</v>
      </c>
      <c r="F88" s="2" t="s">
        <v>99</v>
      </c>
      <c r="G88" s="2" t="s">
        <v>23</v>
      </c>
      <c r="H88" s="2">
        <v>23</v>
      </c>
      <c r="I88" s="7">
        <v>19.600000000000001</v>
      </c>
      <c r="J88" s="2">
        <v>5</v>
      </c>
      <c r="K88" s="7">
        <v>428.26</v>
      </c>
      <c r="L88" s="2" t="s">
        <v>2347</v>
      </c>
      <c r="M88" s="2" t="s">
        <v>2364</v>
      </c>
    </row>
    <row r="89" spans="1:13" x14ac:dyDescent="0.3">
      <c r="A89" s="2" t="s">
        <v>1614</v>
      </c>
      <c r="B89" s="5">
        <v>46087</v>
      </c>
      <c r="C89" s="2" t="s">
        <v>1615</v>
      </c>
      <c r="D89" s="2" t="s">
        <v>24</v>
      </c>
      <c r="E89" s="2" t="s">
        <v>36</v>
      </c>
      <c r="F89" s="2" t="s">
        <v>99</v>
      </c>
      <c r="G89" s="2" t="s">
        <v>23</v>
      </c>
      <c r="H89" s="2">
        <v>43</v>
      </c>
      <c r="I89" s="7">
        <v>12.53</v>
      </c>
      <c r="J89" s="2">
        <v>20</v>
      </c>
      <c r="K89" s="7">
        <v>431.03</v>
      </c>
      <c r="L89" s="2" t="s">
        <v>69</v>
      </c>
      <c r="M89" s="2" t="s">
        <v>2364</v>
      </c>
    </row>
    <row r="90" spans="1:13" x14ac:dyDescent="0.3">
      <c r="A90" s="2" t="s">
        <v>304</v>
      </c>
      <c r="B90" s="5">
        <v>45759</v>
      </c>
      <c r="C90" s="2" t="s">
        <v>305</v>
      </c>
      <c r="D90" s="2" t="s">
        <v>53</v>
      </c>
      <c r="E90" s="2" t="s">
        <v>134</v>
      </c>
      <c r="F90" s="2" t="s">
        <v>99</v>
      </c>
      <c r="G90" s="2" t="s">
        <v>23</v>
      </c>
      <c r="H90" s="2">
        <v>17</v>
      </c>
      <c r="I90" s="7">
        <v>25.57</v>
      </c>
      <c r="J90" s="2">
        <v>0</v>
      </c>
      <c r="K90" s="7">
        <v>434.69</v>
      </c>
      <c r="L90" s="2" t="s">
        <v>49</v>
      </c>
      <c r="M90" s="2" t="s">
        <v>2364</v>
      </c>
    </row>
    <row r="91" spans="1:13" x14ac:dyDescent="0.3">
      <c r="A91" s="2" t="s">
        <v>2123</v>
      </c>
      <c r="B91" s="5">
        <v>45910</v>
      </c>
      <c r="C91" s="2" t="s">
        <v>1058</v>
      </c>
      <c r="D91" s="2" t="s">
        <v>53</v>
      </c>
      <c r="E91" s="2" t="s">
        <v>54</v>
      </c>
      <c r="F91" s="2" t="s">
        <v>99</v>
      </c>
      <c r="G91" s="2" t="s">
        <v>23</v>
      </c>
      <c r="H91" s="2">
        <v>19</v>
      </c>
      <c r="I91" s="7">
        <v>25.74</v>
      </c>
      <c r="J91" s="2">
        <v>10</v>
      </c>
      <c r="K91" s="7">
        <v>440.15</v>
      </c>
      <c r="L91" s="2" t="s">
        <v>31</v>
      </c>
      <c r="M91" s="2" t="s">
        <v>2364</v>
      </c>
    </row>
    <row r="92" spans="1:13" x14ac:dyDescent="0.3">
      <c r="A92" s="2" t="s">
        <v>1904</v>
      </c>
      <c r="B92" s="5">
        <v>45771</v>
      </c>
      <c r="C92" s="2" t="s">
        <v>1905</v>
      </c>
      <c r="D92" s="2" t="s">
        <v>16</v>
      </c>
      <c r="E92" s="2" t="s">
        <v>160</v>
      </c>
      <c r="F92" s="2" t="s">
        <v>99</v>
      </c>
      <c r="G92" s="2" t="s">
        <v>23</v>
      </c>
      <c r="H92" s="2">
        <v>25</v>
      </c>
      <c r="I92" s="7">
        <v>19.73</v>
      </c>
      <c r="J92" s="2">
        <v>10</v>
      </c>
      <c r="K92" s="7">
        <v>443.93</v>
      </c>
      <c r="L92" s="2" t="s">
        <v>69</v>
      </c>
      <c r="M92" s="2" t="s">
        <v>2365</v>
      </c>
    </row>
    <row r="93" spans="1:13" x14ac:dyDescent="0.3">
      <c r="A93" s="2" t="s">
        <v>456</v>
      </c>
      <c r="B93" s="5">
        <v>45743</v>
      </c>
      <c r="C93" s="2" t="s">
        <v>457</v>
      </c>
      <c r="D93" s="2" t="s">
        <v>46</v>
      </c>
      <c r="E93" s="2" t="s">
        <v>124</v>
      </c>
      <c r="F93" s="2" t="s">
        <v>99</v>
      </c>
      <c r="G93" s="2" t="s">
        <v>23</v>
      </c>
      <c r="H93" s="2">
        <v>40</v>
      </c>
      <c r="I93" s="7">
        <v>13.06</v>
      </c>
      <c r="J93" s="2">
        <v>10</v>
      </c>
      <c r="K93" s="7">
        <v>470.16</v>
      </c>
      <c r="L93" s="2" t="s">
        <v>69</v>
      </c>
      <c r="M93" s="2" t="s">
        <v>2365</v>
      </c>
    </row>
    <row r="94" spans="1:13" x14ac:dyDescent="0.3">
      <c r="A94" s="2" t="s">
        <v>1506</v>
      </c>
      <c r="B94" s="5">
        <v>45656</v>
      </c>
      <c r="C94" s="2" t="s">
        <v>1507</v>
      </c>
      <c r="D94" s="2" t="s">
        <v>46</v>
      </c>
      <c r="E94" s="2" t="s">
        <v>78</v>
      </c>
      <c r="F94" s="2" t="s">
        <v>99</v>
      </c>
      <c r="G94" s="2" t="s">
        <v>23</v>
      </c>
      <c r="H94" s="2">
        <v>33</v>
      </c>
      <c r="I94" s="7">
        <v>15.85</v>
      </c>
      <c r="J94" s="2">
        <v>10</v>
      </c>
      <c r="K94" s="7">
        <v>470.74</v>
      </c>
      <c r="L94" s="2" t="s">
        <v>69</v>
      </c>
      <c r="M94" s="2" t="s">
        <v>2365</v>
      </c>
    </row>
    <row r="95" spans="1:13" x14ac:dyDescent="0.3">
      <c r="A95" s="2" t="s">
        <v>1332</v>
      </c>
      <c r="B95" s="5">
        <v>45744</v>
      </c>
      <c r="C95" s="2" t="s">
        <v>1333</v>
      </c>
      <c r="D95" s="2" t="s">
        <v>53</v>
      </c>
      <c r="E95" s="2" t="s">
        <v>54</v>
      </c>
      <c r="F95" s="2" t="s">
        <v>99</v>
      </c>
      <c r="G95" s="2" t="s">
        <v>23</v>
      </c>
      <c r="H95" s="2">
        <v>18</v>
      </c>
      <c r="I95" s="7">
        <v>28.03</v>
      </c>
      <c r="J95" s="2">
        <v>5</v>
      </c>
      <c r="K95" s="7">
        <v>479.31</v>
      </c>
      <c r="L95" s="2" t="s">
        <v>31</v>
      </c>
      <c r="M95" s="2" t="s">
        <v>2364</v>
      </c>
    </row>
    <row r="96" spans="1:13" x14ac:dyDescent="0.3">
      <c r="A96" s="2" t="s">
        <v>2068</v>
      </c>
      <c r="B96" s="5">
        <v>45842</v>
      </c>
      <c r="C96" s="2" t="s">
        <v>2069</v>
      </c>
      <c r="D96" s="2" t="s">
        <v>16</v>
      </c>
      <c r="E96" s="2" t="s">
        <v>74</v>
      </c>
      <c r="F96" s="2" t="s">
        <v>99</v>
      </c>
      <c r="G96" s="2" t="s">
        <v>23</v>
      </c>
      <c r="H96" s="2">
        <v>45</v>
      </c>
      <c r="I96" s="7">
        <v>12.62</v>
      </c>
      <c r="J96" s="2">
        <v>10</v>
      </c>
      <c r="K96" s="7">
        <v>511.11</v>
      </c>
      <c r="L96" s="2" t="s">
        <v>31</v>
      </c>
      <c r="M96" s="2" t="s">
        <v>2364</v>
      </c>
    </row>
    <row r="97" spans="1:13" x14ac:dyDescent="0.3">
      <c r="A97" s="2" t="s">
        <v>278</v>
      </c>
      <c r="B97" s="5">
        <v>45669</v>
      </c>
      <c r="C97" s="2" t="s">
        <v>279</v>
      </c>
      <c r="D97" s="2" t="s">
        <v>53</v>
      </c>
      <c r="E97" s="2" t="s">
        <v>54</v>
      </c>
      <c r="F97" s="2" t="s">
        <v>99</v>
      </c>
      <c r="G97" s="2" t="s">
        <v>23</v>
      </c>
      <c r="H97" s="2">
        <v>29</v>
      </c>
      <c r="I97" s="7">
        <v>17.760000000000002</v>
      </c>
      <c r="J97" s="2">
        <v>0</v>
      </c>
      <c r="K97" s="7">
        <v>515.04</v>
      </c>
      <c r="L97" s="2" t="s">
        <v>27</v>
      </c>
      <c r="M97" s="2" t="s">
        <v>2365</v>
      </c>
    </row>
    <row r="98" spans="1:13" x14ac:dyDescent="0.3">
      <c r="A98" s="2" t="s">
        <v>1686</v>
      </c>
      <c r="B98" s="5">
        <v>46114</v>
      </c>
      <c r="C98" s="2" t="s">
        <v>185</v>
      </c>
      <c r="D98" s="2" t="s">
        <v>16</v>
      </c>
      <c r="E98" s="2" t="s">
        <v>74</v>
      </c>
      <c r="F98" s="2" t="s">
        <v>99</v>
      </c>
      <c r="G98" s="2" t="s">
        <v>23</v>
      </c>
      <c r="H98" s="2">
        <v>29</v>
      </c>
      <c r="I98" s="7">
        <v>18.559999999999999</v>
      </c>
      <c r="J98" s="2">
        <v>0</v>
      </c>
      <c r="K98" s="7">
        <v>538.24</v>
      </c>
      <c r="L98" s="2" t="s">
        <v>2347</v>
      </c>
      <c r="M98" s="2" t="s">
        <v>2364</v>
      </c>
    </row>
    <row r="99" spans="1:13" x14ac:dyDescent="0.3">
      <c r="A99" s="2" t="s">
        <v>2207</v>
      </c>
      <c r="B99" s="5">
        <v>45655</v>
      </c>
      <c r="C99" s="2" t="s">
        <v>2208</v>
      </c>
      <c r="D99" s="2" t="s">
        <v>16</v>
      </c>
      <c r="E99" s="2" t="s">
        <v>160</v>
      </c>
      <c r="F99" s="2" t="s">
        <v>99</v>
      </c>
      <c r="G99" s="2" t="s">
        <v>23</v>
      </c>
      <c r="H99" s="2">
        <v>30</v>
      </c>
      <c r="I99" s="7">
        <v>18.13</v>
      </c>
      <c r="J99" s="2">
        <v>0</v>
      </c>
      <c r="K99" s="7">
        <v>543.9</v>
      </c>
      <c r="L99" s="2" t="s">
        <v>69</v>
      </c>
      <c r="M99" s="2" t="s">
        <v>2364</v>
      </c>
    </row>
    <row r="100" spans="1:13" x14ac:dyDescent="0.3">
      <c r="A100" s="2" t="s">
        <v>1946</v>
      </c>
      <c r="B100" s="5">
        <v>46245</v>
      </c>
      <c r="C100" s="2" t="s">
        <v>1947</v>
      </c>
      <c r="D100" s="2" t="s">
        <v>24</v>
      </c>
      <c r="E100" s="2" t="s">
        <v>36</v>
      </c>
      <c r="F100" s="2" t="s">
        <v>99</v>
      </c>
      <c r="G100" s="2" t="s">
        <v>23</v>
      </c>
      <c r="H100" s="2">
        <v>32</v>
      </c>
      <c r="I100" s="7">
        <v>17.739999999999998</v>
      </c>
      <c r="J100" s="2">
        <v>0</v>
      </c>
      <c r="K100" s="7">
        <v>567.67999999999995</v>
      </c>
      <c r="L100" s="2" t="s">
        <v>27</v>
      </c>
      <c r="M100" s="2" t="s">
        <v>2364</v>
      </c>
    </row>
    <row r="101" spans="1:13" x14ac:dyDescent="0.3">
      <c r="A101" s="2" t="s">
        <v>2077</v>
      </c>
      <c r="B101" s="5">
        <v>46166</v>
      </c>
      <c r="C101" s="2" t="s">
        <v>1865</v>
      </c>
      <c r="D101" s="2" t="s">
        <v>16</v>
      </c>
      <c r="E101" s="2" t="s">
        <v>17</v>
      </c>
      <c r="F101" s="2" t="s">
        <v>99</v>
      </c>
      <c r="G101" s="2" t="s">
        <v>23</v>
      </c>
      <c r="H101" s="2">
        <v>24</v>
      </c>
      <c r="I101" s="7">
        <v>26.86</v>
      </c>
      <c r="J101" s="2">
        <v>10</v>
      </c>
      <c r="K101" s="7">
        <v>580.17999999999995</v>
      </c>
      <c r="L101" s="2" t="s">
        <v>49</v>
      </c>
      <c r="M101" s="2" t="s">
        <v>2365</v>
      </c>
    </row>
    <row r="102" spans="1:13" x14ac:dyDescent="0.3">
      <c r="A102" s="2" t="s">
        <v>676</v>
      </c>
      <c r="B102" s="5">
        <v>45958</v>
      </c>
      <c r="C102" s="2" t="s">
        <v>541</v>
      </c>
      <c r="D102" s="2" t="s">
        <v>16</v>
      </c>
      <c r="E102" s="2" t="s">
        <v>160</v>
      </c>
      <c r="F102" s="2" t="s">
        <v>99</v>
      </c>
      <c r="G102" s="2" t="s">
        <v>23</v>
      </c>
      <c r="H102" s="2">
        <v>23</v>
      </c>
      <c r="I102" s="7">
        <v>27.52</v>
      </c>
      <c r="J102" s="2">
        <v>5</v>
      </c>
      <c r="K102" s="7">
        <v>601.30999999999995</v>
      </c>
      <c r="L102" s="2" t="s">
        <v>69</v>
      </c>
      <c r="M102" s="2" t="s">
        <v>2364</v>
      </c>
    </row>
    <row r="103" spans="1:13" x14ac:dyDescent="0.3">
      <c r="A103" s="2" t="s">
        <v>2203</v>
      </c>
      <c r="B103" s="5">
        <v>45902</v>
      </c>
      <c r="C103" s="2" t="s">
        <v>2204</v>
      </c>
      <c r="D103" s="2" t="s">
        <v>24</v>
      </c>
      <c r="E103" s="2" t="s">
        <v>25</v>
      </c>
      <c r="F103" s="2" t="s">
        <v>99</v>
      </c>
      <c r="G103" s="2" t="s">
        <v>23</v>
      </c>
      <c r="H103" s="2">
        <v>38</v>
      </c>
      <c r="I103" s="7">
        <v>18.98</v>
      </c>
      <c r="J103" s="2">
        <v>15</v>
      </c>
      <c r="K103" s="7">
        <v>613.04999999999995</v>
      </c>
      <c r="L103" s="2" t="s">
        <v>31</v>
      </c>
      <c r="M103" s="2" t="s">
        <v>2364</v>
      </c>
    </row>
    <row r="104" spans="1:13" x14ac:dyDescent="0.3">
      <c r="A104" s="2" t="s">
        <v>1803</v>
      </c>
      <c r="B104" s="5">
        <v>46162</v>
      </c>
      <c r="C104" s="2" t="s">
        <v>966</v>
      </c>
      <c r="D104" s="2" t="s">
        <v>16</v>
      </c>
      <c r="E104" s="2" t="s">
        <v>111</v>
      </c>
      <c r="F104" s="2" t="s">
        <v>99</v>
      </c>
      <c r="G104" s="2" t="s">
        <v>23</v>
      </c>
      <c r="H104" s="2">
        <v>33</v>
      </c>
      <c r="I104" s="7">
        <v>18.670000000000002</v>
      </c>
      <c r="J104" s="2">
        <v>0</v>
      </c>
      <c r="K104" s="7">
        <v>616.11</v>
      </c>
      <c r="L104" s="2" t="s">
        <v>49</v>
      </c>
      <c r="M104" s="2" t="s">
        <v>2365</v>
      </c>
    </row>
    <row r="105" spans="1:13" x14ac:dyDescent="0.3">
      <c r="A105" s="2" t="s">
        <v>1995</v>
      </c>
      <c r="B105" s="5">
        <v>45793</v>
      </c>
      <c r="C105" s="2" t="s">
        <v>57</v>
      </c>
      <c r="D105" s="2" t="s">
        <v>16</v>
      </c>
      <c r="E105" s="2" t="s">
        <v>17</v>
      </c>
      <c r="F105" s="2" t="s">
        <v>99</v>
      </c>
      <c r="G105" s="2" t="s">
        <v>23</v>
      </c>
      <c r="H105" s="2">
        <v>45</v>
      </c>
      <c r="I105" s="7">
        <v>17.13</v>
      </c>
      <c r="J105" s="2">
        <v>20</v>
      </c>
      <c r="K105" s="7">
        <v>616.67999999999995</v>
      </c>
      <c r="L105" s="2" t="s">
        <v>69</v>
      </c>
      <c r="M105" s="2" t="s">
        <v>2364</v>
      </c>
    </row>
    <row r="106" spans="1:13" x14ac:dyDescent="0.3">
      <c r="A106" s="2" t="s">
        <v>1397</v>
      </c>
      <c r="B106" s="5">
        <v>45660</v>
      </c>
      <c r="C106" s="2" t="s">
        <v>587</v>
      </c>
      <c r="D106" s="2" t="s">
        <v>53</v>
      </c>
      <c r="E106" s="2" t="s">
        <v>134</v>
      </c>
      <c r="F106" s="2" t="s">
        <v>99</v>
      </c>
      <c r="G106" s="2" t="s">
        <v>23</v>
      </c>
      <c r="H106" s="2">
        <v>36</v>
      </c>
      <c r="I106" s="7">
        <v>19.18</v>
      </c>
      <c r="J106" s="2">
        <v>10</v>
      </c>
      <c r="K106" s="7">
        <v>621.42999999999995</v>
      </c>
      <c r="L106" s="2" t="s">
        <v>69</v>
      </c>
      <c r="M106" s="2" t="s">
        <v>2364</v>
      </c>
    </row>
    <row r="107" spans="1:13" x14ac:dyDescent="0.3">
      <c r="A107" s="2" t="s">
        <v>715</v>
      </c>
      <c r="B107" s="5">
        <v>45978</v>
      </c>
      <c r="C107" s="2" t="s">
        <v>716</v>
      </c>
      <c r="D107" s="2" t="s">
        <v>24</v>
      </c>
      <c r="E107" s="2" t="s">
        <v>41</v>
      </c>
      <c r="F107" s="2" t="s">
        <v>99</v>
      </c>
      <c r="G107" s="2" t="s">
        <v>23</v>
      </c>
      <c r="H107" s="2">
        <v>38</v>
      </c>
      <c r="I107" s="7">
        <v>16.5</v>
      </c>
      <c r="J107" s="2">
        <v>0</v>
      </c>
      <c r="K107" s="7">
        <v>627</v>
      </c>
      <c r="L107" s="2" t="s">
        <v>2347</v>
      </c>
      <c r="M107" s="2" t="s">
        <v>2364</v>
      </c>
    </row>
    <row r="108" spans="1:13" x14ac:dyDescent="0.3">
      <c r="A108" s="2" t="s">
        <v>1960</v>
      </c>
      <c r="B108" s="5">
        <v>46101</v>
      </c>
      <c r="C108" s="2" t="s">
        <v>1961</v>
      </c>
      <c r="D108" s="2" t="s">
        <v>53</v>
      </c>
      <c r="E108" s="2" t="s">
        <v>67</v>
      </c>
      <c r="F108" s="2" t="s">
        <v>99</v>
      </c>
      <c r="G108" s="2" t="s">
        <v>23</v>
      </c>
      <c r="H108" s="2">
        <v>23</v>
      </c>
      <c r="I108" s="7">
        <v>28.48</v>
      </c>
      <c r="J108" s="2">
        <v>0</v>
      </c>
      <c r="K108" s="7">
        <v>655.04</v>
      </c>
      <c r="L108" s="2" t="s">
        <v>69</v>
      </c>
      <c r="M108" s="2" t="s">
        <v>2365</v>
      </c>
    </row>
    <row r="109" spans="1:13" x14ac:dyDescent="0.3">
      <c r="A109" s="2" t="s">
        <v>995</v>
      </c>
      <c r="B109" s="5">
        <v>45939</v>
      </c>
      <c r="C109" s="2" t="s">
        <v>996</v>
      </c>
      <c r="D109" s="2" t="s">
        <v>24</v>
      </c>
      <c r="E109" s="2" t="s">
        <v>25</v>
      </c>
      <c r="F109" s="2" t="s">
        <v>99</v>
      </c>
      <c r="G109" s="2" t="s">
        <v>23</v>
      </c>
      <c r="H109" s="2">
        <v>29</v>
      </c>
      <c r="I109" s="7">
        <v>26.95</v>
      </c>
      <c r="J109" s="2">
        <v>15</v>
      </c>
      <c r="K109" s="7">
        <v>664.32</v>
      </c>
      <c r="L109" s="2" t="s">
        <v>49</v>
      </c>
      <c r="M109" s="2" t="s">
        <v>2364</v>
      </c>
    </row>
    <row r="110" spans="1:13" x14ac:dyDescent="0.3">
      <c r="A110" s="2" t="s">
        <v>521</v>
      </c>
      <c r="B110" s="5">
        <v>46231</v>
      </c>
      <c r="C110" s="2" t="s">
        <v>522</v>
      </c>
      <c r="D110" s="2" t="s">
        <v>16</v>
      </c>
      <c r="E110" s="2" t="s">
        <v>111</v>
      </c>
      <c r="F110" s="2" t="s">
        <v>99</v>
      </c>
      <c r="G110" s="2" t="s">
        <v>23</v>
      </c>
      <c r="H110" s="2">
        <v>40</v>
      </c>
      <c r="I110" s="7">
        <v>17.87</v>
      </c>
      <c r="J110" s="2">
        <v>5</v>
      </c>
      <c r="K110" s="7">
        <v>679.06</v>
      </c>
      <c r="L110" s="2" t="s">
        <v>69</v>
      </c>
      <c r="M110" s="2" t="s">
        <v>2364</v>
      </c>
    </row>
    <row r="111" spans="1:13" x14ac:dyDescent="0.3">
      <c r="A111" s="2" t="s">
        <v>364</v>
      </c>
      <c r="B111" s="5">
        <v>46137</v>
      </c>
      <c r="C111" s="2" t="s">
        <v>365</v>
      </c>
      <c r="D111" s="2" t="s">
        <v>53</v>
      </c>
      <c r="E111" s="2" t="s">
        <v>134</v>
      </c>
      <c r="F111" s="2" t="s">
        <v>99</v>
      </c>
      <c r="G111" s="2" t="s">
        <v>23</v>
      </c>
      <c r="H111" s="2">
        <v>27</v>
      </c>
      <c r="I111" s="7">
        <v>25.5</v>
      </c>
      <c r="J111" s="2">
        <v>0</v>
      </c>
      <c r="K111" s="7">
        <v>688.5</v>
      </c>
      <c r="L111" s="2" t="s">
        <v>69</v>
      </c>
      <c r="M111" s="2" t="s">
        <v>2364</v>
      </c>
    </row>
    <row r="112" spans="1:13" x14ac:dyDescent="0.3">
      <c r="A112" s="2" t="s">
        <v>674</v>
      </c>
      <c r="B112" s="5">
        <v>46008</v>
      </c>
      <c r="C112" s="2" t="s">
        <v>675</v>
      </c>
      <c r="D112" s="2" t="s">
        <v>53</v>
      </c>
      <c r="E112" s="2" t="s">
        <v>54</v>
      </c>
      <c r="F112" s="2" t="s">
        <v>99</v>
      </c>
      <c r="G112" s="2" t="s">
        <v>23</v>
      </c>
      <c r="H112" s="2">
        <v>30</v>
      </c>
      <c r="I112" s="7">
        <v>25.51</v>
      </c>
      <c r="J112" s="2">
        <v>10</v>
      </c>
      <c r="K112" s="7">
        <v>688.77</v>
      </c>
      <c r="L112" s="2" t="s">
        <v>2347</v>
      </c>
      <c r="M112" s="2" t="s">
        <v>2365</v>
      </c>
    </row>
    <row r="113" spans="1:13" x14ac:dyDescent="0.3">
      <c r="A113" s="2" t="s">
        <v>721</v>
      </c>
      <c r="B113" s="5">
        <v>45902</v>
      </c>
      <c r="C113" s="2" t="s">
        <v>722</v>
      </c>
      <c r="D113" s="2" t="s">
        <v>16</v>
      </c>
      <c r="E113" s="2" t="s">
        <v>160</v>
      </c>
      <c r="F113" s="2" t="s">
        <v>99</v>
      </c>
      <c r="G113" s="2" t="s">
        <v>23</v>
      </c>
      <c r="H113" s="2">
        <v>26</v>
      </c>
      <c r="I113" s="7">
        <v>29.56</v>
      </c>
      <c r="J113" s="2">
        <v>10</v>
      </c>
      <c r="K113" s="7">
        <v>691.7</v>
      </c>
      <c r="L113" s="2" t="s">
        <v>27</v>
      </c>
      <c r="M113" s="2" t="s">
        <v>2365</v>
      </c>
    </row>
    <row r="114" spans="1:13" x14ac:dyDescent="0.3">
      <c r="A114" s="2" t="s">
        <v>1991</v>
      </c>
      <c r="B114" s="5">
        <v>46013</v>
      </c>
      <c r="C114" s="2" t="s">
        <v>1420</v>
      </c>
      <c r="D114" s="2" t="s">
        <v>16</v>
      </c>
      <c r="E114" s="2" t="s">
        <v>160</v>
      </c>
      <c r="F114" s="2" t="s">
        <v>99</v>
      </c>
      <c r="G114" s="2" t="s">
        <v>23</v>
      </c>
      <c r="H114" s="2">
        <v>43</v>
      </c>
      <c r="I114" s="7">
        <v>17.52</v>
      </c>
      <c r="J114" s="2">
        <v>0</v>
      </c>
      <c r="K114" s="7">
        <v>753.36</v>
      </c>
      <c r="L114" s="2" t="s">
        <v>49</v>
      </c>
      <c r="M114" s="2" t="s">
        <v>2364</v>
      </c>
    </row>
    <row r="115" spans="1:13" x14ac:dyDescent="0.3">
      <c r="A115" s="2" t="s">
        <v>1670</v>
      </c>
      <c r="B115" s="5">
        <v>46195</v>
      </c>
      <c r="C115" s="2" t="s">
        <v>1671</v>
      </c>
      <c r="D115" s="2" t="s">
        <v>16</v>
      </c>
      <c r="E115" s="2" t="s">
        <v>17</v>
      </c>
      <c r="F115" s="2" t="s">
        <v>99</v>
      </c>
      <c r="G115" s="2" t="s">
        <v>23</v>
      </c>
      <c r="H115" s="2">
        <v>29</v>
      </c>
      <c r="I115" s="7">
        <v>26.09</v>
      </c>
      <c r="J115" s="2">
        <v>0</v>
      </c>
      <c r="K115" s="7">
        <v>756.61</v>
      </c>
      <c r="L115" s="2" t="s">
        <v>69</v>
      </c>
      <c r="M115" s="2" t="s">
        <v>2364</v>
      </c>
    </row>
    <row r="116" spans="1:13" x14ac:dyDescent="0.3">
      <c r="A116" s="2" t="s">
        <v>699</v>
      </c>
      <c r="B116" s="5">
        <v>45590</v>
      </c>
      <c r="C116" s="2" t="s">
        <v>700</v>
      </c>
      <c r="D116" s="2" t="s">
        <v>53</v>
      </c>
      <c r="E116" s="2" t="s">
        <v>134</v>
      </c>
      <c r="F116" s="2" t="s">
        <v>99</v>
      </c>
      <c r="G116" s="2" t="s">
        <v>23</v>
      </c>
      <c r="H116" s="2">
        <v>42</v>
      </c>
      <c r="I116" s="7">
        <v>20.85</v>
      </c>
      <c r="J116" s="2">
        <v>10</v>
      </c>
      <c r="K116" s="7">
        <v>788.13</v>
      </c>
      <c r="L116" s="2" t="s">
        <v>69</v>
      </c>
      <c r="M116" s="2" t="s">
        <v>2364</v>
      </c>
    </row>
    <row r="117" spans="1:13" x14ac:dyDescent="0.3">
      <c r="A117" s="2" t="s">
        <v>97</v>
      </c>
      <c r="B117" s="5">
        <v>45607</v>
      </c>
      <c r="C117" s="2" t="s">
        <v>98</v>
      </c>
      <c r="D117" s="2" t="s">
        <v>46</v>
      </c>
      <c r="E117" s="2" t="s">
        <v>78</v>
      </c>
      <c r="F117" s="2" t="s">
        <v>99</v>
      </c>
      <c r="G117" s="2" t="s">
        <v>23</v>
      </c>
      <c r="H117" s="2">
        <v>30</v>
      </c>
      <c r="I117" s="7">
        <v>29.95</v>
      </c>
      <c r="J117" s="2">
        <v>5</v>
      </c>
      <c r="K117" s="7">
        <v>853.58</v>
      </c>
      <c r="L117" s="2" t="s">
        <v>27</v>
      </c>
      <c r="M117" s="2" t="s">
        <v>2365</v>
      </c>
    </row>
    <row r="118" spans="1:13" x14ac:dyDescent="0.3">
      <c r="A118" s="2" t="s">
        <v>1214</v>
      </c>
      <c r="B118" s="5">
        <v>46270</v>
      </c>
      <c r="C118" s="2" t="s">
        <v>1215</v>
      </c>
      <c r="D118" s="2" t="s">
        <v>53</v>
      </c>
      <c r="E118" s="2" t="s">
        <v>134</v>
      </c>
      <c r="F118" s="2" t="s">
        <v>99</v>
      </c>
      <c r="G118" s="2" t="s">
        <v>23</v>
      </c>
      <c r="H118" s="2">
        <v>48</v>
      </c>
      <c r="I118" s="7">
        <v>22.46</v>
      </c>
      <c r="J118" s="2">
        <v>15</v>
      </c>
      <c r="K118" s="7">
        <v>916.37</v>
      </c>
      <c r="L118" s="2" t="s">
        <v>31</v>
      </c>
      <c r="M118" s="2" t="s">
        <v>2365</v>
      </c>
    </row>
    <row r="119" spans="1:13" x14ac:dyDescent="0.3">
      <c r="A119" s="2" t="s">
        <v>1382</v>
      </c>
      <c r="B119" s="5">
        <v>45977</v>
      </c>
      <c r="C119" s="2" t="s">
        <v>1383</v>
      </c>
      <c r="D119" s="2" t="s">
        <v>46</v>
      </c>
      <c r="E119" s="2" t="s">
        <v>244</v>
      </c>
      <c r="F119" s="2" t="s">
        <v>99</v>
      </c>
      <c r="G119" s="2" t="s">
        <v>23</v>
      </c>
      <c r="H119" s="2">
        <v>50</v>
      </c>
      <c r="I119" s="7">
        <v>22.67</v>
      </c>
      <c r="J119" s="2">
        <v>15</v>
      </c>
      <c r="K119" s="7">
        <v>963.48</v>
      </c>
      <c r="L119" s="2" t="s">
        <v>49</v>
      </c>
      <c r="M119" s="2" t="s">
        <v>2365</v>
      </c>
    </row>
    <row r="120" spans="1:13" x14ac:dyDescent="0.3">
      <c r="A120" s="2" t="s">
        <v>2157</v>
      </c>
      <c r="B120" s="5">
        <v>46202</v>
      </c>
      <c r="C120" s="2" t="s">
        <v>2158</v>
      </c>
      <c r="D120" s="2" t="s">
        <v>53</v>
      </c>
      <c r="E120" s="2" t="s">
        <v>141</v>
      </c>
      <c r="F120" s="2" t="s">
        <v>99</v>
      </c>
      <c r="G120" s="2" t="s">
        <v>23</v>
      </c>
      <c r="H120" s="2">
        <v>48</v>
      </c>
      <c r="I120" s="7">
        <v>20.63</v>
      </c>
      <c r="J120" s="2">
        <v>0</v>
      </c>
      <c r="K120" s="7">
        <v>990.24</v>
      </c>
      <c r="L120" s="2" t="s">
        <v>2347</v>
      </c>
      <c r="M120" s="2" t="s">
        <v>2365</v>
      </c>
    </row>
    <row r="121" spans="1:13" x14ac:dyDescent="0.3">
      <c r="A121" s="2" t="s">
        <v>1918</v>
      </c>
      <c r="B121" s="5">
        <v>45833</v>
      </c>
      <c r="C121" s="2" t="s">
        <v>939</v>
      </c>
      <c r="D121" s="2" t="s">
        <v>46</v>
      </c>
      <c r="E121" s="2" t="s">
        <v>124</v>
      </c>
      <c r="F121" s="2" t="s">
        <v>99</v>
      </c>
      <c r="G121" s="2" t="s">
        <v>23</v>
      </c>
      <c r="H121" s="2">
        <v>44</v>
      </c>
      <c r="I121" s="7">
        <v>22.82</v>
      </c>
      <c r="J121" s="2">
        <v>0</v>
      </c>
      <c r="K121" s="7">
        <v>1004.08</v>
      </c>
      <c r="L121" s="2" t="s">
        <v>27</v>
      </c>
      <c r="M121" s="2" t="s">
        <v>2365</v>
      </c>
    </row>
    <row r="122" spans="1:13" x14ac:dyDescent="0.3">
      <c r="A122" s="2" t="s">
        <v>419</v>
      </c>
      <c r="B122" s="5">
        <v>45844</v>
      </c>
      <c r="C122" s="2" t="s">
        <v>420</v>
      </c>
      <c r="D122" s="2" t="s">
        <v>53</v>
      </c>
      <c r="E122" s="2" t="s">
        <v>170</v>
      </c>
      <c r="F122" s="2" t="s">
        <v>99</v>
      </c>
      <c r="G122" s="2" t="s">
        <v>23</v>
      </c>
      <c r="H122" s="2">
        <v>49</v>
      </c>
      <c r="I122" s="7">
        <v>24.42</v>
      </c>
      <c r="J122" s="2">
        <v>15</v>
      </c>
      <c r="K122" s="7">
        <v>1017.09</v>
      </c>
      <c r="L122" s="2" t="s">
        <v>69</v>
      </c>
      <c r="M122" s="2" t="s">
        <v>2365</v>
      </c>
    </row>
    <row r="123" spans="1:13" x14ac:dyDescent="0.3">
      <c r="A123" s="2" t="s">
        <v>2041</v>
      </c>
      <c r="B123" s="5">
        <v>46260</v>
      </c>
      <c r="C123" s="2" t="s">
        <v>2042</v>
      </c>
      <c r="D123" s="2" t="s">
        <v>53</v>
      </c>
      <c r="E123" s="2" t="s">
        <v>170</v>
      </c>
      <c r="F123" s="2" t="s">
        <v>99</v>
      </c>
      <c r="G123" s="2" t="s">
        <v>23</v>
      </c>
      <c r="H123" s="2">
        <v>35</v>
      </c>
      <c r="I123" s="7">
        <v>29.83</v>
      </c>
      <c r="J123" s="2">
        <v>0</v>
      </c>
      <c r="K123" s="7">
        <v>1044.05</v>
      </c>
      <c r="L123" s="2" t="s">
        <v>69</v>
      </c>
      <c r="M123" s="2" t="s">
        <v>2365</v>
      </c>
    </row>
    <row r="124" spans="1:13" x14ac:dyDescent="0.3">
      <c r="A124" s="2" t="s">
        <v>1874</v>
      </c>
      <c r="B124" s="5">
        <v>45614</v>
      </c>
      <c r="C124" s="2" t="s">
        <v>1838</v>
      </c>
      <c r="D124" s="2" t="s">
        <v>46</v>
      </c>
      <c r="E124" s="2" t="s">
        <v>47</v>
      </c>
      <c r="F124" s="2" t="s">
        <v>99</v>
      </c>
      <c r="G124" s="2" t="s">
        <v>23</v>
      </c>
      <c r="H124" s="2">
        <v>44</v>
      </c>
      <c r="I124" s="7">
        <v>24.36</v>
      </c>
      <c r="J124" s="2">
        <v>0</v>
      </c>
      <c r="K124" s="7">
        <v>1071.8399999999999</v>
      </c>
      <c r="L124" s="2" t="s">
        <v>69</v>
      </c>
      <c r="M124" s="2" t="s">
        <v>2364</v>
      </c>
    </row>
    <row r="125" spans="1:13" x14ac:dyDescent="0.3">
      <c r="A125" s="2" t="s">
        <v>1948</v>
      </c>
      <c r="B125" s="5">
        <v>46093</v>
      </c>
      <c r="C125" s="2" t="s">
        <v>1949</v>
      </c>
      <c r="D125" s="2" t="s">
        <v>16</v>
      </c>
      <c r="E125" s="2" t="s">
        <v>74</v>
      </c>
      <c r="F125" s="2" t="s">
        <v>99</v>
      </c>
      <c r="G125" s="2" t="s">
        <v>23</v>
      </c>
      <c r="H125" s="2">
        <v>49</v>
      </c>
      <c r="I125" s="7">
        <v>25.19</v>
      </c>
      <c r="J125" s="2">
        <v>10</v>
      </c>
      <c r="K125" s="7">
        <v>1110.8800000000001</v>
      </c>
      <c r="L125" s="2" t="s">
        <v>31</v>
      </c>
      <c r="M125" s="2" t="s">
        <v>2364</v>
      </c>
    </row>
    <row r="126" spans="1:13" x14ac:dyDescent="0.3">
      <c r="A126" s="2" t="s">
        <v>1289</v>
      </c>
      <c r="B126" s="5">
        <v>45961</v>
      </c>
      <c r="C126" s="2" t="s">
        <v>1290</v>
      </c>
      <c r="D126" s="2" t="s">
        <v>16</v>
      </c>
      <c r="E126" s="2" t="s">
        <v>17</v>
      </c>
      <c r="F126" s="2" t="s">
        <v>99</v>
      </c>
      <c r="G126" s="2" t="s">
        <v>23</v>
      </c>
      <c r="H126" s="2">
        <v>50</v>
      </c>
      <c r="I126" s="7">
        <v>25.63</v>
      </c>
      <c r="J126" s="2">
        <v>10</v>
      </c>
      <c r="K126" s="7">
        <v>1153.3499999999999</v>
      </c>
      <c r="L126" s="2" t="s">
        <v>31</v>
      </c>
      <c r="M126" s="2" t="s">
        <v>2364</v>
      </c>
    </row>
    <row r="127" spans="1:13" x14ac:dyDescent="0.3">
      <c r="A127" s="2" t="s">
        <v>2062</v>
      </c>
      <c r="B127" s="5">
        <v>46174</v>
      </c>
      <c r="C127" s="2" t="s">
        <v>738</v>
      </c>
      <c r="D127" s="2" t="s">
        <v>16</v>
      </c>
      <c r="E127" s="2" t="s">
        <v>74</v>
      </c>
      <c r="F127" s="2" t="s">
        <v>99</v>
      </c>
      <c r="G127" s="2" t="s">
        <v>23</v>
      </c>
      <c r="H127" s="2">
        <v>47</v>
      </c>
      <c r="I127" s="7">
        <v>26.02</v>
      </c>
      <c r="J127" s="2">
        <v>0</v>
      </c>
      <c r="K127" s="7">
        <v>1222.94</v>
      </c>
      <c r="L127" s="2" t="s">
        <v>31</v>
      </c>
      <c r="M127" s="2" t="s">
        <v>2365</v>
      </c>
    </row>
    <row r="128" spans="1:13" x14ac:dyDescent="0.3">
      <c r="A128" s="2" t="s">
        <v>959</v>
      </c>
      <c r="B128" s="5">
        <v>45595</v>
      </c>
      <c r="C128" s="2" t="s">
        <v>960</v>
      </c>
      <c r="D128" s="2" t="s">
        <v>53</v>
      </c>
      <c r="E128" s="2" t="s">
        <v>141</v>
      </c>
      <c r="F128" s="2" t="s">
        <v>45</v>
      </c>
      <c r="G128" s="2" t="s">
        <v>23</v>
      </c>
      <c r="H128" s="2">
        <v>1</v>
      </c>
      <c r="I128" s="7">
        <v>89.37</v>
      </c>
      <c r="J128" s="2">
        <v>20</v>
      </c>
      <c r="K128" s="7">
        <v>71.5</v>
      </c>
      <c r="L128" s="2" t="s">
        <v>31</v>
      </c>
      <c r="M128" s="2" t="s">
        <v>2364</v>
      </c>
    </row>
    <row r="129" spans="1:13" x14ac:dyDescent="0.3">
      <c r="A129" s="2" t="s">
        <v>2125</v>
      </c>
      <c r="B129" s="5">
        <v>45784</v>
      </c>
      <c r="C129" s="2" t="s">
        <v>499</v>
      </c>
      <c r="D129" s="2" t="s">
        <v>46</v>
      </c>
      <c r="E129" s="2" t="s">
        <v>124</v>
      </c>
      <c r="F129" s="2" t="s">
        <v>45</v>
      </c>
      <c r="G129" s="2" t="s">
        <v>23</v>
      </c>
      <c r="H129" s="2">
        <v>1</v>
      </c>
      <c r="I129" s="7">
        <v>104.55</v>
      </c>
      <c r="J129" s="2">
        <v>15</v>
      </c>
      <c r="K129" s="7">
        <v>88.87</v>
      </c>
      <c r="L129" s="2" t="s">
        <v>31</v>
      </c>
      <c r="M129" s="2" t="s">
        <v>2364</v>
      </c>
    </row>
    <row r="130" spans="1:13" x14ac:dyDescent="0.3">
      <c r="A130" s="2" t="s">
        <v>540</v>
      </c>
      <c r="B130" s="5">
        <v>46254</v>
      </c>
      <c r="C130" s="2" t="s">
        <v>541</v>
      </c>
      <c r="D130" s="2" t="s">
        <v>16</v>
      </c>
      <c r="E130" s="2" t="s">
        <v>74</v>
      </c>
      <c r="F130" s="2" t="s">
        <v>45</v>
      </c>
      <c r="G130" s="2" t="s">
        <v>23</v>
      </c>
      <c r="H130" s="2">
        <v>4</v>
      </c>
      <c r="I130" s="7">
        <v>34.86</v>
      </c>
      <c r="J130" s="2">
        <v>20</v>
      </c>
      <c r="K130" s="7">
        <v>111.55</v>
      </c>
      <c r="L130" s="2" t="s">
        <v>69</v>
      </c>
      <c r="M130" s="2" t="s">
        <v>2364</v>
      </c>
    </row>
    <row r="131" spans="1:13" x14ac:dyDescent="0.3">
      <c r="A131" s="2" t="s">
        <v>1706</v>
      </c>
      <c r="B131" s="5">
        <v>46048</v>
      </c>
      <c r="C131" s="2" t="s">
        <v>1707</v>
      </c>
      <c r="D131" s="2" t="s">
        <v>53</v>
      </c>
      <c r="E131" s="2" t="s">
        <v>170</v>
      </c>
      <c r="F131" s="2" t="s">
        <v>45</v>
      </c>
      <c r="G131" s="2" t="s">
        <v>23</v>
      </c>
      <c r="H131" s="2">
        <v>1</v>
      </c>
      <c r="I131" s="7">
        <v>137.63999999999999</v>
      </c>
      <c r="J131" s="2">
        <v>15</v>
      </c>
      <c r="K131" s="7">
        <v>116.99</v>
      </c>
      <c r="L131" s="2" t="s">
        <v>31</v>
      </c>
      <c r="M131" s="2" t="s">
        <v>2364</v>
      </c>
    </row>
    <row r="132" spans="1:13" x14ac:dyDescent="0.3">
      <c r="A132" s="2" t="s">
        <v>614</v>
      </c>
      <c r="B132" s="5">
        <v>45852</v>
      </c>
      <c r="C132" s="2" t="s">
        <v>615</v>
      </c>
      <c r="D132" s="2" t="s">
        <v>24</v>
      </c>
      <c r="E132" s="2" t="s">
        <v>104</v>
      </c>
      <c r="F132" s="2" t="s">
        <v>45</v>
      </c>
      <c r="G132" s="2" t="s">
        <v>23</v>
      </c>
      <c r="H132" s="2">
        <v>4</v>
      </c>
      <c r="I132" s="7">
        <v>32.840000000000003</v>
      </c>
      <c r="J132" s="2">
        <v>5</v>
      </c>
      <c r="K132" s="7">
        <v>124.79</v>
      </c>
      <c r="L132" s="2" t="s">
        <v>2347</v>
      </c>
      <c r="M132" s="2" t="s">
        <v>2364</v>
      </c>
    </row>
    <row r="133" spans="1:13" x14ac:dyDescent="0.3">
      <c r="A133" s="2" t="s">
        <v>2030</v>
      </c>
      <c r="B133" s="5">
        <v>46045</v>
      </c>
      <c r="C133" s="2" t="s">
        <v>703</v>
      </c>
      <c r="D133" s="2" t="s">
        <v>24</v>
      </c>
      <c r="E133" s="2" t="s">
        <v>36</v>
      </c>
      <c r="F133" s="2" t="s">
        <v>45</v>
      </c>
      <c r="G133" s="2" t="s">
        <v>23</v>
      </c>
      <c r="H133" s="2">
        <v>3</v>
      </c>
      <c r="I133" s="7">
        <v>59.44</v>
      </c>
      <c r="J133" s="2">
        <v>20</v>
      </c>
      <c r="K133" s="7">
        <v>142.66</v>
      </c>
      <c r="L133" s="2" t="s">
        <v>31</v>
      </c>
      <c r="M133" s="2" t="s">
        <v>2364</v>
      </c>
    </row>
    <row r="134" spans="1:13" x14ac:dyDescent="0.3">
      <c r="A134" s="2" t="s">
        <v>1747</v>
      </c>
      <c r="B134" s="5">
        <v>45578</v>
      </c>
      <c r="C134" s="2" t="s">
        <v>1748</v>
      </c>
      <c r="D134" s="2" t="s">
        <v>24</v>
      </c>
      <c r="E134" s="2" t="s">
        <v>36</v>
      </c>
      <c r="F134" s="2" t="s">
        <v>45</v>
      </c>
      <c r="G134" s="2" t="s">
        <v>23</v>
      </c>
      <c r="H134" s="2">
        <v>5</v>
      </c>
      <c r="I134" s="7">
        <v>34.17</v>
      </c>
      <c r="J134" s="2">
        <v>10</v>
      </c>
      <c r="K134" s="7">
        <v>153.77000000000001</v>
      </c>
      <c r="L134" s="2" t="s">
        <v>27</v>
      </c>
      <c r="M134" s="2" t="s">
        <v>2364</v>
      </c>
    </row>
    <row r="135" spans="1:13" x14ac:dyDescent="0.3">
      <c r="A135" s="2" t="s">
        <v>347</v>
      </c>
      <c r="B135" s="5">
        <v>46132</v>
      </c>
      <c r="C135" s="2" t="s">
        <v>348</v>
      </c>
      <c r="D135" s="2" t="s">
        <v>46</v>
      </c>
      <c r="E135" s="2" t="s">
        <v>78</v>
      </c>
      <c r="F135" s="2" t="s">
        <v>45</v>
      </c>
      <c r="G135" s="2" t="s">
        <v>23</v>
      </c>
      <c r="H135" s="2">
        <v>5</v>
      </c>
      <c r="I135" s="7">
        <v>32.9</v>
      </c>
      <c r="J135" s="2">
        <v>5</v>
      </c>
      <c r="K135" s="7">
        <v>156.28</v>
      </c>
      <c r="L135" s="2" t="s">
        <v>2347</v>
      </c>
      <c r="M135" s="2" t="s">
        <v>2364</v>
      </c>
    </row>
    <row r="136" spans="1:13" x14ac:dyDescent="0.3">
      <c r="A136" s="2" t="s">
        <v>2135</v>
      </c>
      <c r="B136" s="5">
        <v>45947</v>
      </c>
      <c r="C136" s="2" t="s">
        <v>2022</v>
      </c>
      <c r="D136" s="2" t="s">
        <v>46</v>
      </c>
      <c r="E136" s="2" t="s">
        <v>124</v>
      </c>
      <c r="F136" s="2" t="s">
        <v>45</v>
      </c>
      <c r="G136" s="2" t="s">
        <v>23</v>
      </c>
      <c r="H136" s="2">
        <v>5</v>
      </c>
      <c r="I136" s="7">
        <v>48.8</v>
      </c>
      <c r="J136" s="2">
        <v>20</v>
      </c>
      <c r="K136" s="7">
        <v>195.2</v>
      </c>
      <c r="L136" s="2" t="s">
        <v>2347</v>
      </c>
      <c r="M136" s="2" t="s">
        <v>2364</v>
      </c>
    </row>
    <row r="137" spans="1:13" x14ac:dyDescent="0.3">
      <c r="A137" s="2" t="s">
        <v>2177</v>
      </c>
      <c r="B137" s="5">
        <v>46182</v>
      </c>
      <c r="C137" s="2" t="s">
        <v>356</v>
      </c>
      <c r="D137" s="2" t="s">
        <v>46</v>
      </c>
      <c r="E137" s="2" t="s">
        <v>78</v>
      </c>
      <c r="F137" s="2" t="s">
        <v>45</v>
      </c>
      <c r="G137" s="2" t="s">
        <v>23</v>
      </c>
      <c r="H137" s="2">
        <v>2</v>
      </c>
      <c r="I137" s="7">
        <v>176.46</v>
      </c>
      <c r="J137" s="2">
        <v>15</v>
      </c>
      <c r="K137" s="7">
        <v>299.98</v>
      </c>
      <c r="L137" s="2" t="s">
        <v>49</v>
      </c>
      <c r="M137" s="2" t="s">
        <v>2364</v>
      </c>
    </row>
    <row r="138" spans="1:13" x14ac:dyDescent="0.3">
      <c r="A138" s="2" t="s">
        <v>1271</v>
      </c>
      <c r="B138" s="5">
        <v>45943</v>
      </c>
      <c r="C138" s="2" t="s">
        <v>1272</v>
      </c>
      <c r="D138" s="2" t="s">
        <v>16</v>
      </c>
      <c r="E138" s="2" t="s">
        <v>91</v>
      </c>
      <c r="F138" s="2" t="s">
        <v>45</v>
      </c>
      <c r="G138" s="2" t="s">
        <v>23</v>
      </c>
      <c r="H138" s="2">
        <v>4</v>
      </c>
      <c r="I138" s="7">
        <v>121.73</v>
      </c>
      <c r="J138" s="2">
        <v>5</v>
      </c>
      <c r="K138" s="7">
        <v>462.57</v>
      </c>
      <c r="L138" s="2" t="s">
        <v>2347</v>
      </c>
      <c r="M138" s="2" t="s">
        <v>2365</v>
      </c>
    </row>
    <row r="139" spans="1:13" x14ac:dyDescent="0.3">
      <c r="A139" s="2" t="s">
        <v>688</v>
      </c>
      <c r="B139" s="5">
        <v>46259</v>
      </c>
      <c r="C139" s="2" t="s">
        <v>689</v>
      </c>
      <c r="D139" s="2" t="s">
        <v>24</v>
      </c>
      <c r="E139" s="2" t="s">
        <v>104</v>
      </c>
      <c r="F139" s="2" t="s">
        <v>45</v>
      </c>
      <c r="G139" s="2" t="s">
        <v>23</v>
      </c>
      <c r="H139" s="2">
        <v>10</v>
      </c>
      <c r="I139" s="7">
        <v>54.28</v>
      </c>
      <c r="J139" s="2">
        <v>10</v>
      </c>
      <c r="K139" s="7">
        <v>488.52</v>
      </c>
      <c r="L139" s="2" t="s">
        <v>27</v>
      </c>
      <c r="M139" s="2" t="s">
        <v>2364</v>
      </c>
    </row>
    <row r="140" spans="1:13" x14ac:dyDescent="0.3">
      <c r="A140" s="2" t="s">
        <v>565</v>
      </c>
      <c r="B140" s="5">
        <v>45736</v>
      </c>
      <c r="C140" s="2" t="s">
        <v>566</v>
      </c>
      <c r="D140" s="2" t="s">
        <v>24</v>
      </c>
      <c r="E140" s="2" t="s">
        <v>41</v>
      </c>
      <c r="F140" s="2" t="s">
        <v>45</v>
      </c>
      <c r="G140" s="2" t="s">
        <v>23</v>
      </c>
      <c r="H140" s="2">
        <v>7</v>
      </c>
      <c r="I140" s="7">
        <v>124.12</v>
      </c>
      <c r="J140" s="2">
        <v>10</v>
      </c>
      <c r="K140" s="7">
        <v>781.96</v>
      </c>
      <c r="L140" s="2" t="s">
        <v>49</v>
      </c>
      <c r="M140" s="2" t="s">
        <v>2364</v>
      </c>
    </row>
    <row r="141" spans="1:13" x14ac:dyDescent="0.3">
      <c r="A141" s="2" t="s">
        <v>1304</v>
      </c>
      <c r="B141" s="5">
        <v>45595</v>
      </c>
      <c r="C141" s="2" t="s">
        <v>1305</v>
      </c>
      <c r="D141" s="2" t="s">
        <v>16</v>
      </c>
      <c r="E141" s="2" t="s">
        <v>74</v>
      </c>
      <c r="F141" s="2" t="s">
        <v>45</v>
      </c>
      <c r="G141" s="2" t="s">
        <v>23</v>
      </c>
      <c r="H141" s="2">
        <v>5</v>
      </c>
      <c r="I141" s="7">
        <v>171.65</v>
      </c>
      <c r="J141" s="2">
        <v>0</v>
      </c>
      <c r="K141" s="7">
        <v>858.25</v>
      </c>
      <c r="L141" s="2" t="s">
        <v>69</v>
      </c>
      <c r="M141" s="2" t="s">
        <v>2364</v>
      </c>
    </row>
    <row r="142" spans="1:13" x14ac:dyDescent="0.3">
      <c r="A142" s="2" t="s">
        <v>1684</v>
      </c>
      <c r="B142" s="5">
        <v>46255</v>
      </c>
      <c r="C142" s="2" t="s">
        <v>1685</v>
      </c>
      <c r="D142" s="2" t="s">
        <v>46</v>
      </c>
      <c r="E142" s="2" t="s">
        <v>47</v>
      </c>
      <c r="F142" s="2" t="s">
        <v>45</v>
      </c>
      <c r="G142" s="2" t="s">
        <v>23</v>
      </c>
      <c r="H142" s="2">
        <v>7</v>
      </c>
      <c r="I142" s="7">
        <v>161.66</v>
      </c>
      <c r="J142" s="2">
        <v>20</v>
      </c>
      <c r="K142" s="7">
        <v>905.3</v>
      </c>
      <c r="L142" s="2" t="s">
        <v>2347</v>
      </c>
      <c r="M142" s="2" t="s">
        <v>2364</v>
      </c>
    </row>
    <row r="143" spans="1:13" x14ac:dyDescent="0.3">
      <c r="A143" s="2" t="s">
        <v>1792</v>
      </c>
      <c r="B143" s="5">
        <v>46094</v>
      </c>
      <c r="C143" s="2" t="s">
        <v>1793</v>
      </c>
      <c r="D143" s="2" t="s">
        <v>16</v>
      </c>
      <c r="E143" s="2" t="s">
        <v>160</v>
      </c>
      <c r="F143" s="2" t="s">
        <v>45</v>
      </c>
      <c r="G143" s="2" t="s">
        <v>23</v>
      </c>
      <c r="H143" s="2">
        <v>21</v>
      </c>
      <c r="I143" s="7">
        <v>43.16</v>
      </c>
      <c r="J143" s="2">
        <v>0</v>
      </c>
      <c r="K143" s="7">
        <v>906.36</v>
      </c>
      <c r="L143" s="2" t="s">
        <v>69</v>
      </c>
      <c r="M143" s="2" t="s">
        <v>2364</v>
      </c>
    </row>
    <row r="144" spans="1:13" x14ac:dyDescent="0.3">
      <c r="A144" s="2" t="s">
        <v>1917</v>
      </c>
      <c r="B144" s="5">
        <v>45903</v>
      </c>
      <c r="C144" s="2" t="s">
        <v>994</v>
      </c>
      <c r="D144" s="2" t="s">
        <v>24</v>
      </c>
      <c r="E144" s="2" t="s">
        <v>104</v>
      </c>
      <c r="F144" s="2" t="s">
        <v>45</v>
      </c>
      <c r="G144" s="2" t="s">
        <v>23</v>
      </c>
      <c r="H144" s="2">
        <v>30</v>
      </c>
      <c r="I144" s="7">
        <v>37.979999999999997</v>
      </c>
      <c r="J144" s="2">
        <v>20</v>
      </c>
      <c r="K144" s="7">
        <v>911.52</v>
      </c>
      <c r="L144" s="2" t="s">
        <v>31</v>
      </c>
      <c r="M144" s="2" t="s">
        <v>2365</v>
      </c>
    </row>
    <row r="145" spans="1:13" x14ac:dyDescent="0.3">
      <c r="A145" s="2" t="s">
        <v>2169</v>
      </c>
      <c r="B145" s="5">
        <v>45623</v>
      </c>
      <c r="C145" s="2" t="s">
        <v>444</v>
      </c>
      <c r="D145" s="2" t="s">
        <v>16</v>
      </c>
      <c r="E145" s="2" t="s">
        <v>111</v>
      </c>
      <c r="F145" s="2" t="s">
        <v>45</v>
      </c>
      <c r="G145" s="2" t="s">
        <v>23</v>
      </c>
      <c r="H145" s="2">
        <v>17</v>
      </c>
      <c r="I145" s="7">
        <v>61.77</v>
      </c>
      <c r="J145" s="2">
        <v>0</v>
      </c>
      <c r="K145" s="7">
        <v>1050.0899999999999</v>
      </c>
      <c r="L145" s="2" t="s">
        <v>69</v>
      </c>
      <c r="M145" s="2" t="s">
        <v>2365</v>
      </c>
    </row>
    <row r="146" spans="1:13" x14ac:dyDescent="0.3">
      <c r="A146" s="2" t="s">
        <v>1121</v>
      </c>
      <c r="B146" s="5">
        <v>45896</v>
      </c>
      <c r="C146" s="2" t="s">
        <v>1122</v>
      </c>
      <c r="D146" s="2" t="s">
        <v>16</v>
      </c>
      <c r="E146" s="2" t="s">
        <v>111</v>
      </c>
      <c r="F146" s="2" t="s">
        <v>45</v>
      </c>
      <c r="G146" s="2" t="s">
        <v>23</v>
      </c>
      <c r="H146" s="2">
        <v>9</v>
      </c>
      <c r="I146" s="7">
        <v>126.34</v>
      </c>
      <c r="J146" s="2">
        <v>5</v>
      </c>
      <c r="K146" s="7">
        <v>1080.21</v>
      </c>
      <c r="L146" s="2" t="s">
        <v>2347</v>
      </c>
      <c r="M146" s="2" t="s">
        <v>2365</v>
      </c>
    </row>
    <row r="147" spans="1:13" x14ac:dyDescent="0.3">
      <c r="A147" s="2" t="s">
        <v>810</v>
      </c>
      <c r="B147" s="5">
        <v>46268</v>
      </c>
      <c r="C147" s="2" t="s">
        <v>811</v>
      </c>
      <c r="D147" s="2" t="s">
        <v>46</v>
      </c>
      <c r="E147" s="2" t="s">
        <v>78</v>
      </c>
      <c r="F147" s="2" t="s">
        <v>45</v>
      </c>
      <c r="G147" s="2" t="s">
        <v>23</v>
      </c>
      <c r="H147" s="2">
        <v>23</v>
      </c>
      <c r="I147" s="7">
        <v>50.13</v>
      </c>
      <c r="J147" s="2">
        <v>5</v>
      </c>
      <c r="K147" s="7">
        <v>1095.3399999999999</v>
      </c>
      <c r="L147" s="2" t="s">
        <v>69</v>
      </c>
      <c r="M147" s="2" t="s">
        <v>2364</v>
      </c>
    </row>
    <row r="148" spans="1:13" x14ac:dyDescent="0.3">
      <c r="A148" s="2" t="s">
        <v>367</v>
      </c>
      <c r="B148" s="5">
        <v>46236</v>
      </c>
      <c r="C148" s="2" t="s">
        <v>368</v>
      </c>
      <c r="D148" s="2" t="s">
        <v>24</v>
      </c>
      <c r="E148" s="2" t="s">
        <v>36</v>
      </c>
      <c r="F148" s="2" t="s">
        <v>45</v>
      </c>
      <c r="G148" s="2" t="s">
        <v>23</v>
      </c>
      <c r="H148" s="2">
        <v>14</v>
      </c>
      <c r="I148" s="7">
        <v>92.29</v>
      </c>
      <c r="J148" s="2">
        <v>15</v>
      </c>
      <c r="K148" s="7">
        <v>1098.25</v>
      </c>
      <c r="L148" s="2" t="s">
        <v>31</v>
      </c>
      <c r="M148" s="2" t="s">
        <v>2364</v>
      </c>
    </row>
    <row r="149" spans="1:13" x14ac:dyDescent="0.3">
      <c r="A149" s="2" t="s">
        <v>1532</v>
      </c>
      <c r="B149" s="5">
        <v>46150</v>
      </c>
      <c r="C149" s="2" t="s">
        <v>1533</v>
      </c>
      <c r="D149" s="2" t="s">
        <v>24</v>
      </c>
      <c r="E149" s="2" t="s">
        <v>104</v>
      </c>
      <c r="F149" s="2" t="s">
        <v>45</v>
      </c>
      <c r="G149" s="2" t="s">
        <v>23</v>
      </c>
      <c r="H149" s="2">
        <v>36</v>
      </c>
      <c r="I149" s="7">
        <v>40.79</v>
      </c>
      <c r="J149" s="2">
        <v>20</v>
      </c>
      <c r="K149" s="7">
        <v>1174.75</v>
      </c>
      <c r="L149" s="2" t="s">
        <v>31</v>
      </c>
      <c r="M149" s="2" t="s">
        <v>2364</v>
      </c>
    </row>
    <row r="150" spans="1:13" x14ac:dyDescent="0.3">
      <c r="A150" s="2" t="s">
        <v>2259</v>
      </c>
      <c r="B150" s="5">
        <v>45796</v>
      </c>
      <c r="C150" s="2" t="s">
        <v>2260</v>
      </c>
      <c r="D150" s="2" t="s">
        <v>24</v>
      </c>
      <c r="E150" s="2" t="s">
        <v>36</v>
      </c>
      <c r="F150" s="2" t="s">
        <v>45</v>
      </c>
      <c r="G150" s="2" t="s">
        <v>23</v>
      </c>
      <c r="H150" s="2">
        <v>7</v>
      </c>
      <c r="I150" s="7">
        <v>181.14</v>
      </c>
      <c r="J150" s="2">
        <v>0</v>
      </c>
      <c r="K150" s="7">
        <v>1267.98</v>
      </c>
      <c r="L150" s="2" t="s">
        <v>69</v>
      </c>
      <c r="M150" s="2" t="s">
        <v>2365</v>
      </c>
    </row>
    <row r="151" spans="1:13" x14ac:dyDescent="0.3">
      <c r="A151" s="2" t="s">
        <v>627</v>
      </c>
      <c r="B151" s="5">
        <v>45713</v>
      </c>
      <c r="C151" s="2" t="s">
        <v>628</v>
      </c>
      <c r="D151" s="2" t="s">
        <v>24</v>
      </c>
      <c r="E151" s="2" t="s">
        <v>41</v>
      </c>
      <c r="F151" s="2" t="s">
        <v>45</v>
      </c>
      <c r="G151" s="2" t="s">
        <v>23</v>
      </c>
      <c r="H151" s="2">
        <v>14</v>
      </c>
      <c r="I151" s="7">
        <v>95.46</v>
      </c>
      <c r="J151" s="2">
        <v>5</v>
      </c>
      <c r="K151" s="7">
        <v>1269.6199999999999</v>
      </c>
      <c r="L151" s="2" t="s">
        <v>27</v>
      </c>
      <c r="M151" s="2" t="s">
        <v>2365</v>
      </c>
    </row>
    <row r="152" spans="1:13" x14ac:dyDescent="0.3">
      <c r="A152" s="2" t="s">
        <v>1566</v>
      </c>
      <c r="B152" s="5">
        <v>45989</v>
      </c>
      <c r="C152" s="2" t="s">
        <v>1567</v>
      </c>
      <c r="D152" s="2" t="s">
        <v>53</v>
      </c>
      <c r="E152" s="2" t="s">
        <v>134</v>
      </c>
      <c r="F152" s="2" t="s">
        <v>45</v>
      </c>
      <c r="G152" s="2" t="s">
        <v>23</v>
      </c>
      <c r="H152" s="2">
        <v>28</v>
      </c>
      <c r="I152" s="7">
        <v>53.02</v>
      </c>
      <c r="J152" s="2">
        <v>0</v>
      </c>
      <c r="K152" s="7">
        <v>1484.56</v>
      </c>
      <c r="L152" s="2" t="s">
        <v>49</v>
      </c>
      <c r="M152" s="2" t="s">
        <v>2364</v>
      </c>
    </row>
    <row r="153" spans="1:13" x14ac:dyDescent="0.3">
      <c r="A153" s="2" t="s">
        <v>1511</v>
      </c>
      <c r="B153" s="5">
        <v>46220</v>
      </c>
      <c r="C153" s="2" t="s">
        <v>465</v>
      </c>
      <c r="D153" s="2" t="s">
        <v>24</v>
      </c>
      <c r="E153" s="2" t="s">
        <v>36</v>
      </c>
      <c r="F153" s="2" t="s">
        <v>45</v>
      </c>
      <c r="G153" s="2" t="s">
        <v>23</v>
      </c>
      <c r="H153" s="2">
        <v>9</v>
      </c>
      <c r="I153" s="7">
        <v>184.7</v>
      </c>
      <c r="J153" s="2">
        <v>10</v>
      </c>
      <c r="K153" s="7">
        <v>1496.07</v>
      </c>
      <c r="L153" s="2" t="s">
        <v>69</v>
      </c>
      <c r="M153" s="2" t="s">
        <v>2365</v>
      </c>
    </row>
    <row r="154" spans="1:13" x14ac:dyDescent="0.3">
      <c r="A154" s="2" t="s">
        <v>1169</v>
      </c>
      <c r="B154" s="5">
        <v>45891</v>
      </c>
      <c r="C154" s="2" t="s">
        <v>1170</v>
      </c>
      <c r="D154" s="2" t="s">
        <v>24</v>
      </c>
      <c r="E154" s="2" t="s">
        <v>41</v>
      </c>
      <c r="F154" s="2" t="s">
        <v>45</v>
      </c>
      <c r="G154" s="2" t="s">
        <v>23</v>
      </c>
      <c r="H154" s="2">
        <v>11</v>
      </c>
      <c r="I154" s="7">
        <v>175.53</v>
      </c>
      <c r="J154" s="2">
        <v>20</v>
      </c>
      <c r="K154" s="7">
        <v>1544.66</v>
      </c>
      <c r="L154" s="2" t="s">
        <v>31</v>
      </c>
      <c r="M154" s="2" t="s">
        <v>2365</v>
      </c>
    </row>
    <row r="155" spans="1:13" x14ac:dyDescent="0.3">
      <c r="A155" s="2" t="s">
        <v>543</v>
      </c>
      <c r="B155" s="5">
        <v>45770</v>
      </c>
      <c r="C155" s="2" t="s">
        <v>544</v>
      </c>
      <c r="D155" s="2" t="s">
        <v>53</v>
      </c>
      <c r="E155" s="2" t="s">
        <v>67</v>
      </c>
      <c r="F155" s="2" t="s">
        <v>45</v>
      </c>
      <c r="G155" s="2" t="s">
        <v>23</v>
      </c>
      <c r="H155" s="2">
        <v>46</v>
      </c>
      <c r="I155" s="7">
        <v>39.92</v>
      </c>
      <c r="J155" s="2">
        <v>10</v>
      </c>
      <c r="K155" s="7">
        <v>1652.69</v>
      </c>
      <c r="L155" s="2" t="s">
        <v>69</v>
      </c>
      <c r="M155" s="2" t="s">
        <v>2364</v>
      </c>
    </row>
    <row r="156" spans="1:13" x14ac:dyDescent="0.3">
      <c r="A156" s="2" t="s">
        <v>1850</v>
      </c>
      <c r="B156" s="5">
        <v>46061</v>
      </c>
      <c r="C156" s="2" t="s">
        <v>359</v>
      </c>
      <c r="D156" s="2" t="s">
        <v>24</v>
      </c>
      <c r="E156" s="2" t="s">
        <v>36</v>
      </c>
      <c r="F156" s="2" t="s">
        <v>45</v>
      </c>
      <c r="G156" s="2" t="s">
        <v>23</v>
      </c>
      <c r="H156" s="2">
        <v>28</v>
      </c>
      <c r="I156" s="7">
        <v>62.82</v>
      </c>
      <c r="J156" s="2">
        <v>5</v>
      </c>
      <c r="K156" s="7">
        <v>1671.01</v>
      </c>
      <c r="L156" s="2" t="s">
        <v>69</v>
      </c>
      <c r="M156" s="2" t="s">
        <v>2364</v>
      </c>
    </row>
    <row r="157" spans="1:13" x14ac:dyDescent="0.3">
      <c r="A157" s="2" t="s">
        <v>1725</v>
      </c>
      <c r="B157" s="5">
        <v>46238</v>
      </c>
      <c r="C157" s="2" t="s">
        <v>1726</v>
      </c>
      <c r="D157" s="2" t="s">
        <v>53</v>
      </c>
      <c r="E157" s="2" t="s">
        <v>134</v>
      </c>
      <c r="F157" s="2" t="s">
        <v>45</v>
      </c>
      <c r="G157" s="2" t="s">
        <v>23</v>
      </c>
      <c r="H157" s="2">
        <v>11</v>
      </c>
      <c r="I157" s="7">
        <v>159.22</v>
      </c>
      <c r="J157" s="2">
        <v>0</v>
      </c>
      <c r="K157" s="7">
        <v>1751.42</v>
      </c>
      <c r="L157" s="2" t="s">
        <v>69</v>
      </c>
      <c r="M157" s="2" t="s">
        <v>2364</v>
      </c>
    </row>
    <row r="158" spans="1:13" x14ac:dyDescent="0.3">
      <c r="A158" s="2" t="s">
        <v>798</v>
      </c>
      <c r="B158" s="5">
        <v>45722</v>
      </c>
      <c r="C158" s="2" t="s">
        <v>799</v>
      </c>
      <c r="D158" s="2" t="s">
        <v>24</v>
      </c>
      <c r="E158" s="2" t="s">
        <v>25</v>
      </c>
      <c r="F158" s="2" t="s">
        <v>45</v>
      </c>
      <c r="G158" s="2" t="s">
        <v>23</v>
      </c>
      <c r="H158" s="2">
        <v>36</v>
      </c>
      <c r="I158" s="7">
        <v>49.37</v>
      </c>
      <c r="J158" s="2">
        <v>0</v>
      </c>
      <c r="K158" s="7">
        <v>1777.32</v>
      </c>
      <c r="L158" s="2" t="s">
        <v>31</v>
      </c>
      <c r="M158" s="2" t="s">
        <v>2365</v>
      </c>
    </row>
    <row r="159" spans="1:13" x14ac:dyDescent="0.3">
      <c r="A159" s="2" t="s">
        <v>317</v>
      </c>
      <c r="B159" s="5">
        <v>45797</v>
      </c>
      <c r="C159" s="2" t="s">
        <v>318</v>
      </c>
      <c r="D159" s="2" t="s">
        <v>53</v>
      </c>
      <c r="E159" s="2" t="s">
        <v>54</v>
      </c>
      <c r="F159" s="2" t="s">
        <v>45</v>
      </c>
      <c r="G159" s="2" t="s">
        <v>23</v>
      </c>
      <c r="H159" s="2">
        <v>18</v>
      </c>
      <c r="I159" s="7">
        <v>107.49</v>
      </c>
      <c r="J159" s="2">
        <v>5</v>
      </c>
      <c r="K159" s="7">
        <v>1838.08</v>
      </c>
      <c r="L159" s="2" t="s">
        <v>49</v>
      </c>
      <c r="M159" s="2" t="s">
        <v>2365</v>
      </c>
    </row>
    <row r="160" spans="1:13" x14ac:dyDescent="0.3">
      <c r="A160" s="2" t="s">
        <v>1487</v>
      </c>
      <c r="B160" s="5">
        <v>45857</v>
      </c>
      <c r="C160" s="2" t="s">
        <v>541</v>
      </c>
      <c r="D160" s="2" t="s">
        <v>16</v>
      </c>
      <c r="E160" s="2" t="s">
        <v>111</v>
      </c>
      <c r="F160" s="2" t="s">
        <v>45</v>
      </c>
      <c r="G160" s="2" t="s">
        <v>23</v>
      </c>
      <c r="H160" s="2">
        <v>45</v>
      </c>
      <c r="I160" s="7">
        <v>45.44</v>
      </c>
      <c r="J160" s="2">
        <v>10</v>
      </c>
      <c r="K160" s="7">
        <v>1840.32</v>
      </c>
      <c r="L160" s="2" t="s">
        <v>69</v>
      </c>
      <c r="M160" s="2" t="s">
        <v>2364</v>
      </c>
    </row>
    <row r="161" spans="1:13" x14ac:dyDescent="0.3">
      <c r="A161" s="2" t="s">
        <v>2053</v>
      </c>
      <c r="B161" s="5">
        <v>45589</v>
      </c>
      <c r="C161" s="2" t="s">
        <v>2054</v>
      </c>
      <c r="D161" s="2" t="s">
        <v>46</v>
      </c>
      <c r="E161" s="2" t="s">
        <v>47</v>
      </c>
      <c r="F161" s="2" t="s">
        <v>45</v>
      </c>
      <c r="G161" s="2" t="s">
        <v>23</v>
      </c>
      <c r="H161" s="2">
        <v>37</v>
      </c>
      <c r="I161" s="7">
        <v>61.52</v>
      </c>
      <c r="J161" s="2">
        <v>5</v>
      </c>
      <c r="K161" s="7">
        <v>2162.4299999999998</v>
      </c>
      <c r="L161" s="2" t="s">
        <v>31</v>
      </c>
      <c r="M161" s="2" t="s">
        <v>2365</v>
      </c>
    </row>
    <row r="162" spans="1:13" x14ac:dyDescent="0.3">
      <c r="A162" s="2" t="s">
        <v>1999</v>
      </c>
      <c r="B162" s="5">
        <v>46021</v>
      </c>
      <c r="C162" s="2" t="s">
        <v>2000</v>
      </c>
      <c r="D162" s="2" t="s">
        <v>46</v>
      </c>
      <c r="E162" s="2" t="s">
        <v>83</v>
      </c>
      <c r="F162" s="2" t="s">
        <v>45</v>
      </c>
      <c r="G162" s="2" t="s">
        <v>23</v>
      </c>
      <c r="H162" s="2">
        <v>19</v>
      </c>
      <c r="I162" s="7">
        <v>116.01</v>
      </c>
      <c r="J162" s="2">
        <v>0</v>
      </c>
      <c r="K162" s="7">
        <v>2204.19</v>
      </c>
      <c r="L162" s="2" t="s">
        <v>49</v>
      </c>
      <c r="M162" s="2" t="s">
        <v>2364</v>
      </c>
    </row>
    <row r="163" spans="1:13" x14ac:dyDescent="0.3">
      <c r="A163" s="2" t="s">
        <v>1856</v>
      </c>
      <c r="B163" s="5">
        <v>46207</v>
      </c>
      <c r="C163" s="2" t="s">
        <v>1857</v>
      </c>
      <c r="D163" s="2" t="s">
        <v>46</v>
      </c>
      <c r="E163" s="2" t="s">
        <v>78</v>
      </c>
      <c r="F163" s="2" t="s">
        <v>45</v>
      </c>
      <c r="G163" s="2" t="s">
        <v>23</v>
      </c>
      <c r="H163" s="2">
        <v>49</v>
      </c>
      <c r="I163" s="7">
        <v>47.72</v>
      </c>
      <c r="J163" s="2">
        <v>5</v>
      </c>
      <c r="K163" s="7">
        <v>2221.37</v>
      </c>
      <c r="L163" s="2" t="s">
        <v>49</v>
      </c>
      <c r="M163" s="2" t="s">
        <v>2364</v>
      </c>
    </row>
    <row r="164" spans="1:13" x14ac:dyDescent="0.3">
      <c r="A164" s="2" t="s">
        <v>43</v>
      </c>
      <c r="B164" s="5">
        <v>45588</v>
      </c>
      <c r="C164" s="2" t="s">
        <v>44</v>
      </c>
      <c r="D164" s="2" t="s">
        <v>46</v>
      </c>
      <c r="E164" s="2" t="s">
        <v>47</v>
      </c>
      <c r="F164" s="2" t="s">
        <v>45</v>
      </c>
      <c r="G164" s="2" t="s">
        <v>23</v>
      </c>
      <c r="H164" s="2">
        <v>16</v>
      </c>
      <c r="I164" s="7">
        <v>138.99</v>
      </c>
      <c r="J164" s="2">
        <v>0</v>
      </c>
      <c r="K164" s="7">
        <v>2223.84</v>
      </c>
      <c r="L164" s="2" t="s">
        <v>49</v>
      </c>
      <c r="M164" s="2" t="s">
        <v>2364</v>
      </c>
    </row>
    <row r="165" spans="1:13" x14ac:dyDescent="0.3">
      <c r="A165" s="2" t="s">
        <v>2278</v>
      </c>
      <c r="B165" s="5">
        <v>46083</v>
      </c>
      <c r="C165" s="2" t="s">
        <v>2279</v>
      </c>
      <c r="D165" s="2" t="s">
        <v>53</v>
      </c>
      <c r="E165" s="2" t="s">
        <v>134</v>
      </c>
      <c r="F165" s="2" t="s">
        <v>45</v>
      </c>
      <c r="G165" s="2" t="s">
        <v>23</v>
      </c>
      <c r="H165" s="2">
        <v>12</v>
      </c>
      <c r="I165" s="7">
        <v>199.96</v>
      </c>
      <c r="J165" s="2">
        <v>5</v>
      </c>
      <c r="K165" s="7">
        <v>2279.54</v>
      </c>
      <c r="L165" s="2" t="s">
        <v>49</v>
      </c>
      <c r="M165" s="2" t="s">
        <v>2365</v>
      </c>
    </row>
    <row r="166" spans="1:13" x14ac:dyDescent="0.3">
      <c r="A166" s="2" t="s">
        <v>2341</v>
      </c>
      <c r="B166" s="5">
        <v>46105</v>
      </c>
      <c r="C166" s="2" t="s">
        <v>1410</v>
      </c>
      <c r="D166" s="2" t="s">
        <v>16</v>
      </c>
      <c r="E166" s="2" t="s">
        <v>74</v>
      </c>
      <c r="F166" s="2" t="s">
        <v>45</v>
      </c>
      <c r="G166" s="2" t="s">
        <v>23</v>
      </c>
      <c r="H166" s="2">
        <v>31</v>
      </c>
      <c r="I166" s="7">
        <v>84.99</v>
      </c>
      <c r="J166" s="2">
        <v>5</v>
      </c>
      <c r="K166" s="7">
        <v>2502.96</v>
      </c>
      <c r="L166" s="2" t="s">
        <v>27</v>
      </c>
      <c r="M166" s="2" t="s">
        <v>2365</v>
      </c>
    </row>
    <row r="167" spans="1:13" x14ac:dyDescent="0.3">
      <c r="A167" s="2" t="s">
        <v>227</v>
      </c>
      <c r="B167" s="5">
        <v>45975</v>
      </c>
      <c r="C167" s="2" t="s">
        <v>228</v>
      </c>
      <c r="D167" s="2" t="s">
        <v>53</v>
      </c>
      <c r="E167" s="2" t="s">
        <v>54</v>
      </c>
      <c r="F167" s="2" t="s">
        <v>45</v>
      </c>
      <c r="G167" s="2" t="s">
        <v>23</v>
      </c>
      <c r="H167" s="2">
        <v>13</v>
      </c>
      <c r="I167" s="7">
        <v>198.05</v>
      </c>
      <c r="J167" s="2">
        <v>0</v>
      </c>
      <c r="K167" s="7">
        <v>2574.65</v>
      </c>
      <c r="L167" s="2" t="s">
        <v>2347</v>
      </c>
      <c r="M167" s="2" t="s">
        <v>2364</v>
      </c>
    </row>
    <row r="168" spans="1:13" x14ac:dyDescent="0.3">
      <c r="A168" s="2" t="s">
        <v>2031</v>
      </c>
      <c r="B168" s="5">
        <v>45978</v>
      </c>
      <c r="C168" s="2" t="s">
        <v>2032</v>
      </c>
      <c r="D168" s="2" t="s">
        <v>46</v>
      </c>
      <c r="E168" s="2" t="s">
        <v>244</v>
      </c>
      <c r="F168" s="2" t="s">
        <v>45</v>
      </c>
      <c r="G168" s="2" t="s">
        <v>23</v>
      </c>
      <c r="H168" s="2">
        <v>14</v>
      </c>
      <c r="I168" s="7">
        <v>197.75</v>
      </c>
      <c r="J168" s="2">
        <v>5</v>
      </c>
      <c r="K168" s="7">
        <v>2630.08</v>
      </c>
      <c r="L168" s="2" t="s">
        <v>69</v>
      </c>
      <c r="M168" s="2" t="s">
        <v>2365</v>
      </c>
    </row>
    <row r="169" spans="1:13" x14ac:dyDescent="0.3">
      <c r="A169" s="2" t="s">
        <v>679</v>
      </c>
      <c r="B169" s="5">
        <v>45903</v>
      </c>
      <c r="C169" s="2" t="s">
        <v>680</v>
      </c>
      <c r="D169" s="2" t="s">
        <v>24</v>
      </c>
      <c r="E169" s="2" t="s">
        <v>41</v>
      </c>
      <c r="F169" s="2" t="s">
        <v>45</v>
      </c>
      <c r="G169" s="2" t="s">
        <v>23</v>
      </c>
      <c r="H169" s="2">
        <v>50</v>
      </c>
      <c r="I169" s="7">
        <v>60.71</v>
      </c>
      <c r="J169" s="2">
        <v>10</v>
      </c>
      <c r="K169" s="7">
        <v>2731.95</v>
      </c>
      <c r="L169" s="2" t="s">
        <v>49</v>
      </c>
      <c r="M169" s="2" t="s">
        <v>2365</v>
      </c>
    </row>
    <row r="170" spans="1:13" x14ac:dyDescent="0.3">
      <c r="A170" s="2" t="s">
        <v>1744</v>
      </c>
      <c r="B170" s="5">
        <v>45857</v>
      </c>
      <c r="C170" s="2" t="s">
        <v>703</v>
      </c>
      <c r="D170" s="2" t="s">
        <v>16</v>
      </c>
      <c r="E170" s="2" t="s">
        <v>160</v>
      </c>
      <c r="F170" s="2" t="s">
        <v>45</v>
      </c>
      <c r="G170" s="2" t="s">
        <v>23</v>
      </c>
      <c r="H170" s="2">
        <v>36</v>
      </c>
      <c r="I170" s="7">
        <v>97.3</v>
      </c>
      <c r="J170" s="2">
        <v>10</v>
      </c>
      <c r="K170" s="7">
        <v>3152.52</v>
      </c>
      <c r="L170" s="2" t="s">
        <v>69</v>
      </c>
      <c r="M170" s="2" t="s">
        <v>2364</v>
      </c>
    </row>
    <row r="171" spans="1:13" x14ac:dyDescent="0.3">
      <c r="A171" s="2" t="s">
        <v>287</v>
      </c>
      <c r="B171" s="5">
        <v>46131</v>
      </c>
      <c r="C171" s="2" t="s">
        <v>288</v>
      </c>
      <c r="D171" s="2" t="s">
        <v>46</v>
      </c>
      <c r="E171" s="2" t="s">
        <v>124</v>
      </c>
      <c r="F171" s="2" t="s">
        <v>45</v>
      </c>
      <c r="G171" s="2" t="s">
        <v>23</v>
      </c>
      <c r="H171" s="2">
        <v>26</v>
      </c>
      <c r="I171" s="7">
        <v>124.48</v>
      </c>
      <c r="J171" s="2">
        <v>0</v>
      </c>
      <c r="K171" s="7">
        <v>3236.48</v>
      </c>
      <c r="L171" s="2" t="s">
        <v>49</v>
      </c>
      <c r="M171" s="2" t="s">
        <v>2364</v>
      </c>
    </row>
    <row r="172" spans="1:13" x14ac:dyDescent="0.3">
      <c r="A172" s="2" t="s">
        <v>551</v>
      </c>
      <c r="B172" s="5">
        <v>46271</v>
      </c>
      <c r="C172" s="2" t="s">
        <v>552</v>
      </c>
      <c r="D172" s="2" t="s">
        <v>16</v>
      </c>
      <c r="E172" s="2" t="s">
        <v>74</v>
      </c>
      <c r="F172" s="2" t="s">
        <v>45</v>
      </c>
      <c r="G172" s="2" t="s">
        <v>23</v>
      </c>
      <c r="H172" s="2">
        <v>19</v>
      </c>
      <c r="I172" s="7">
        <v>193.23</v>
      </c>
      <c r="J172" s="2">
        <v>10</v>
      </c>
      <c r="K172" s="7">
        <v>3304.23</v>
      </c>
      <c r="L172" s="2" t="s">
        <v>2347</v>
      </c>
      <c r="M172" s="2" t="s">
        <v>2365</v>
      </c>
    </row>
    <row r="173" spans="1:13" x14ac:dyDescent="0.3">
      <c r="A173" s="2" t="s">
        <v>976</v>
      </c>
      <c r="B173" s="5">
        <v>46101</v>
      </c>
      <c r="C173" s="2" t="s">
        <v>977</v>
      </c>
      <c r="D173" s="2" t="s">
        <v>46</v>
      </c>
      <c r="E173" s="2" t="s">
        <v>47</v>
      </c>
      <c r="F173" s="2" t="s">
        <v>45</v>
      </c>
      <c r="G173" s="2" t="s">
        <v>23</v>
      </c>
      <c r="H173" s="2">
        <v>36</v>
      </c>
      <c r="I173" s="7">
        <v>93.14</v>
      </c>
      <c r="J173" s="2">
        <v>0</v>
      </c>
      <c r="K173" s="7">
        <v>3353.04</v>
      </c>
      <c r="L173" s="2" t="s">
        <v>69</v>
      </c>
      <c r="M173" s="2" t="s">
        <v>2364</v>
      </c>
    </row>
    <row r="174" spans="1:13" x14ac:dyDescent="0.3">
      <c r="A174" s="2" t="s">
        <v>1930</v>
      </c>
      <c r="B174" s="5">
        <v>45636</v>
      </c>
      <c r="C174" s="2" t="s">
        <v>757</v>
      </c>
      <c r="D174" s="2" t="s">
        <v>16</v>
      </c>
      <c r="E174" s="2" t="s">
        <v>111</v>
      </c>
      <c r="F174" s="2" t="s">
        <v>45</v>
      </c>
      <c r="G174" s="2" t="s">
        <v>23</v>
      </c>
      <c r="H174" s="2">
        <v>40</v>
      </c>
      <c r="I174" s="7">
        <v>106.04</v>
      </c>
      <c r="J174" s="2">
        <v>20</v>
      </c>
      <c r="K174" s="7">
        <v>3393.28</v>
      </c>
      <c r="L174" s="2" t="s">
        <v>2347</v>
      </c>
      <c r="M174" s="2" t="s">
        <v>2365</v>
      </c>
    </row>
    <row r="175" spans="1:13" x14ac:dyDescent="0.3">
      <c r="A175" s="2" t="s">
        <v>1979</v>
      </c>
      <c r="B175" s="5">
        <v>46160</v>
      </c>
      <c r="C175" s="2" t="s">
        <v>1168</v>
      </c>
      <c r="D175" s="2" t="s">
        <v>16</v>
      </c>
      <c r="E175" s="2" t="s">
        <v>160</v>
      </c>
      <c r="F175" s="2" t="s">
        <v>45</v>
      </c>
      <c r="G175" s="2" t="s">
        <v>23</v>
      </c>
      <c r="H175" s="2">
        <v>32</v>
      </c>
      <c r="I175" s="7">
        <v>118.28</v>
      </c>
      <c r="J175" s="2">
        <v>10</v>
      </c>
      <c r="K175" s="7">
        <v>3406.46</v>
      </c>
      <c r="L175" s="2" t="s">
        <v>49</v>
      </c>
      <c r="M175" s="2" t="s">
        <v>2365</v>
      </c>
    </row>
    <row r="176" spans="1:13" x14ac:dyDescent="0.3">
      <c r="A176" s="2" t="s">
        <v>2212</v>
      </c>
      <c r="B176" s="5">
        <v>45816</v>
      </c>
      <c r="C176" s="2" t="s">
        <v>2213</v>
      </c>
      <c r="D176" s="2" t="s">
        <v>46</v>
      </c>
      <c r="E176" s="2" t="s">
        <v>124</v>
      </c>
      <c r="F176" s="2" t="s">
        <v>45</v>
      </c>
      <c r="G176" s="2" t="s">
        <v>23</v>
      </c>
      <c r="H176" s="2">
        <v>45</v>
      </c>
      <c r="I176" s="7">
        <v>98.8</v>
      </c>
      <c r="J176" s="2">
        <v>15</v>
      </c>
      <c r="K176" s="7">
        <v>3779.1</v>
      </c>
      <c r="L176" s="2" t="s">
        <v>2347</v>
      </c>
      <c r="M176" s="2" t="s">
        <v>2364</v>
      </c>
    </row>
    <row r="177" spans="1:13" x14ac:dyDescent="0.3">
      <c r="A177" s="2" t="s">
        <v>126</v>
      </c>
      <c r="B177" s="5">
        <v>46030</v>
      </c>
      <c r="C177" s="2" t="s">
        <v>127</v>
      </c>
      <c r="D177" s="2" t="s">
        <v>46</v>
      </c>
      <c r="E177" s="2" t="s">
        <v>124</v>
      </c>
      <c r="F177" s="2" t="s">
        <v>45</v>
      </c>
      <c r="G177" s="2" t="s">
        <v>23</v>
      </c>
      <c r="H177" s="2">
        <v>26</v>
      </c>
      <c r="I177" s="7">
        <v>195.27</v>
      </c>
      <c r="J177" s="2">
        <v>20</v>
      </c>
      <c r="K177" s="7">
        <v>4061.62</v>
      </c>
      <c r="L177" s="2" t="s">
        <v>27</v>
      </c>
      <c r="M177" s="2" t="s">
        <v>2364</v>
      </c>
    </row>
    <row r="178" spans="1:13" x14ac:dyDescent="0.3">
      <c r="A178" s="2" t="s">
        <v>425</v>
      </c>
      <c r="B178" s="5">
        <v>46275</v>
      </c>
      <c r="C178" s="2" t="s">
        <v>426</v>
      </c>
      <c r="D178" s="2" t="s">
        <v>53</v>
      </c>
      <c r="E178" s="2" t="s">
        <v>170</v>
      </c>
      <c r="F178" s="2" t="s">
        <v>45</v>
      </c>
      <c r="G178" s="2" t="s">
        <v>23</v>
      </c>
      <c r="H178" s="2">
        <v>24</v>
      </c>
      <c r="I178" s="7">
        <v>178.39</v>
      </c>
      <c r="J178" s="2">
        <v>5</v>
      </c>
      <c r="K178" s="7">
        <v>4067.29</v>
      </c>
      <c r="L178" s="2" t="s">
        <v>31</v>
      </c>
      <c r="M178" s="2" t="s">
        <v>2365</v>
      </c>
    </row>
    <row r="179" spans="1:13" x14ac:dyDescent="0.3">
      <c r="A179" s="2" t="s">
        <v>307</v>
      </c>
      <c r="B179" s="5">
        <v>45932</v>
      </c>
      <c r="C179" s="2" t="s">
        <v>308</v>
      </c>
      <c r="D179" s="2" t="s">
        <v>53</v>
      </c>
      <c r="E179" s="2" t="s">
        <v>170</v>
      </c>
      <c r="F179" s="2" t="s">
        <v>45</v>
      </c>
      <c r="G179" s="2" t="s">
        <v>23</v>
      </c>
      <c r="H179" s="2">
        <v>34</v>
      </c>
      <c r="I179" s="7">
        <v>121.26</v>
      </c>
      <c r="J179" s="2">
        <v>0</v>
      </c>
      <c r="K179" s="7">
        <v>4122.84</v>
      </c>
      <c r="L179" s="2" t="s">
        <v>31</v>
      </c>
      <c r="M179" s="2" t="s">
        <v>2364</v>
      </c>
    </row>
    <row r="180" spans="1:13" x14ac:dyDescent="0.3">
      <c r="A180" s="2" t="s">
        <v>2152</v>
      </c>
      <c r="B180" s="5">
        <v>46233</v>
      </c>
      <c r="C180" s="2" t="s">
        <v>2153</v>
      </c>
      <c r="D180" s="2" t="s">
        <v>53</v>
      </c>
      <c r="E180" s="2" t="s">
        <v>141</v>
      </c>
      <c r="F180" s="2" t="s">
        <v>45</v>
      </c>
      <c r="G180" s="2" t="s">
        <v>23</v>
      </c>
      <c r="H180" s="2">
        <v>39</v>
      </c>
      <c r="I180" s="7">
        <v>107.46</v>
      </c>
      <c r="J180" s="2">
        <v>0</v>
      </c>
      <c r="K180" s="7">
        <v>4190.9399999999996</v>
      </c>
      <c r="L180" s="2" t="s">
        <v>27</v>
      </c>
      <c r="M180" s="2" t="s">
        <v>2365</v>
      </c>
    </row>
    <row r="181" spans="1:13" x14ac:dyDescent="0.3">
      <c r="A181" s="2" t="s">
        <v>1066</v>
      </c>
      <c r="B181" s="5">
        <v>45769</v>
      </c>
      <c r="C181" s="2" t="s">
        <v>1067</v>
      </c>
      <c r="D181" s="2" t="s">
        <v>24</v>
      </c>
      <c r="E181" s="2" t="s">
        <v>104</v>
      </c>
      <c r="F181" s="2" t="s">
        <v>45</v>
      </c>
      <c r="G181" s="2" t="s">
        <v>23</v>
      </c>
      <c r="H181" s="2">
        <v>45</v>
      </c>
      <c r="I181" s="7">
        <v>112.31</v>
      </c>
      <c r="J181" s="2">
        <v>15</v>
      </c>
      <c r="K181" s="7">
        <v>4295.8599999999997</v>
      </c>
      <c r="L181" s="2" t="s">
        <v>27</v>
      </c>
      <c r="M181" s="2" t="s">
        <v>2364</v>
      </c>
    </row>
    <row r="182" spans="1:13" x14ac:dyDescent="0.3">
      <c r="A182" s="2" t="s">
        <v>2313</v>
      </c>
      <c r="B182" s="5">
        <v>45896</v>
      </c>
      <c r="C182" s="2" t="s">
        <v>191</v>
      </c>
      <c r="D182" s="2" t="s">
        <v>16</v>
      </c>
      <c r="E182" s="2" t="s">
        <v>160</v>
      </c>
      <c r="F182" s="2" t="s">
        <v>45</v>
      </c>
      <c r="G182" s="2" t="s">
        <v>23</v>
      </c>
      <c r="H182" s="2">
        <v>45</v>
      </c>
      <c r="I182" s="7">
        <v>106.5</v>
      </c>
      <c r="J182" s="2">
        <v>5</v>
      </c>
      <c r="K182" s="7">
        <v>4552.88</v>
      </c>
      <c r="L182" s="2" t="s">
        <v>49</v>
      </c>
      <c r="M182" s="2" t="s">
        <v>2364</v>
      </c>
    </row>
    <row r="183" spans="1:13" x14ac:dyDescent="0.3">
      <c r="A183" s="2" t="s">
        <v>1835</v>
      </c>
      <c r="B183" s="5">
        <v>46191</v>
      </c>
      <c r="C183" s="2" t="s">
        <v>1836</v>
      </c>
      <c r="D183" s="2" t="s">
        <v>53</v>
      </c>
      <c r="E183" s="2" t="s">
        <v>141</v>
      </c>
      <c r="F183" s="2" t="s">
        <v>45</v>
      </c>
      <c r="G183" s="2" t="s">
        <v>23</v>
      </c>
      <c r="H183" s="2">
        <v>28</v>
      </c>
      <c r="I183" s="7">
        <v>163.62</v>
      </c>
      <c r="J183" s="2">
        <v>0</v>
      </c>
      <c r="K183" s="7">
        <v>4581.3599999999997</v>
      </c>
      <c r="L183" s="2" t="s">
        <v>49</v>
      </c>
      <c r="M183" s="2" t="s">
        <v>2364</v>
      </c>
    </row>
    <row r="184" spans="1:13" x14ac:dyDescent="0.3">
      <c r="A184" s="2" t="s">
        <v>597</v>
      </c>
      <c r="B184" s="5">
        <v>45946</v>
      </c>
      <c r="C184" s="2" t="s">
        <v>598</v>
      </c>
      <c r="D184" s="2" t="s">
        <v>16</v>
      </c>
      <c r="E184" s="2" t="s">
        <v>91</v>
      </c>
      <c r="F184" s="2" t="s">
        <v>45</v>
      </c>
      <c r="G184" s="2" t="s">
        <v>23</v>
      </c>
      <c r="H184" s="2">
        <v>26</v>
      </c>
      <c r="I184" s="7">
        <v>184.86</v>
      </c>
      <c r="J184" s="2">
        <v>0</v>
      </c>
      <c r="K184" s="7">
        <v>4806.3599999999997</v>
      </c>
      <c r="L184" s="2" t="s">
        <v>49</v>
      </c>
      <c r="M184" s="2" t="s">
        <v>2364</v>
      </c>
    </row>
    <row r="185" spans="1:13" x14ac:dyDescent="0.3">
      <c r="A185" s="2" t="s">
        <v>2292</v>
      </c>
      <c r="B185" s="5">
        <v>45737</v>
      </c>
      <c r="C185" s="2" t="s">
        <v>1824</v>
      </c>
      <c r="D185" s="2" t="s">
        <v>24</v>
      </c>
      <c r="E185" s="2" t="s">
        <v>104</v>
      </c>
      <c r="F185" s="2" t="s">
        <v>45</v>
      </c>
      <c r="G185" s="2" t="s">
        <v>23</v>
      </c>
      <c r="H185" s="2">
        <v>33</v>
      </c>
      <c r="I185" s="7">
        <v>171.98</v>
      </c>
      <c r="J185" s="2">
        <v>10</v>
      </c>
      <c r="K185" s="7">
        <v>5107.8100000000004</v>
      </c>
      <c r="L185" s="2" t="s">
        <v>49</v>
      </c>
      <c r="M185" s="2" t="s">
        <v>2364</v>
      </c>
    </row>
    <row r="186" spans="1:13" x14ac:dyDescent="0.3">
      <c r="A186" s="2" t="s">
        <v>1896</v>
      </c>
      <c r="B186" s="5">
        <v>45943</v>
      </c>
      <c r="C186" s="2" t="s">
        <v>1481</v>
      </c>
      <c r="D186" s="2" t="s">
        <v>16</v>
      </c>
      <c r="E186" s="2" t="s">
        <v>111</v>
      </c>
      <c r="F186" s="2" t="s">
        <v>45</v>
      </c>
      <c r="G186" s="2" t="s">
        <v>23</v>
      </c>
      <c r="H186" s="2">
        <v>48</v>
      </c>
      <c r="I186" s="7">
        <v>130.91</v>
      </c>
      <c r="J186" s="2">
        <v>15</v>
      </c>
      <c r="K186" s="7">
        <v>5341.13</v>
      </c>
      <c r="L186" s="2" t="s">
        <v>49</v>
      </c>
      <c r="M186" s="2" t="s">
        <v>2364</v>
      </c>
    </row>
    <row r="187" spans="1:13" x14ac:dyDescent="0.3">
      <c r="A187" s="2" t="s">
        <v>1647</v>
      </c>
      <c r="B187" s="5">
        <v>45734</v>
      </c>
      <c r="C187" s="2" t="s">
        <v>71</v>
      </c>
      <c r="D187" s="2" t="s">
        <v>53</v>
      </c>
      <c r="E187" s="2" t="s">
        <v>170</v>
      </c>
      <c r="F187" s="2" t="s">
        <v>45</v>
      </c>
      <c r="G187" s="2" t="s">
        <v>23</v>
      </c>
      <c r="H187" s="2">
        <v>46</v>
      </c>
      <c r="I187" s="7">
        <v>149.07</v>
      </c>
      <c r="J187" s="2">
        <v>15</v>
      </c>
      <c r="K187" s="7">
        <v>5828.64</v>
      </c>
      <c r="L187" s="2" t="s">
        <v>49</v>
      </c>
      <c r="M187" s="2" t="s">
        <v>2365</v>
      </c>
    </row>
    <row r="188" spans="1:13" x14ac:dyDescent="0.3">
      <c r="A188" s="2" t="s">
        <v>1421</v>
      </c>
      <c r="B188" s="5">
        <v>45701</v>
      </c>
      <c r="C188" s="2" t="s">
        <v>1422</v>
      </c>
      <c r="D188" s="2" t="s">
        <v>16</v>
      </c>
      <c r="E188" s="2" t="s">
        <v>17</v>
      </c>
      <c r="F188" s="2" t="s">
        <v>45</v>
      </c>
      <c r="G188" s="2" t="s">
        <v>23</v>
      </c>
      <c r="H188" s="2">
        <v>48</v>
      </c>
      <c r="I188" s="7">
        <v>121.88</v>
      </c>
      <c r="J188" s="2">
        <v>0</v>
      </c>
      <c r="K188" s="7">
        <v>5850.24</v>
      </c>
      <c r="L188" s="2" t="s">
        <v>2347</v>
      </c>
      <c r="M188" s="2" t="s">
        <v>2364</v>
      </c>
    </row>
    <row r="189" spans="1:13" x14ac:dyDescent="0.3">
      <c r="A189" s="2" t="s">
        <v>2283</v>
      </c>
      <c r="B189" s="5">
        <v>46282</v>
      </c>
      <c r="C189" s="2" t="s">
        <v>1735</v>
      </c>
      <c r="D189" s="2" t="s">
        <v>53</v>
      </c>
      <c r="E189" s="2" t="s">
        <v>170</v>
      </c>
      <c r="F189" s="2" t="s">
        <v>45</v>
      </c>
      <c r="G189" s="2" t="s">
        <v>23</v>
      </c>
      <c r="H189" s="2">
        <v>33</v>
      </c>
      <c r="I189" s="7">
        <v>191.36</v>
      </c>
      <c r="J189" s="2">
        <v>5</v>
      </c>
      <c r="K189" s="7">
        <v>5999.14</v>
      </c>
      <c r="L189" s="2" t="s">
        <v>49</v>
      </c>
      <c r="M189" s="2" t="s">
        <v>2364</v>
      </c>
    </row>
    <row r="190" spans="1:13" x14ac:dyDescent="0.3">
      <c r="A190" s="2" t="s">
        <v>480</v>
      </c>
      <c r="B190" s="5">
        <v>45905</v>
      </c>
      <c r="C190" s="2" t="s">
        <v>481</v>
      </c>
      <c r="D190" s="2" t="s">
        <v>53</v>
      </c>
      <c r="E190" s="2" t="s">
        <v>134</v>
      </c>
      <c r="F190" s="2" t="s">
        <v>45</v>
      </c>
      <c r="G190" s="2" t="s">
        <v>23</v>
      </c>
      <c r="H190" s="2">
        <v>47</v>
      </c>
      <c r="I190" s="7">
        <v>174.18</v>
      </c>
      <c r="J190" s="2">
        <v>0</v>
      </c>
      <c r="K190" s="7">
        <v>8186.46</v>
      </c>
      <c r="L190" s="2" t="s">
        <v>31</v>
      </c>
      <c r="M190" s="2" t="s">
        <v>2364</v>
      </c>
    </row>
    <row r="191" spans="1:13" x14ac:dyDescent="0.3">
      <c r="A191" s="2" t="s">
        <v>1940</v>
      </c>
      <c r="B191" s="5">
        <v>45957</v>
      </c>
      <c r="C191" s="2" t="s">
        <v>1941</v>
      </c>
      <c r="D191" s="2" t="s">
        <v>16</v>
      </c>
      <c r="E191" s="2" t="s">
        <v>17</v>
      </c>
      <c r="F191" s="2" t="s">
        <v>45</v>
      </c>
      <c r="G191" s="2" t="s">
        <v>23</v>
      </c>
      <c r="H191" s="2">
        <v>49</v>
      </c>
      <c r="I191" s="7">
        <v>186.21</v>
      </c>
      <c r="J191" s="2">
        <v>0</v>
      </c>
      <c r="K191" s="7">
        <v>9124.2900000000009</v>
      </c>
      <c r="L191" s="2" t="s">
        <v>2347</v>
      </c>
      <c r="M191" s="2" t="s">
        <v>2364</v>
      </c>
    </row>
    <row r="192" spans="1:13" x14ac:dyDescent="0.3">
      <c r="A192" s="2" t="s">
        <v>2142</v>
      </c>
      <c r="B192" s="5">
        <v>45809</v>
      </c>
      <c r="C192" s="2" t="s">
        <v>2143</v>
      </c>
      <c r="D192" s="2" t="s">
        <v>53</v>
      </c>
      <c r="E192" s="2" t="s">
        <v>141</v>
      </c>
      <c r="F192" s="2" t="s">
        <v>90</v>
      </c>
      <c r="G192" s="2" t="s">
        <v>23</v>
      </c>
      <c r="H192" s="2">
        <v>2</v>
      </c>
      <c r="I192" s="7">
        <v>24.7</v>
      </c>
      <c r="J192" s="2">
        <v>20</v>
      </c>
      <c r="K192" s="7">
        <v>39.520000000000003</v>
      </c>
      <c r="L192" s="2" t="s">
        <v>27</v>
      </c>
      <c r="M192" s="2" t="s">
        <v>2364</v>
      </c>
    </row>
    <row r="193" spans="1:13" x14ac:dyDescent="0.3">
      <c r="A193" s="2" t="s">
        <v>1053</v>
      </c>
      <c r="B193" s="5">
        <v>46001</v>
      </c>
      <c r="C193" s="2" t="s">
        <v>1008</v>
      </c>
      <c r="D193" s="2" t="s">
        <v>53</v>
      </c>
      <c r="E193" s="2" t="s">
        <v>54</v>
      </c>
      <c r="F193" s="2" t="s">
        <v>90</v>
      </c>
      <c r="G193" s="2" t="s">
        <v>23</v>
      </c>
      <c r="H193" s="2">
        <v>1</v>
      </c>
      <c r="I193" s="7">
        <v>42.29</v>
      </c>
      <c r="J193" s="2">
        <v>0</v>
      </c>
      <c r="K193" s="7">
        <v>42.29</v>
      </c>
      <c r="L193" s="2" t="s">
        <v>49</v>
      </c>
      <c r="M193" s="2" t="s">
        <v>2364</v>
      </c>
    </row>
    <row r="194" spans="1:13" x14ac:dyDescent="0.3">
      <c r="A194" s="2" t="s">
        <v>1140</v>
      </c>
      <c r="B194" s="5">
        <v>45872</v>
      </c>
      <c r="C194" s="2" t="s">
        <v>1141</v>
      </c>
      <c r="D194" s="2" t="s">
        <v>53</v>
      </c>
      <c r="E194" s="2" t="s">
        <v>67</v>
      </c>
      <c r="F194" s="2" t="s">
        <v>90</v>
      </c>
      <c r="G194" s="2" t="s">
        <v>23</v>
      </c>
      <c r="H194" s="2">
        <v>2</v>
      </c>
      <c r="I194" s="7">
        <v>41.55</v>
      </c>
      <c r="J194" s="2">
        <v>20</v>
      </c>
      <c r="K194" s="7">
        <v>66.48</v>
      </c>
      <c r="L194" s="2" t="s">
        <v>69</v>
      </c>
      <c r="M194" s="2" t="s">
        <v>2364</v>
      </c>
    </row>
    <row r="195" spans="1:13" x14ac:dyDescent="0.3">
      <c r="A195" s="2" t="s">
        <v>993</v>
      </c>
      <c r="B195" s="5">
        <v>45794</v>
      </c>
      <c r="C195" s="2" t="s">
        <v>994</v>
      </c>
      <c r="D195" s="2" t="s">
        <v>46</v>
      </c>
      <c r="E195" s="2" t="s">
        <v>124</v>
      </c>
      <c r="F195" s="2" t="s">
        <v>90</v>
      </c>
      <c r="G195" s="2" t="s">
        <v>23</v>
      </c>
      <c r="H195" s="2">
        <v>4</v>
      </c>
      <c r="I195" s="7">
        <v>28.57</v>
      </c>
      <c r="J195" s="2">
        <v>15</v>
      </c>
      <c r="K195" s="7">
        <v>97.14</v>
      </c>
      <c r="L195" s="2" t="s">
        <v>2347</v>
      </c>
      <c r="M195" s="2" t="s">
        <v>2365</v>
      </c>
    </row>
    <row r="196" spans="1:13" x14ac:dyDescent="0.3">
      <c r="A196" s="2" t="s">
        <v>899</v>
      </c>
      <c r="B196" s="5">
        <v>45699</v>
      </c>
      <c r="C196" s="2" t="s">
        <v>900</v>
      </c>
      <c r="D196" s="2" t="s">
        <v>46</v>
      </c>
      <c r="E196" s="2" t="s">
        <v>244</v>
      </c>
      <c r="F196" s="2" t="s">
        <v>90</v>
      </c>
      <c r="G196" s="2" t="s">
        <v>23</v>
      </c>
      <c r="H196" s="2">
        <v>3</v>
      </c>
      <c r="I196" s="7">
        <v>41.58</v>
      </c>
      <c r="J196" s="2">
        <v>5</v>
      </c>
      <c r="K196" s="7">
        <v>118.5</v>
      </c>
      <c r="L196" s="2" t="s">
        <v>49</v>
      </c>
      <c r="M196" s="2" t="s">
        <v>2365</v>
      </c>
    </row>
    <row r="197" spans="1:13" x14ac:dyDescent="0.3">
      <c r="A197" s="2" t="s">
        <v>281</v>
      </c>
      <c r="B197" s="5">
        <v>45992</v>
      </c>
      <c r="C197" s="2" t="s">
        <v>282</v>
      </c>
      <c r="D197" s="2" t="s">
        <v>46</v>
      </c>
      <c r="E197" s="2" t="s">
        <v>124</v>
      </c>
      <c r="F197" s="2" t="s">
        <v>90</v>
      </c>
      <c r="G197" s="2" t="s">
        <v>23</v>
      </c>
      <c r="H197" s="2">
        <v>3</v>
      </c>
      <c r="I197" s="7">
        <v>44.31</v>
      </c>
      <c r="J197" s="2">
        <v>10</v>
      </c>
      <c r="K197" s="7">
        <v>119.64</v>
      </c>
      <c r="L197" s="2" t="s">
        <v>27</v>
      </c>
      <c r="M197" s="2" t="s">
        <v>2364</v>
      </c>
    </row>
    <row r="198" spans="1:13" x14ac:dyDescent="0.3">
      <c r="A198" s="2" t="s">
        <v>1975</v>
      </c>
      <c r="B198" s="5">
        <v>45950</v>
      </c>
      <c r="C198" s="2" t="s">
        <v>1976</v>
      </c>
      <c r="D198" s="2" t="s">
        <v>24</v>
      </c>
      <c r="E198" s="2" t="s">
        <v>41</v>
      </c>
      <c r="F198" s="2" t="s">
        <v>90</v>
      </c>
      <c r="G198" s="2" t="s">
        <v>23</v>
      </c>
      <c r="H198" s="2">
        <v>4</v>
      </c>
      <c r="I198" s="7">
        <v>30.72</v>
      </c>
      <c r="J198" s="2">
        <v>0</v>
      </c>
      <c r="K198" s="7">
        <v>122.88</v>
      </c>
      <c r="L198" s="2" t="s">
        <v>49</v>
      </c>
      <c r="M198" s="2" t="s">
        <v>2365</v>
      </c>
    </row>
    <row r="199" spans="1:13" x14ac:dyDescent="0.3">
      <c r="A199" s="2" t="s">
        <v>88</v>
      </c>
      <c r="B199" s="5">
        <v>45826</v>
      </c>
      <c r="C199" s="2" t="s">
        <v>89</v>
      </c>
      <c r="D199" s="2" t="s">
        <v>16</v>
      </c>
      <c r="E199" s="2" t="s">
        <v>91</v>
      </c>
      <c r="F199" s="2" t="s">
        <v>90</v>
      </c>
      <c r="G199" s="2" t="s">
        <v>23</v>
      </c>
      <c r="H199" s="2">
        <v>10</v>
      </c>
      <c r="I199" s="7">
        <v>15.82</v>
      </c>
      <c r="J199" s="2">
        <v>15</v>
      </c>
      <c r="K199" s="7">
        <v>134.47</v>
      </c>
      <c r="L199" s="2" t="s">
        <v>27</v>
      </c>
      <c r="M199" s="2" t="s">
        <v>2364</v>
      </c>
    </row>
    <row r="200" spans="1:13" x14ac:dyDescent="0.3">
      <c r="A200" s="2" t="s">
        <v>1912</v>
      </c>
      <c r="B200" s="5">
        <v>46190</v>
      </c>
      <c r="C200" s="2" t="s">
        <v>1913</v>
      </c>
      <c r="D200" s="2" t="s">
        <v>46</v>
      </c>
      <c r="E200" s="2" t="s">
        <v>124</v>
      </c>
      <c r="F200" s="2" t="s">
        <v>90</v>
      </c>
      <c r="G200" s="2" t="s">
        <v>23</v>
      </c>
      <c r="H200" s="2">
        <v>9</v>
      </c>
      <c r="I200" s="7">
        <v>16.32</v>
      </c>
      <c r="J200" s="2">
        <v>5</v>
      </c>
      <c r="K200" s="7">
        <v>139.54</v>
      </c>
      <c r="L200" s="2" t="s">
        <v>49</v>
      </c>
      <c r="M200" s="2" t="s">
        <v>2364</v>
      </c>
    </row>
    <row r="201" spans="1:13" x14ac:dyDescent="0.3">
      <c r="A201" s="2" t="s">
        <v>633</v>
      </c>
      <c r="B201" s="5">
        <v>45852</v>
      </c>
      <c r="C201" s="2" t="s">
        <v>634</v>
      </c>
      <c r="D201" s="2" t="s">
        <v>24</v>
      </c>
      <c r="E201" s="2" t="s">
        <v>41</v>
      </c>
      <c r="F201" s="2" t="s">
        <v>90</v>
      </c>
      <c r="G201" s="2" t="s">
        <v>23</v>
      </c>
      <c r="H201" s="2">
        <v>4</v>
      </c>
      <c r="I201" s="7">
        <v>38.56</v>
      </c>
      <c r="J201" s="2">
        <v>0</v>
      </c>
      <c r="K201" s="7">
        <v>154.24</v>
      </c>
      <c r="L201" s="2" t="s">
        <v>49</v>
      </c>
      <c r="M201" s="2" t="s">
        <v>2365</v>
      </c>
    </row>
    <row r="202" spans="1:13" x14ac:dyDescent="0.3">
      <c r="A202" s="2" t="s">
        <v>486</v>
      </c>
      <c r="B202" s="5">
        <v>45732</v>
      </c>
      <c r="C202" s="2" t="s">
        <v>487</v>
      </c>
      <c r="D202" s="2" t="s">
        <v>24</v>
      </c>
      <c r="E202" s="2" t="s">
        <v>41</v>
      </c>
      <c r="F202" s="2" t="s">
        <v>90</v>
      </c>
      <c r="G202" s="2" t="s">
        <v>23</v>
      </c>
      <c r="H202" s="2">
        <v>7</v>
      </c>
      <c r="I202" s="7">
        <v>28.55</v>
      </c>
      <c r="J202" s="2">
        <v>5</v>
      </c>
      <c r="K202" s="7">
        <v>189.86</v>
      </c>
      <c r="L202" s="2" t="s">
        <v>2347</v>
      </c>
      <c r="M202" s="2" t="s">
        <v>2364</v>
      </c>
    </row>
    <row r="203" spans="1:13" x14ac:dyDescent="0.3">
      <c r="A203" s="2" t="s">
        <v>1287</v>
      </c>
      <c r="B203" s="5">
        <v>46268</v>
      </c>
      <c r="C203" s="2" t="s">
        <v>1288</v>
      </c>
      <c r="D203" s="2" t="s">
        <v>46</v>
      </c>
      <c r="E203" s="2" t="s">
        <v>47</v>
      </c>
      <c r="F203" s="2" t="s">
        <v>90</v>
      </c>
      <c r="G203" s="2" t="s">
        <v>23</v>
      </c>
      <c r="H203" s="2">
        <v>13</v>
      </c>
      <c r="I203" s="7">
        <v>15.1</v>
      </c>
      <c r="J203" s="2">
        <v>0</v>
      </c>
      <c r="K203" s="7">
        <v>196.3</v>
      </c>
      <c r="L203" s="2" t="s">
        <v>27</v>
      </c>
      <c r="M203" s="2" t="s">
        <v>2364</v>
      </c>
    </row>
    <row r="204" spans="1:13" x14ac:dyDescent="0.3">
      <c r="A204" s="2" t="s">
        <v>887</v>
      </c>
      <c r="B204" s="5">
        <v>45703</v>
      </c>
      <c r="C204" s="2" t="s">
        <v>641</v>
      </c>
      <c r="D204" s="2" t="s">
        <v>53</v>
      </c>
      <c r="E204" s="2" t="s">
        <v>67</v>
      </c>
      <c r="F204" s="2" t="s">
        <v>90</v>
      </c>
      <c r="G204" s="2" t="s">
        <v>23</v>
      </c>
      <c r="H204" s="2">
        <v>12</v>
      </c>
      <c r="I204" s="7">
        <v>19.53</v>
      </c>
      <c r="J204" s="2">
        <v>10</v>
      </c>
      <c r="K204" s="7">
        <v>210.92</v>
      </c>
      <c r="L204" s="2" t="s">
        <v>69</v>
      </c>
      <c r="M204" s="2" t="s">
        <v>2365</v>
      </c>
    </row>
    <row r="205" spans="1:13" x14ac:dyDescent="0.3">
      <c r="A205" s="2" t="s">
        <v>1419</v>
      </c>
      <c r="B205" s="5">
        <v>45861</v>
      </c>
      <c r="C205" s="2" t="s">
        <v>1420</v>
      </c>
      <c r="D205" s="2" t="s">
        <v>24</v>
      </c>
      <c r="E205" s="2" t="s">
        <v>41</v>
      </c>
      <c r="F205" s="2" t="s">
        <v>90</v>
      </c>
      <c r="G205" s="2" t="s">
        <v>23</v>
      </c>
      <c r="H205" s="2">
        <v>5</v>
      </c>
      <c r="I205" s="7">
        <v>42.76</v>
      </c>
      <c r="J205" s="2">
        <v>0</v>
      </c>
      <c r="K205" s="7">
        <v>213.8</v>
      </c>
      <c r="L205" s="2" t="s">
        <v>2347</v>
      </c>
      <c r="M205" s="2" t="s">
        <v>2365</v>
      </c>
    </row>
    <row r="206" spans="1:13" x14ac:dyDescent="0.3">
      <c r="A206" s="2" t="s">
        <v>196</v>
      </c>
      <c r="B206" s="5">
        <v>46223</v>
      </c>
      <c r="C206" s="2" t="s">
        <v>197</v>
      </c>
      <c r="D206" s="2" t="s">
        <v>46</v>
      </c>
      <c r="E206" s="2" t="s">
        <v>83</v>
      </c>
      <c r="F206" s="2" t="s">
        <v>90</v>
      </c>
      <c r="G206" s="2" t="s">
        <v>23</v>
      </c>
      <c r="H206" s="2">
        <v>16</v>
      </c>
      <c r="I206" s="7">
        <v>16.41</v>
      </c>
      <c r="J206" s="2">
        <v>15</v>
      </c>
      <c r="K206" s="7">
        <v>223.18</v>
      </c>
      <c r="L206" s="2" t="s">
        <v>69</v>
      </c>
      <c r="M206" s="2" t="s">
        <v>2364</v>
      </c>
    </row>
    <row r="207" spans="1:13" x14ac:dyDescent="0.3">
      <c r="A207" s="2" t="s">
        <v>407</v>
      </c>
      <c r="B207" s="5">
        <v>45855</v>
      </c>
      <c r="C207" s="2" t="s">
        <v>408</v>
      </c>
      <c r="D207" s="2" t="s">
        <v>46</v>
      </c>
      <c r="E207" s="2" t="s">
        <v>244</v>
      </c>
      <c r="F207" s="2" t="s">
        <v>90</v>
      </c>
      <c r="G207" s="2" t="s">
        <v>23</v>
      </c>
      <c r="H207" s="2">
        <v>13</v>
      </c>
      <c r="I207" s="7">
        <v>18.61</v>
      </c>
      <c r="J207" s="2">
        <v>0</v>
      </c>
      <c r="K207" s="7">
        <v>241.93</v>
      </c>
      <c r="L207" s="2" t="s">
        <v>31</v>
      </c>
      <c r="M207" s="2" t="s">
        <v>2364</v>
      </c>
    </row>
    <row r="208" spans="1:13" x14ac:dyDescent="0.3">
      <c r="A208" s="2" t="s">
        <v>2336</v>
      </c>
      <c r="B208" s="5">
        <v>46242</v>
      </c>
      <c r="C208" s="2" t="s">
        <v>212</v>
      </c>
      <c r="D208" s="2" t="s">
        <v>16</v>
      </c>
      <c r="E208" s="2" t="s">
        <v>111</v>
      </c>
      <c r="F208" s="2" t="s">
        <v>90</v>
      </c>
      <c r="G208" s="2" t="s">
        <v>23</v>
      </c>
      <c r="H208" s="2">
        <v>8</v>
      </c>
      <c r="I208" s="7">
        <v>35.86</v>
      </c>
      <c r="J208" s="2">
        <v>10</v>
      </c>
      <c r="K208" s="7">
        <v>258.19</v>
      </c>
      <c r="L208" s="2" t="s">
        <v>31</v>
      </c>
      <c r="M208" s="2" t="s">
        <v>2364</v>
      </c>
    </row>
    <row r="209" spans="1:13" x14ac:dyDescent="0.3">
      <c r="A209" s="2" t="s">
        <v>2176</v>
      </c>
      <c r="B209" s="5">
        <v>46015</v>
      </c>
      <c r="C209" s="2" t="s">
        <v>1366</v>
      </c>
      <c r="D209" s="2" t="s">
        <v>16</v>
      </c>
      <c r="E209" s="2" t="s">
        <v>111</v>
      </c>
      <c r="F209" s="2" t="s">
        <v>90</v>
      </c>
      <c r="G209" s="2" t="s">
        <v>23</v>
      </c>
      <c r="H209" s="2">
        <v>15</v>
      </c>
      <c r="I209" s="7">
        <v>19.809999999999999</v>
      </c>
      <c r="J209" s="2">
        <v>0</v>
      </c>
      <c r="K209" s="7">
        <v>297.14999999999998</v>
      </c>
      <c r="L209" s="2" t="s">
        <v>27</v>
      </c>
      <c r="M209" s="2" t="s">
        <v>2364</v>
      </c>
    </row>
    <row r="210" spans="1:13" x14ac:dyDescent="0.3">
      <c r="A210" s="2" t="s">
        <v>822</v>
      </c>
      <c r="B210" s="5">
        <v>46284</v>
      </c>
      <c r="C210" s="2" t="s">
        <v>823</v>
      </c>
      <c r="D210" s="2" t="s">
        <v>16</v>
      </c>
      <c r="E210" s="2" t="s">
        <v>111</v>
      </c>
      <c r="F210" s="2" t="s">
        <v>90</v>
      </c>
      <c r="G210" s="2" t="s">
        <v>23</v>
      </c>
      <c r="H210" s="2">
        <v>20</v>
      </c>
      <c r="I210" s="7">
        <v>15.8</v>
      </c>
      <c r="J210" s="2">
        <v>0</v>
      </c>
      <c r="K210" s="7">
        <v>316</v>
      </c>
      <c r="L210" s="2" t="s">
        <v>69</v>
      </c>
      <c r="M210" s="2" t="s">
        <v>2364</v>
      </c>
    </row>
    <row r="211" spans="1:13" x14ac:dyDescent="0.3">
      <c r="A211" s="2" t="s">
        <v>1962</v>
      </c>
      <c r="B211" s="5">
        <v>45945</v>
      </c>
      <c r="C211" s="2" t="s">
        <v>1963</v>
      </c>
      <c r="D211" s="2" t="s">
        <v>16</v>
      </c>
      <c r="E211" s="2" t="s">
        <v>91</v>
      </c>
      <c r="F211" s="2" t="s">
        <v>90</v>
      </c>
      <c r="G211" s="2" t="s">
        <v>23</v>
      </c>
      <c r="H211" s="2">
        <v>22</v>
      </c>
      <c r="I211" s="7">
        <v>15.86</v>
      </c>
      <c r="J211" s="2">
        <v>0</v>
      </c>
      <c r="K211" s="7">
        <v>348.92</v>
      </c>
      <c r="L211" s="2" t="s">
        <v>2347</v>
      </c>
      <c r="M211" s="2" t="s">
        <v>2365</v>
      </c>
    </row>
    <row r="212" spans="1:13" x14ac:dyDescent="0.3">
      <c r="A212" s="2" t="s">
        <v>2102</v>
      </c>
      <c r="B212" s="5">
        <v>45948</v>
      </c>
      <c r="C212" s="2" t="s">
        <v>2103</v>
      </c>
      <c r="D212" s="2" t="s">
        <v>16</v>
      </c>
      <c r="E212" s="2" t="s">
        <v>74</v>
      </c>
      <c r="F212" s="2" t="s">
        <v>90</v>
      </c>
      <c r="G212" s="2" t="s">
        <v>23</v>
      </c>
      <c r="H212" s="2">
        <v>27</v>
      </c>
      <c r="I212" s="7">
        <v>17.010000000000002</v>
      </c>
      <c r="J212" s="2">
        <v>20</v>
      </c>
      <c r="K212" s="7">
        <v>367.42</v>
      </c>
      <c r="L212" s="2" t="s">
        <v>27</v>
      </c>
      <c r="M212" s="2" t="s">
        <v>2364</v>
      </c>
    </row>
    <row r="213" spans="1:13" x14ac:dyDescent="0.3">
      <c r="A213" s="2" t="s">
        <v>1756</v>
      </c>
      <c r="B213" s="5">
        <v>45798</v>
      </c>
      <c r="C213" s="2" t="s">
        <v>1757</v>
      </c>
      <c r="D213" s="2" t="s">
        <v>53</v>
      </c>
      <c r="E213" s="2" t="s">
        <v>67</v>
      </c>
      <c r="F213" s="2" t="s">
        <v>90</v>
      </c>
      <c r="G213" s="2" t="s">
        <v>23</v>
      </c>
      <c r="H213" s="2">
        <v>13</v>
      </c>
      <c r="I213" s="7">
        <v>29.92</v>
      </c>
      <c r="J213" s="2">
        <v>5</v>
      </c>
      <c r="K213" s="7">
        <v>369.51</v>
      </c>
      <c r="L213" s="2" t="s">
        <v>2347</v>
      </c>
      <c r="M213" s="2" t="s">
        <v>2364</v>
      </c>
    </row>
    <row r="214" spans="1:13" x14ac:dyDescent="0.3">
      <c r="A214" s="2" t="s">
        <v>252</v>
      </c>
      <c r="B214" s="5">
        <v>45816</v>
      </c>
      <c r="C214" s="2" t="s">
        <v>253</v>
      </c>
      <c r="D214" s="2" t="s">
        <v>16</v>
      </c>
      <c r="E214" s="2" t="s">
        <v>91</v>
      </c>
      <c r="F214" s="2" t="s">
        <v>90</v>
      </c>
      <c r="G214" s="2" t="s">
        <v>23</v>
      </c>
      <c r="H214" s="2">
        <v>10</v>
      </c>
      <c r="I214" s="7">
        <v>39.36</v>
      </c>
      <c r="J214" s="2">
        <v>5</v>
      </c>
      <c r="K214" s="7">
        <v>373.92</v>
      </c>
      <c r="L214" s="2" t="s">
        <v>69</v>
      </c>
      <c r="M214" s="2" t="s">
        <v>2364</v>
      </c>
    </row>
    <row r="215" spans="1:13" x14ac:dyDescent="0.3">
      <c r="A215" s="2" t="s">
        <v>1551</v>
      </c>
      <c r="B215" s="5">
        <v>45594</v>
      </c>
      <c r="C215" s="2" t="s">
        <v>1552</v>
      </c>
      <c r="D215" s="2" t="s">
        <v>24</v>
      </c>
      <c r="E215" s="2" t="s">
        <v>59</v>
      </c>
      <c r="F215" s="2" t="s">
        <v>90</v>
      </c>
      <c r="G215" s="2" t="s">
        <v>23</v>
      </c>
      <c r="H215" s="2">
        <v>25</v>
      </c>
      <c r="I215" s="7">
        <v>15.01</v>
      </c>
      <c r="J215" s="2">
        <v>0</v>
      </c>
      <c r="K215" s="7">
        <v>375.25</v>
      </c>
      <c r="L215" s="2" t="s">
        <v>69</v>
      </c>
      <c r="M215" s="2" t="s">
        <v>2364</v>
      </c>
    </row>
    <row r="216" spans="1:13" x14ac:dyDescent="0.3">
      <c r="A216" s="2" t="s">
        <v>748</v>
      </c>
      <c r="B216" s="5">
        <v>45952</v>
      </c>
      <c r="C216" s="2" t="s">
        <v>749</v>
      </c>
      <c r="D216" s="2" t="s">
        <v>53</v>
      </c>
      <c r="E216" s="2" t="s">
        <v>134</v>
      </c>
      <c r="F216" s="2" t="s">
        <v>90</v>
      </c>
      <c r="G216" s="2" t="s">
        <v>23</v>
      </c>
      <c r="H216" s="2">
        <v>9</v>
      </c>
      <c r="I216" s="7">
        <v>43.94</v>
      </c>
      <c r="J216" s="2">
        <v>0</v>
      </c>
      <c r="K216" s="7">
        <v>395.46</v>
      </c>
      <c r="L216" s="2" t="s">
        <v>2347</v>
      </c>
      <c r="M216" s="2" t="s">
        <v>2364</v>
      </c>
    </row>
    <row r="217" spans="1:13" x14ac:dyDescent="0.3">
      <c r="A217" s="2" t="s">
        <v>1092</v>
      </c>
      <c r="B217" s="5">
        <v>45709</v>
      </c>
      <c r="C217" s="2" t="s">
        <v>1093</v>
      </c>
      <c r="D217" s="2" t="s">
        <v>53</v>
      </c>
      <c r="E217" s="2" t="s">
        <v>134</v>
      </c>
      <c r="F217" s="2" t="s">
        <v>90</v>
      </c>
      <c r="G217" s="2" t="s">
        <v>23</v>
      </c>
      <c r="H217" s="2">
        <v>26</v>
      </c>
      <c r="I217" s="7">
        <v>17.09</v>
      </c>
      <c r="J217" s="2">
        <v>10</v>
      </c>
      <c r="K217" s="7">
        <v>399.91</v>
      </c>
      <c r="L217" s="2" t="s">
        <v>27</v>
      </c>
      <c r="M217" s="2" t="s">
        <v>2364</v>
      </c>
    </row>
    <row r="218" spans="1:13" x14ac:dyDescent="0.3">
      <c r="A218" s="2" t="s">
        <v>1219</v>
      </c>
      <c r="B218" s="5">
        <v>46074</v>
      </c>
      <c r="C218" s="2" t="s">
        <v>1220</v>
      </c>
      <c r="D218" s="2" t="s">
        <v>24</v>
      </c>
      <c r="E218" s="2" t="s">
        <v>36</v>
      </c>
      <c r="F218" s="2" t="s">
        <v>90</v>
      </c>
      <c r="G218" s="2" t="s">
        <v>23</v>
      </c>
      <c r="H218" s="2">
        <v>20</v>
      </c>
      <c r="I218" s="7">
        <v>22.38</v>
      </c>
      <c r="J218" s="2">
        <v>10</v>
      </c>
      <c r="K218" s="7">
        <v>402.84</v>
      </c>
      <c r="L218" s="2" t="s">
        <v>49</v>
      </c>
      <c r="M218" s="2" t="s">
        <v>2364</v>
      </c>
    </row>
    <row r="219" spans="1:13" x14ac:dyDescent="0.3">
      <c r="A219" s="2" t="s">
        <v>1621</v>
      </c>
      <c r="B219" s="5">
        <v>45751</v>
      </c>
      <c r="C219" s="2" t="s">
        <v>1541</v>
      </c>
      <c r="D219" s="2" t="s">
        <v>53</v>
      </c>
      <c r="E219" s="2" t="s">
        <v>141</v>
      </c>
      <c r="F219" s="2" t="s">
        <v>90</v>
      </c>
      <c r="G219" s="2" t="s">
        <v>23</v>
      </c>
      <c r="H219" s="2">
        <v>17</v>
      </c>
      <c r="I219" s="7">
        <v>25.18</v>
      </c>
      <c r="J219" s="2">
        <v>5</v>
      </c>
      <c r="K219" s="7">
        <v>406.66</v>
      </c>
      <c r="L219" s="2" t="s">
        <v>2347</v>
      </c>
      <c r="M219" s="2" t="s">
        <v>2364</v>
      </c>
    </row>
    <row r="220" spans="1:13" x14ac:dyDescent="0.3">
      <c r="A220" s="2" t="s">
        <v>2040</v>
      </c>
      <c r="B220" s="5">
        <v>45821</v>
      </c>
      <c r="C220" s="2" t="s">
        <v>299</v>
      </c>
      <c r="D220" s="2" t="s">
        <v>53</v>
      </c>
      <c r="E220" s="2" t="s">
        <v>141</v>
      </c>
      <c r="F220" s="2" t="s">
        <v>90</v>
      </c>
      <c r="G220" s="2" t="s">
        <v>23</v>
      </c>
      <c r="H220" s="2">
        <v>26</v>
      </c>
      <c r="I220" s="7">
        <v>18.350000000000001</v>
      </c>
      <c r="J220" s="2">
        <v>10</v>
      </c>
      <c r="K220" s="7">
        <v>429.39</v>
      </c>
      <c r="L220" s="2" t="s">
        <v>69</v>
      </c>
      <c r="M220" s="2" t="s">
        <v>2364</v>
      </c>
    </row>
    <row r="221" spans="1:13" x14ac:dyDescent="0.3">
      <c r="A221" s="2" t="s">
        <v>1227</v>
      </c>
      <c r="B221" s="5">
        <v>46081</v>
      </c>
      <c r="C221" s="2" t="s">
        <v>1228</v>
      </c>
      <c r="D221" s="2" t="s">
        <v>16</v>
      </c>
      <c r="E221" s="2" t="s">
        <v>111</v>
      </c>
      <c r="F221" s="2" t="s">
        <v>90</v>
      </c>
      <c r="G221" s="2" t="s">
        <v>23</v>
      </c>
      <c r="H221" s="2">
        <v>21</v>
      </c>
      <c r="I221" s="7">
        <v>25.15</v>
      </c>
      <c r="J221" s="2">
        <v>15</v>
      </c>
      <c r="K221" s="7">
        <v>448.93</v>
      </c>
      <c r="L221" s="2" t="s">
        <v>31</v>
      </c>
      <c r="M221" s="2" t="s">
        <v>2364</v>
      </c>
    </row>
    <row r="222" spans="1:13" x14ac:dyDescent="0.3">
      <c r="A222" s="2" t="s">
        <v>1758</v>
      </c>
      <c r="B222" s="5">
        <v>45871</v>
      </c>
      <c r="C222" s="2" t="s">
        <v>1759</v>
      </c>
      <c r="D222" s="2" t="s">
        <v>16</v>
      </c>
      <c r="E222" s="2" t="s">
        <v>17</v>
      </c>
      <c r="F222" s="2" t="s">
        <v>90</v>
      </c>
      <c r="G222" s="2" t="s">
        <v>23</v>
      </c>
      <c r="H222" s="2">
        <v>20</v>
      </c>
      <c r="I222" s="7">
        <v>27.13</v>
      </c>
      <c r="J222" s="2">
        <v>15</v>
      </c>
      <c r="K222" s="7">
        <v>461.21</v>
      </c>
      <c r="L222" s="2" t="s">
        <v>69</v>
      </c>
      <c r="M222" s="2" t="s">
        <v>2364</v>
      </c>
    </row>
    <row r="223" spans="1:13" x14ac:dyDescent="0.3">
      <c r="A223" s="2" t="s">
        <v>2174</v>
      </c>
      <c r="B223" s="5">
        <v>45788</v>
      </c>
      <c r="C223" s="2" t="s">
        <v>2175</v>
      </c>
      <c r="D223" s="2" t="s">
        <v>53</v>
      </c>
      <c r="E223" s="2" t="s">
        <v>54</v>
      </c>
      <c r="F223" s="2" t="s">
        <v>90</v>
      </c>
      <c r="G223" s="2" t="s">
        <v>23</v>
      </c>
      <c r="H223" s="2">
        <v>19</v>
      </c>
      <c r="I223" s="7">
        <v>28.02</v>
      </c>
      <c r="J223" s="2">
        <v>10</v>
      </c>
      <c r="K223" s="7">
        <v>479.14</v>
      </c>
      <c r="L223" s="2" t="s">
        <v>2347</v>
      </c>
      <c r="M223" s="2" t="s">
        <v>2365</v>
      </c>
    </row>
    <row r="224" spans="1:13" x14ac:dyDescent="0.3">
      <c r="A224" s="2" t="s">
        <v>1945</v>
      </c>
      <c r="B224" s="5">
        <v>45937</v>
      </c>
      <c r="C224" s="2" t="s">
        <v>209</v>
      </c>
      <c r="D224" s="2" t="s">
        <v>53</v>
      </c>
      <c r="E224" s="2" t="s">
        <v>170</v>
      </c>
      <c r="F224" s="2" t="s">
        <v>90</v>
      </c>
      <c r="G224" s="2" t="s">
        <v>23</v>
      </c>
      <c r="H224" s="2">
        <v>39</v>
      </c>
      <c r="I224" s="7">
        <v>15.07</v>
      </c>
      <c r="J224" s="2">
        <v>15</v>
      </c>
      <c r="K224" s="7">
        <v>499.57</v>
      </c>
      <c r="L224" s="2" t="s">
        <v>27</v>
      </c>
      <c r="M224" s="2" t="s">
        <v>2364</v>
      </c>
    </row>
    <row r="225" spans="1:13" x14ac:dyDescent="0.3">
      <c r="A225" s="2" t="s">
        <v>1172</v>
      </c>
      <c r="B225" s="5">
        <v>46153</v>
      </c>
      <c r="C225" s="2" t="s">
        <v>1173</v>
      </c>
      <c r="D225" s="2" t="s">
        <v>16</v>
      </c>
      <c r="E225" s="2" t="s">
        <v>74</v>
      </c>
      <c r="F225" s="2" t="s">
        <v>90</v>
      </c>
      <c r="G225" s="2" t="s">
        <v>23</v>
      </c>
      <c r="H225" s="2">
        <v>27</v>
      </c>
      <c r="I225" s="7">
        <v>20.21</v>
      </c>
      <c r="J225" s="2">
        <v>5</v>
      </c>
      <c r="K225" s="7">
        <v>518.39</v>
      </c>
      <c r="L225" s="2" t="s">
        <v>69</v>
      </c>
      <c r="M225" s="2" t="s">
        <v>2365</v>
      </c>
    </row>
    <row r="226" spans="1:13" x14ac:dyDescent="0.3">
      <c r="A226" s="2" t="s">
        <v>1651</v>
      </c>
      <c r="B226" s="5">
        <v>45653</v>
      </c>
      <c r="C226" s="2" t="s">
        <v>1652</v>
      </c>
      <c r="D226" s="2" t="s">
        <v>53</v>
      </c>
      <c r="E226" s="2" t="s">
        <v>170</v>
      </c>
      <c r="F226" s="2" t="s">
        <v>90</v>
      </c>
      <c r="G226" s="2" t="s">
        <v>23</v>
      </c>
      <c r="H226" s="2">
        <v>27</v>
      </c>
      <c r="I226" s="7">
        <v>20.62</v>
      </c>
      <c r="J226" s="2">
        <v>0</v>
      </c>
      <c r="K226" s="7">
        <v>556.74</v>
      </c>
      <c r="L226" s="2" t="s">
        <v>49</v>
      </c>
      <c r="M226" s="2" t="s">
        <v>2364</v>
      </c>
    </row>
    <row r="227" spans="1:13" x14ac:dyDescent="0.3">
      <c r="A227" s="2" t="s">
        <v>1407</v>
      </c>
      <c r="B227" s="5">
        <v>45815</v>
      </c>
      <c r="C227" s="2" t="s">
        <v>947</v>
      </c>
      <c r="D227" s="2" t="s">
        <v>24</v>
      </c>
      <c r="E227" s="2" t="s">
        <v>25</v>
      </c>
      <c r="F227" s="2" t="s">
        <v>90</v>
      </c>
      <c r="G227" s="2" t="s">
        <v>23</v>
      </c>
      <c r="H227" s="2">
        <v>15</v>
      </c>
      <c r="I227" s="7">
        <v>44.44</v>
      </c>
      <c r="J227" s="2">
        <v>15</v>
      </c>
      <c r="K227" s="7">
        <v>566.61</v>
      </c>
      <c r="L227" s="2" t="s">
        <v>27</v>
      </c>
      <c r="M227" s="2" t="s">
        <v>2364</v>
      </c>
    </row>
    <row r="228" spans="1:13" x14ac:dyDescent="0.3">
      <c r="A228" s="2" t="s">
        <v>813</v>
      </c>
      <c r="B228" s="5">
        <v>45809</v>
      </c>
      <c r="C228" s="2" t="s">
        <v>814</v>
      </c>
      <c r="D228" s="2" t="s">
        <v>53</v>
      </c>
      <c r="E228" s="2" t="s">
        <v>54</v>
      </c>
      <c r="F228" s="2" t="s">
        <v>90</v>
      </c>
      <c r="G228" s="2" t="s">
        <v>23</v>
      </c>
      <c r="H228" s="2">
        <v>25</v>
      </c>
      <c r="I228" s="7">
        <v>23.18</v>
      </c>
      <c r="J228" s="2">
        <v>0</v>
      </c>
      <c r="K228" s="7">
        <v>579.5</v>
      </c>
      <c r="L228" s="2" t="s">
        <v>49</v>
      </c>
      <c r="M228" s="2" t="s">
        <v>2365</v>
      </c>
    </row>
    <row r="229" spans="1:13" x14ac:dyDescent="0.3">
      <c r="A229" s="2" t="s">
        <v>1416</v>
      </c>
      <c r="B229" s="5">
        <v>46040</v>
      </c>
      <c r="C229" s="2" t="s">
        <v>628</v>
      </c>
      <c r="D229" s="2" t="s">
        <v>46</v>
      </c>
      <c r="E229" s="2" t="s">
        <v>47</v>
      </c>
      <c r="F229" s="2" t="s">
        <v>90</v>
      </c>
      <c r="G229" s="2" t="s">
        <v>23</v>
      </c>
      <c r="H229" s="2">
        <v>28</v>
      </c>
      <c r="I229" s="7">
        <v>24.2</v>
      </c>
      <c r="J229" s="2">
        <v>10</v>
      </c>
      <c r="K229" s="7">
        <v>609.84</v>
      </c>
      <c r="L229" s="2" t="s">
        <v>31</v>
      </c>
      <c r="M229" s="2" t="s">
        <v>2364</v>
      </c>
    </row>
    <row r="230" spans="1:13" x14ac:dyDescent="0.3">
      <c r="A230" s="2" t="s">
        <v>652</v>
      </c>
      <c r="B230" s="5">
        <v>45987</v>
      </c>
      <c r="C230" s="2" t="s">
        <v>653</v>
      </c>
      <c r="D230" s="2" t="s">
        <v>24</v>
      </c>
      <c r="E230" s="2" t="s">
        <v>59</v>
      </c>
      <c r="F230" s="2" t="s">
        <v>90</v>
      </c>
      <c r="G230" s="2" t="s">
        <v>23</v>
      </c>
      <c r="H230" s="2">
        <v>14</v>
      </c>
      <c r="I230" s="7">
        <v>44.34</v>
      </c>
      <c r="J230" s="2">
        <v>0</v>
      </c>
      <c r="K230" s="7">
        <v>620.76</v>
      </c>
      <c r="L230" s="2" t="s">
        <v>27</v>
      </c>
      <c r="M230" s="2" t="s">
        <v>2364</v>
      </c>
    </row>
    <row r="231" spans="1:13" x14ac:dyDescent="0.3">
      <c r="A231" s="2" t="s">
        <v>2342</v>
      </c>
      <c r="B231" s="5">
        <v>46109</v>
      </c>
      <c r="C231" s="2" t="s">
        <v>2343</v>
      </c>
      <c r="D231" s="2" t="s">
        <v>16</v>
      </c>
      <c r="E231" s="2" t="s">
        <v>111</v>
      </c>
      <c r="F231" s="2" t="s">
        <v>90</v>
      </c>
      <c r="G231" s="2" t="s">
        <v>23</v>
      </c>
      <c r="H231" s="2">
        <v>39</v>
      </c>
      <c r="I231" s="7">
        <v>17.22</v>
      </c>
      <c r="J231" s="2">
        <v>5</v>
      </c>
      <c r="K231" s="7">
        <v>638</v>
      </c>
      <c r="L231" s="2" t="s">
        <v>49</v>
      </c>
      <c r="M231" s="2" t="s">
        <v>2364</v>
      </c>
    </row>
    <row r="232" spans="1:13" x14ac:dyDescent="0.3">
      <c r="A232" s="2" t="s">
        <v>1465</v>
      </c>
      <c r="B232" s="5">
        <v>46106</v>
      </c>
      <c r="C232" s="2" t="s">
        <v>1466</v>
      </c>
      <c r="D232" s="2" t="s">
        <v>53</v>
      </c>
      <c r="E232" s="2" t="s">
        <v>134</v>
      </c>
      <c r="F232" s="2" t="s">
        <v>90</v>
      </c>
      <c r="G232" s="2" t="s">
        <v>23</v>
      </c>
      <c r="H232" s="2">
        <v>23</v>
      </c>
      <c r="I232" s="7">
        <v>28.45</v>
      </c>
      <c r="J232" s="2">
        <v>0</v>
      </c>
      <c r="K232" s="7">
        <v>654.35</v>
      </c>
      <c r="L232" s="2" t="s">
        <v>31</v>
      </c>
      <c r="M232" s="2" t="s">
        <v>2364</v>
      </c>
    </row>
    <row r="233" spans="1:13" x14ac:dyDescent="0.3">
      <c r="A233" s="2" t="s">
        <v>1607</v>
      </c>
      <c r="B233" s="5">
        <v>46062</v>
      </c>
      <c r="C233" s="2" t="s">
        <v>342</v>
      </c>
      <c r="D233" s="2" t="s">
        <v>53</v>
      </c>
      <c r="E233" s="2" t="s">
        <v>141</v>
      </c>
      <c r="F233" s="2" t="s">
        <v>90</v>
      </c>
      <c r="G233" s="2" t="s">
        <v>23</v>
      </c>
      <c r="H233" s="2">
        <v>28</v>
      </c>
      <c r="I233" s="7">
        <v>23.83</v>
      </c>
      <c r="J233" s="2">
        <v>0</v>
      </c>
      <c r="K233" s="7">
        <v>667.24</v>
      </c>
      <c r="L233" s="2" t="s">
        <v>49</v>
      </c>
      <c r="M233" s="2" t="s">
        <v>2365</v>
      </c>
    </row>
    <row r="234" spans="1:13" x14ac:dyDescent="0.3">
      <c r="A234" s="2" t="s">
        <v>824</v>
      </c>
      <c r="B234" s="5">
        <v>46040</v>
      </c>
      <c r="C234" s="2" t="s">
        <v>825</v>
      </c>
      <c r="D234" s="2" t="s">
        <v>53</v>
      </c>
      <c r="E234" s="2" t="s">
        <v>141</v>
      </c>
      <c r="F234" s="2" t="s">
        <v>90</v>
      </c>
      <c r="G234" s="2" t="s">
        <v>23</v>
      </c>
      <c r="H234" s="2">
        <v>43</v>
      </c>
      <c r="I234" s="7">
        <v>18.829999999999998</v>
      </c>
      <c r="J234" s="2">
        <v>15</v>
      </c>
      <c r="K234" s="7">
        <v>688.24</v>
      </c>
      <c r="L234" s="2" t="s">
        <v>31</v>
      </c>
      <c r="M234" s="2" t="s">
        <v>2364</v>
      </c>
    </row>
    <row r="235" spans="1:13" x14ac:dyDescent="0.3">
      <c r="A235" s="2" t="s">
        <v>1353</v>
      </c>
      <c r="B235" s="5">
        <v>45876</v>
      </c>
      <c r="C235" s="2" t="s">
        <v>1354</v>
      </c>
      <c r="D235" s="2" t="s">
        <v>46</v>
      </c>
      <c r="E235" s="2" t="s">
        <v>83</v>
      </c>
      <c r="F235" s="2" t="s">
        <v>90</v>
      </c>
      <c r="G235" s="2" t="s">
        <v>23</v>
      </c>
      <c r="H235" s="2">
        <v>24</v>
      </c>
      <c r="I235" s="7">
        <v>29.43</v>
      </c>
      <c r="J235" s="2">
        <v>0</v>
      </c>
      <c r="K235" s="7">
        <v>706.32</v>
      </c>
      <c r="L235" s="2" t="s">
        <v>27</v>
      </c>
      <c r="M235" s="2" t="s">
        <v>2364</v>
      </c>
    </row>
    <row r="236" spans="1:13" x14ac:dyDescent="0.3">
      <c r="A236" s="2" t="s">
        <v>1444</v>
      </c>
      <c r="B236" s="5">
        <v>45578</v>
      </c>
      <c r="C236" s="2" t="s">
        <v>1445</v>
      </c>
      <c r="D236" s="2" t="s">
        <v>24</v>
      </c>
      <c r="E236" s="2" t="s">
        <v>25</v>
      </c>
      <c r="F236" s="2" t="s">
        <v>90</v>
      </c>
      <c r="G236" s="2" t="s">
        <v>23</v>
      </c>
      <c r="H236" s="2">
        <v>24</v>
      </c>
      <c r="I236" s="7">
        <v>30.87</v>
      </c>
      <c r="J236" s="2">
        <v>0</v>
      </c>
      <c r="K236" s="7">
        <v>740.88</v>
      </c>
      <c r="L236" s="2" t="s">
        <v>31</v>
      </c>
      <c r="M236" s="2" t="s">
        <v>2364</v>
      </c>
    </row>
    <row r="237" spans="1:13" x14ac:dyDescent="0.3">
      <c r="A237" s="2" t="s">
        <v>1265</v>
      </c>
      <c r="B237" s="5">
        <v>45677</v>
      </c>
      <c r="C237" s="2" t="s">
        <v>1266</v>
      </c>
      <c r="D237" s="2" t="s">
        <v>24</v>
      </c>
      <c r="E237" s="2" t="s">
        <v>104</v>
      </c>
      <c r="F237" s="2" t="s">
        <v>90</v>
      </c>
      <c r="G237" s="2" t="s">
        <v>23</v>
      </c>
      <c r="H237" s="2">
        <v>37</v>
      </c>
      <c r="I237" s="7">
        <v>22.3</v>
      </c>
      <c r="J237" s="2">
        <v>10</v>
      </c>
      <c r="K237" s="7">
        <v>742.59</v>
      </c>
      <c r="L237" s="2" t="s">
        <v>2347</v>
      </c>
      <c r="M237" s="2" t="s">
        <v>2364</v>
      </c>
    </row>
    <row r="238" spans="1:13" x14ac:dyDescent="0.3">
      <c r="A238" s="2" t="s">
        <v>1549</v>
      </c>
      <c r="B238" s="5">
        <v>46023</v>
      </c>
      <c r="C238" s="2" t="s">
        <v>1550</v>
      </c>
      <c r="D238" s="2" t="s">
        <v>53</v>
      </c>
      <c r="E238" s="2" t="s">
        <v>170</v>
      </c>
      <c r="F238" s="2" t="s">
        <v>90</v>
      </c>
      <c r="G238" s="2" t="s">
        <v>23</v>
      </c>
      <c r="H238" s="2">
        <v>21</v>
      </c>
      <c r="I238" s="7">
        <v>40.14</v>
      </c>
      <c r="J238" s="2">
        <v>10</v>
      </c>
      <c r="K238" s="7">
        <v>758.65</v>
      </c>
      <c r="L238" s="2" t="s">
        <v>49</v>
      </c>
      <c r="M238" s="2" t="s">
        <v>2364</v>
      </c>
    </row>
    <row r="239" spans="1:13" x14ac:dyDescent="0.3">
      <c r="A239" s="2" t="s">
        <v>1914</v>
      </c>
      <c r="B239" s="5">
        <v>45882</v>
      </c>
      <c r="C239" s="2" t="s">
        <v>1915</v>
      </c>
      <c r="D239" s="2" t="s">
        <v>16</v>
      </c>
      <c r="E239" s="2" t="s">
        <v>17</v>
      </c>
      <c r="F239" s="2" t="s">
        <v>90</v>
      </c>
      <c r="G239" s="2" t="s">
        <v>23</v>
      </c>
      <c r="H239" s="2">
        <v>24</v>
      </c>
      <c r="I239" s="7">
        <v>34.01</v>
      </c>
      <c r="J239" s="2">
        <v>5</v>
      </c>
      <c r="K239" s="7">
        <v>775.43</v>
      </c>
      <c r="L239" s="2" t="s">
        <v>27</v>
      </c>
      <c r="M239" s="2" t="s">
        <v>2364</v>
      </c>
    </row>
    <row r="240" spans="1:13" x14ac:dyDescent="0.3">
      <c r="A240" s="2" t="s">
        <v>1321</v>
      </c>
      <c r="B240" s="5">
        <v>46129</v>
      </c>
      <c r="C240" s="2" t="s">
        <v>1322</v>
      </c>
      <c r="D240" s="2" t="s">
        <v>46</v>
      </c>
      <c r="E240" s="2" t="s">
        <v>83</v>
      </c>
      <c r="F240" s="2" t="s">
        <v>90</v>
      </c>
      <c r="G240" s="2" t="s">
        <v>23</v>
      </c>
      <c r="H240" s="2">
        <v>46</v>
      </c>
      <c r="I240" s="7">
        <v>20.75</v>
      </c>
      <c r="J240" s="2">
        <v>15</v>
      </c>
      <c r="K240" s="7">
        <v>811.33</v>
      </c>
      <c r="L240" s="2" t="s">
        <v>49</v>
      </c>
      <c r="M240" s="2" t="s">
        <v>2364</v>
      </c>
    </row>
    <row r="241" spans="1:13" x14ac:dyDescent="0.3">
      <c r="A241" s="2" t="s">
        <v>1892</v>
      </c>
      <c r="B241" s="5">
        <v>46011</v>
      </c>
      <c r="C241" s="2" t="s">
        <v>1893</v>
      </c>
      <c r="D241" s="2" t="s">
        <v>53</v>
      </c>
      <c r="E241" s="2" t="s">
        <v>134</v>
      </c>
      <c r="F241" s="2" t="s">
        <v>90</v>
      </c>
      <c r="G241" s="2" t="s">
        <v>23</v>
      </c>
      <c r="H241" s="2">
        <v>27</v>
      </c>
      <c r="I241" s="7">
        <v>30.57</v>
      </c>
      <c r="J241" s="2">
        <v>0</v>
      </c>
      <c r="K241" s="7">
        <v>825.39</v>
      </c>
      <c r="L241" s="2" t="s">
        <v>27</v>
      </c>
      <c r="M241" s="2" t="s">
        <v>2365</v>
      </c>
    </row>
    <row r="242" spans="1:13" x14ac:dyDescent="0.3">
      <c r="A242" s="2" t="s">
        <v>1816</v>
      </c>
      <c r="B242" s="5">
        <v>46248</v>
      </c>
      <c r="C242" s="2" t="s">
        <v>1817</v>
      </c>
      <c r="D242" s="2" t="s">
        <v>46</v>
      </c>
      <c r="E242" s="2" t="s">
        <v>47</v>
      </c>
      <c r="F242" s="2" t="s">
        <v>90</v>
      </c>
      <c r="G242" s="2" t="s">
        <v>23</v>
      </c>
      <c r="H242" s="2">
        <v>39</v>
      </c>
      <c r="I242" s="7">
        <v>23.88</v>
      </c>
      <c r="J242" s="2">
        <v>10</v>
      </c>
      <c r="K242" s="7">
        <v>838.19</v>
      </c>
      <c r="L242" s="2" t="s">
        <v>69</v>
      </c>
      <c r="M242" s="2" t="s">
        <v>2364</v>
      </c>
    </row>
    <row r="243" spans="1:13" x14ac:dyDescent="0.3">
      <c r="A243" s="2" t="s">
        <v>2246</v>
      </c>
      <c r="B243" s="5">
        <v>45771</v>
      </c>
      <c r="C243" s="2" t="s">
        <v>2247</v>
      </c>
      <c r="D243" s="2" t="s">
        <v>53</v>
      </c>
      <c r="E243" s="2" t="s">
        <v>67</v>
      </c>
      <c r="F243" s="2" t="s">
        <v>90</v>
      </c>
      <c r="G243" s="2" t="s">
        <v>23</v>
      </c>
      <c r="H243" s="2">
        <v>39</v>
      </c>
      <c r="I243" s="7">
        <v>28.09</v>
      </c>
      <c r="J243" s="2">
        <v>20</v>
      </c>
      <c r="K243" s="7">
        <v>876.41</v>
      </c>
      <c r="L243" s="2" t="s">
        <v>2347</v>
      </c>
      <c r="M243" s="2" t="s">
        <v>2364</v>
      </c>
    </row>
    <row r="244" spans="1:13" x14ac:dyDescent="0.3">
      <c r="A244" s="2" t="s">
        <v>1230</v>
      </c>
      <c r="B244" s="5">
        <v>45862</v>
      </c>
      <c r="C244" s="2" t="s">
        <v>1231</v>
      </c>
      <c r="D244" s="2" t="s">
        <v>46</v>
      </c>
      <c r="E244" s="2" t="s">
        <v>83</v>
      </c>
      <c r="F244" s="2" t="s">
        <v>90</v>
      </c>
      <c r="G244" s="2" t="s">
        <v>23</v>
      </c>
      <c r="H244" s="2">
        <v>43</v>
      </c>
      <c r="I244" s="7">
        <v>20.46</v>
      </c>
      <c r="J244" s="2">
        <v>0</v>
      </c>
      <c r="K244" s="7">
        <v>879.78</v>
      </c>
      <c r="L244" s="2" t="s">
        <v>49</v>
      </c>
      <c r="M244" s="2" t="s">
        <v>2364</v>
      </c>
    </row>
    <row r="245" spans="1:13" x14ac:dyDescent="0.3">
      <c r="A245" s="2" t="s">
        <v>943</v>
      </c>
      <c r="B245" s="5">
        <v>45609</v>
      </c>
      <c r="C245" s="2" t="s">
        <v>944</v>
      </c>
      <c r="D245" s="2" t="s">
        <v>24</v>
      </c>
      <c r="E245" s="2" t="s">
        <v>104</v>
      </c>
      <c r="F245" s="2" t="s">
        <v>90</v>
      </c>
      <c r="G245" s="2" t="s">
        <v>23</v>
      </c>
      <c r="H245" s="2">
        <v>29</v>
      </c>
      <c r="I245" s="7">
        <v>35.76</v>
      </c>
      <c r="J245" s="2">
        <v>15</v>
      </c>
      <c r="K245" s="7">
        <v>881.48</v>
      </c>
      <c r="L245" s="2" t="s">
        <v>2347</v>
      </c>
      <c r="M245" s="2" t="s">
        <v>2364</v>
      </c>
    </row>
    <row r="246" spans="1:13" x14ac:dyDescent="0.3">
      <c r="A246" s="2" t="s">
        <v>677</v>
      </c>
      <c r="B246" s="5">
        <v>46093</v>
      </c>
      <c r="C246" s="2" t="s">
        <v>478</v>
      </c>
      <c r="D246" s="2" t="s">
        <v>53</v>
      </c>
      <c r="E246" s="2" t="s">
        <v>54</v>
      </c>
      <c r="F246" s="2" t="s">
        <v>90</v>
      </c>
      <c r="G246" s="2" t="s">
        <v>23</v>
      </c>
      <c r="H246" s="2">
        <v>25</v>
      </c>
      <c r="I246" s="7">
        <v>39.950000000000003</v>
      </c>
      <c r="J246" s="2">
        <v>10</v>
      </c>
      <c r="K246" s="7">
        <v>898.88</v>
      </c>
      <c r="L246" s="2" t="s">
        <v>49</v>
      </c>
      <c r="M246" s="2" t="s">
        <v>2364</v>
      </c>
    </row>
    <row r="247" spans="1:13" x14ac:dyDescent="0.3">
      <c r="A247" s="2" t="s">
        <v>1164</v>
      </c>
      <c r="B247" s="5">
        <v>46105</v>
      </c>
      <c r="C247" s="2" t="s">
        <v>1165</v>
      </c>
      <c r="D247" s="2" t="s">
        <v>53</v>
      </c>
      <c r="E247" s="2" t="s">
        <v>170</v>
      </c>
      <c r="F247" s="2" t="s">
        <v>90</v>
      </c>
      <c r="G247" s="2" t="s">
        <v>23</v>
      </c>
      <c r="H247" s="2">
        <v>29</v>
      </c>
      <c r="I247" s="7">
        <v>34.770000000000003</v>
      </c>
      <c r="J247" s="2">
        <v>10</v>
      </c>
      <c r="K247" s="7">
        <v>907.5</v>
      </c>
      <c r="L247" s="2" t="s">
        <v>69</v>
      </c>
      <c r="M247" s="2" t="s">
        <v>2365</v>
      </c>
    </row>
    <row r="248" spans="1:13" x14ac:dyDescent="0.3">
      <c r="A248" s="2" t="s">
        <v>1244</v>
      </c>
      <c r="B248" s="5">
        <v>45821</v>
      </c>
      <c r="C248" s="2" t="s">
        <v>1245</v>
      </c>
      <c r="D248" s="2" t="s">
        <v>24</v>
      </c>
      <c r="E248" s="2" t="s">
        <v>104</v>
      </c>
      <c r="F248" s="2" t="s">
        <v>90</v>
      </c>
      <c r="G248" s="2" t="s">
        <v>23</v>
      </c>
      <c r="H248" s="2">
        <v>41</v>
      </c>
      <c r="I248" s="7">
        <v>22.26</v>
      </c>
      <c r="J248" s="2">
        <v>0</v>
      </c>
      <c r="K248" s="7">
        <v>912.66</v>
      </c>
      <c r="L248" s="2" t="s">
        <v>69</v>
      </c>
      <c r="M248" s="2" t="s">
        <v>2364</v>
      </c>
    </row>
    <row r="249" spans="1:13" x14ac:dyDescent="0.3">
      <c r="A249" s="2" t="s">
        <v>2082</v>
      </c>
      <c r="B249" s="5">
        <v>45846</v>
      </c>
      <c r="C249" s="2" t="s">
        <v>1051</v>
      </c>
      <c r="D249" s="2" t="s">
        <v>24</v>
      </c>
      <c r="E249" s="2" t="s">
        <v>25</v>
      </c>
      <c r="F249" s="2" t="s">
        <v>90</v>
      </c>
      <c r="G249" s="2" t="s">
        <v>23</v>
      </c>
      <c r="H249" s="2">
        <v>21</v>
      </c>
      <c r="I249" s="7">
        <v>43.86</v>
      </c>
      <c r="J249" s="2">
        <v>0</v>
      </c>
      <c r="K249" s="7">
        <v>921.06</v>
      </c>
      <c r="L249" s="2" t="s">
        <v>31</v>
      </c>
      <c r="M249" s="2" t="s">
        <v>2364</v>
      </c>
    </row>
    <row r="250" spans="1:13" x14ac:dyDescent="0.3">
      <c r="A250" s="2" t="s">
        <v>344</v>
      </c>
      <c r="B250" s="5">
        <v>45894</v>
      </c>
      <c r="C250" s="2" t="s">
        <v>345</v>
      </c>
      <c r="D250" s="2" t="s">
        <v>16</v>
      </c>
      <c r="E250" s="2" t="s">
        <v>91</v>
      </c>
      <c r="F250" s="2" t="s">
        <v>90</v>
      </c>
      <c r="G250" s="2" t="s">
        <v>23</v>
      </c>
      <c r="H250" s="2">
        <v>38</v>
      </c>
      <c r="I250" s="7">
        <v>28.56</v>
      </c>
      <c r="J250" s="2">
        <v>15</v>
      </c>
      <c r="K250" s="7">
        <v>922.49</v>
      </c>
      <c r="L250" s="2" t="s">
        <v>69</v>
      </c>
      <c r="M250" s="2" t="s">
        <v>2364</v>
      </c>
    </row>
    <row r="251" spans="1:13" x14ac:dyDescent="0.3">
      <c r="A251" s="2" t="s">
        <v>2118</v>
      </c>
      <c r="B251" s="5">
        <v>46264</v>
      </c>
      <c r="C251" s="2" t="s">
        <v>1790</v>
      </c>
      <c r="D251" s="2" t="s">
        <v>16</v>
      </c>
      <c r="E251" s="2" t="s">
        <v>91</v>
      </c>
      <c r="F251" s="2" t="s">
        <v>90</v>
      </c>
      <c r="G251" s="2" t="s">
        <v>23</v>
      </c>
      <c r="H251" s="2">
        <v>32</v>
      </c>
      <c r="I251" s="7">
        <v>31.82</v>
      </c>
      <c r="J251" s="2">
        <v>0</v>
      </c>
      <c r="K251" s="7">
        <v>1018.24</v>
      </c>
      <c r="L251" s="2" t="s">
        <v>27</v>
      </c>
      <c r="M251" s="2" t="s">
        <v>2364</v>
      </c>
    </row>
    <row r="252" spans="1:13" x14ac:dyDescent="0.3">
      <c r="A252" s="2" t="s">
        <v>2201</v>
      </c>
      <c r="B252" s="5">
        <v>46245</v>
      </c>
      <c r="C252" s="2" t="s">
        <v>2202</v>
      </c>
      <c r="D252" s="2" t="s">
        <v>24</v>
      </c>
      <c r="E252" s="2" t="s">
        <v>59</v>
      </c>
      <c r="F252" s="2" t="s">
        <v>90</v>
      </c>
      <c r="G252" s="2" t="s">
        <v>23</v>
      </c>
      <c r="H252" s="2">
        <v>28</v>
      </c>
      <c r="I252" s="7">
        <v>44.47</v>
      </c>
      <c r="J252" s="2">
        <v>15</v>
      </c>
      <c r="K252" s="7">
        <v>1058.3900000000001</v>
      </c>
      <c r="L252" s="2" t="s">
        <v>49</v>
      </c>
      <c r="M252" s="2" t="s">
        <v>2364</v>
      </c>
    </row>
    <row r="253" spans="1:13" x14ac:dyDescent="0.3">
      <c r="A253" s="2" t="s">
        <v>1703</v>
      </c>
      <c r="B253" s="5">
        <v>46108</v>
      </c>
      <c r="C253" s="2" t="s">
        <v>1704</v>
      </c>
      <c r="D253" s="2" t="s">
        <v>46</v>
      </c>
      <c r="E253" s="2" t="s">
        <v>124</v>
      </c>
      <c r="F253" s="2" t="s">
        <v>90</v>
      </c>
      <c r="G253" s="2" t="s">
        <v>23</v>
      </c>
      <c r="H253" s="2">
        <v>26</v>
      </c>
      <c r="I253" s="7">
        <v>42.42</v>
      </c>
      <c r="J253" s="2">
        <v>0</v>
      </c>
      <c r="K253" s="7">
        <v>1102.92</v>
      </c>
      <c r="L253" s="2" t="s">
        <v>49</v>
      </c>
      <c r="M253" s="2" t="s">
        <v>2364</v>
      </c>
    </row>
    <row r="254" spans="1:13" x14ac:dyDescent="0.3">
      <c r="A254" s="2" t="s">
        <v>1196</v>
      </c>
      <c r="B254" s="5">
        <v>45863</v>
      </c>
      <c r="C254" s="2" t="s">
        <v>710</v>
      </c>
      <c r="D254" s="2" t="s">
        <v>16</v>
      </c>
      <c r="E254" s="2" t="s">
        <v>111</v>
      </c>
      <c r="F254" s="2" t="s">
        <v>90</v>
      </c>
      <c r="G254" s="2" t="s">
        <v>23</v>
      </c>
      <c r="H254" s="2">
        <v>44</v>
      </c>
      <c r="I254" s="7">
        <v>25.44</v>
      </c>
      <c r="J254" s="2">
        <v>0</v>
      </c>
      <c r="K254" s="7">
        <v>1119.3599999999999</v>
      </c>
      <c r="L254" s="2" t="s">
        <v>27</v>
      </c>
      <c r="M254" s="2" t="s">
        <v>2365</v>
      </c>
    </row>
    <row r="255" spans="1:13" x14ac:dyDescent="0.3">
      <c r="A255" s="2" t="s">
        <v>440</v>
      </c>
      <c r="B255" s="5">
        <v>46105</v>
      </c>
      <c r="C255" s="2" t="s">
        <v>441</v>
      </c>
      <c r="D255" s="2" t="s">
        <v>46</v>
      </c>
      <c r="E255" s="2" t="s">
        <v>244</v>
      </c>
      <c r="F255" s="2" t="s">
        <v>90</v>
      </c>
      <c r="G255" s="2" t="s">
        <v>23</v>
      </c>
      <c r="H255" s="2">
        <v>40</v>
      </c>
      <c r="I255" s="7">
        <v>35.619999999999997</v>
      </c>
      <c r="J255" s="2">
        <v>20</v>
      </c>
      <c r="K255" s="7">
        <v>1139.8399999999999</v>
      </c>
      <c r="L255" s="2" t="s">
        <v>2347</v>
      </c>
      <c r="M255" s="2" t="s">
        <v>2364</v>
      </c>
    </row>
    <row r="256" spans="1:13" x14ac:dyDescent="0.3">
      <c r="A256" s="2" t="s">
        <v>361</v>
      </c>
      <c r="B256" s="5">
        <v>45596</v>
      </c>
      <c r="C256" s="2" t="s">
        <v>362</v>
      </c>
      <c r="D256" s="2" t="s">
        <v>46</v>
      </c>
      <c r="E256" s="2" t="s">
        <v>244</v>
      </c>
      <c r="F256" s="2" t="s">
        <v>90</v>
      </c>
      <c r="G256" s="2" t="s">
        <v>23</v>
      </c>
      <c r="H256" s="2">
        <v>42</v>
      </c>
      <c r="I256" s="7">
        <v>27.97</v>
      </c>
      <c r="J256" s="2">
        <v>0</v>
      </c>
      <c r="K256" s="7">
        <v>1174.74</v>
      </c>
      <c r="L256" s="2" t="s">
        <v>2347</v>
      </c>
      <c r="M256" s="2" t="s">
        <v>2364</v>
      </c>
    </row>
    <row r="257" spans="1:13" x14ac:dyDescent="0.3">
      <c r="A257" s="2" t="s">
        <v>1819</v>
      </c>
      <c r="B257" s="5">
        <v>45933</v>
      </c>
      <c r="C257" s="2" t="s">
        <v>1498</v>
      </c>
      <c r="D257" s="2" t="s">
        <v>16</v>
      </c>
      <c r="E257" s="2" t="s">
        <v>160</v>
      </c>
      <c r="F257" s="2" t="s">
        <v>90</v>
      </c>
      <c r="G257" s="2" t="s">
        <v>23</v>
      </c>
      <c r="H257" s="2">
        <v>39</v>
      </c>
      <c r="I257" s="7">
        <v>33.93</v>
      </c>
      <c r="J257" s="2">
        <v>10</v>
      </c>
      <c r="K257" s="7">
        <v>1190.94</v>
      </c>
      <c r="L257" s="2" t="s">
        <v>2347</v>
      </c>
      <c r="M257" s="2" t="s">
        <v>2365</v>
      </c>
    </row>
    <row r="258" spans="1:13" x14ac:dyDescent="0.3">
      <c r="A258" s="2" t="s">
        <v>1319</v>
      </c>
      <c r="B258" s="5">
        <v>46254</v>
      </c>
      <c r="C258" s="2" t="s">
        <v>1320</v>
      </c>
      <c r="D258" s="2" t="s">
        <v>16</v>
      </c>
      <c r="E258" s="2" t="s">
        <v>160</v>
      </c>
      <c r="F258" s="2" t="s">
        <v>90</v>
      </c>
      <c r="G258" s="2" t="s">
        <v>23</v>
      </c>
      <c r="H258" s="2">
        <v>45</v>
      </c>
      <c r="I258" s="7">
        <v>29.49</v>
      </c>
      <c r="J258" s="2">
        <v>10</v>
      </c>
      <c r="K258" s="7">
        <v>1194.3499999999999</v>
      </c>
      <c r="L258" s="2" t="s">
        <v>27</v>
      </c>
      <c r="M258" s="2" t="s">
        <v>2364</v>
      </c>
    </row>
    <row r="259" spans="1:13" x14ac:dyDescent="0.3">
      <c r="A259" s="2" t="s">
        <v>1118</v>
      </c>
      <c r="B259" s="5">
        <v>46011</v>
      </c>
      <c r="C259" s="2" t="s">
        <v>1119</v>
      </c>
      <c r="D259" s="2" t="s">
        <v>16</v>
      </c>
      <c r="E259" s="2" t="s">
        <v>160</v>
      </c>
      <c r="F259" s="2" t="s">
        <v>90</v>
      </c>
      <c r="G259" s="2" t="s">
        <v>23</v>
      </c>
      <c r="H259" s="2">
        <v>45</v>
      </c>
      <c r="I259" s="7">
        <v>26.74</v>
      </c>
      <c r="J259" s="2">
        <v>0</v>
      </c>
      <c r="K259" s="7">
        <v>1203.3</v>
      </c>
      <c r="L259" s="2" t="s">
        <v>69</v>
      </c>
      <c r="M259" s="2" t="s">
        <v>2364</v>
      </c>
    </row>
    <row r="260" spans="1:13" x14ac:dyDescent="0.3">
      <c r="A260" s="2" t="s">
        <v>1932</v>
      </c>
      <c r="B260" s="5">
        <v>46103</v>
      </c>
      <c r="C260" s="2" t="s">
        <v>1933</v>
      </c>
      <c r="D260" s="2" t="s">
        <v>53</v>
      </c>
      <c r="E260" s="2" t="s">
        <v>134</v>
      </c>
      <c r="F260" s="2" t="s">
        <v>90</v>
      </c>
      <c r="G260" s="2" t="s">
        <v>23</v>
      </c>
      <c r="H260" s="2">
        <v>37</v>
      </c>
      <c r="I260" s="7">
        <v>38.549999999999997</v>
      </c>
      <c r="J260" s="2">
        <v>15</v>
      </c>
      <c r="K260" s="7">
        <v>1212.4000000000001</v>
      </c>
      <c r="L260" s="2" t="s">
        <v>69</v>
      </c>
      <c r="M260" s="2" t="s">
        <v>2364</v>
      </c>
    </row>
    <row r="261" spans="1:13" x14ac:dyDescent="0.3">
      <c r="A261" s="2" t="s">
        <v>1709</v>
      </c>
      <c r="B261" s="5">
        <v>45918</v>
      </c>
      <c r="C261" s="2" t="s">
        <v>1710</v>
      </c>
      <c r="D261" s="2" t="s">
        <v>53</v>
      </c>
      <c r="E261" s="2" t="s">
        <v>141</v>
      </c>
      <c r="F261" s="2" t="s">
        <v>90</v>
      </c>
      <c r="G261" s="2" t="s">
        <v>23</v>
      </c>
      <c r="H261" s="2">
        <v>29</v>
      </c>
      <c r="I261" s="7">
        <v>42.06</v>
      </c>
      <c r="J261" s="2">
        <v>0</v>
      </c>
      <c r="K261" s="7">
        <v>1219.74</v>
      </c>
      <c r="L261" s="2" t="s">
        <v>49</v>
      </c>
      <c r="M261" s="2" t="s">
        <v>2365</v>
      </c>
    </row>
    <row r="262" spans="1:13" x14ac:dyDescent="0.3">
      <c r="A262" s="2" t="s">
        <v>579</v>
      </c>
      <c r="B262" s="5">
        <v>46204</v>
      </c>
      <c r="C262" s="2" t="s">
        <v>580</v>
      </c>
      <c r="D262" s="2" t="s">
        <v>24</v>
      </c>
      <c r="E262" s="2" t="s">
        <v>41</v>
      </c>
      <c r="F262" s="2" t="s">
        <v>90</v>
      </c>
      <c r="G262" s="2" t="s">
        <v>23</v>
      </c>
      <c r="H262" s="2">
        <v>34</v>
      </c>
      <c r="I262" s="7">
        <v>36.700000000000003</v>
      </c>
      <c r="J262" s="2">
        <v>0</v>
      </c>
      <c r="K262" s="7">
        <v>1247.8</v>
      </c>
      <c r="L262" s="2" t="s">
        <v>2347</v>
      </c>
      <c r="M262" s="2" t="s">
        <v>2364</v>
      </c>
    </row>
    <row r="263" spans="1:13" x14ac:dyDescent="0.3">
      <c r="A263" s="2" t="s">
        <v>1664</v>
      </c>
      <c r="B263" s="5">
        <v>45974</v>
      </c>
      <c r="C263" s="2" t="s">
        <v>1665</v>
      </c>
      <c r="D263" s="2" t="s">
        <v>24</v>
      </c>
      <c r="E263" s="2" t="s">
        <v>59</v>
      </c>
      <c r="F263" s="2" t="s">
        <v>90</v>
      </c>
      <c r="G263" s="2" t="s">
        <v>23</v>
      </c>
      <c r="H263" s="2">
        <v>32</v>
      </c>
      <c r="I263" s="7">
        <v>43.7</v>
      </c>
      <c r="J263" s="2">
        <v>10</v>
      </c>
      <c r="K263" s="7">
        <v>1258.56</v>
      </c>
      <c r="L263" s="2" t="s">
        <v>31</v>
      </c>
      <c r="M263" s="2" t="s">
        <v>2364</v>
      </c>
    </row>
    <row r="264" spans="1:13" x14ac:dyDescent="0.3">
      <c r="A264" s="2" t="s">
        <v>2126</v>
      </c>
      <c r="B264" s="5">
        <v>45984</v>
      </c>
      <c r="C264" s="2" t="s">
        <v>2127</v>
      </c>
      <c r="D264" s="2" t="s">
        <v>46</v>
      </c>
      <c r="E264" s="2" t="s">
        <v>244</v>
      </c>
      <c r="F264" s="2" t="s">
        <v>90</v>
      </c>
      <c r="G264" s="2" t="s">
        <v>23</v>
      </c>
      <c r="H264" s="2">
        <v>30</v>
      </c>
      <c r="I264" s="7">
        <v>42.09</v>
      </c>
      <c r="J264" s="2">
        <v>0</v>
      </c>
      <c r="K264" s="7">
        <v>1262.7</v>
      </c>
      <c r="L264" s="2" t="s">
        <v>49</v>
      </c>
      <c r="M264" s="2" t="s">
        <v>2364</v>
      </c>
    </row>
    <row r="265" spans="1:13" x14ac:dyDescent="0.3">
      <c r="A265" s="2" t="s">
        <v>181</v>
      </c>
      <c r="B265" s="5">
        <v>45869</v>
      </c>
      <c r="C265" s="2" t="s">
        <v>182</v>
      </c>
      <c r="D265" s="2" t="s">
        <v>53</v>
      </c>
      <c r="E265" s="2" t="s">
        <v>67</v>
      </c>
      <c r="F265" s="2" t="s">
        <v>90</v>
      </c>
      <c r="G265" s="2" t="s">
        <v>23</v>
      </c>
      <c r="H265" s="2">
        <v>43</v>
      </c>
      <c r="I265" s="7">
        <v>29.4</v>
      </c>
      <c r="J265" s="2">
        <v>0</v>
      </c>
      <c r="K265" s="7">
        <v>1264.2</v>
      </c>
      <c r="L265" s="2" t="s">
        <v>69</v>
      </c>
      <c r="M265" s="2" t="s">
        <v>2364</v>
      </c>
    </row>
    <row r="266" spans="1:13" x14ac:dyDescent="0.3">
      <c r="A266" s="2" t="s">
        <v>483</v>
      </c>
      <c r="B266" s="5">
        <v>46166</v>
      </c>
      <c r="C266" s="2" t="s">
        <v>484</v>
      </c>
      <c r="D266" s="2" t="s">
        <v>16</v>
      </c>
      <c r="E266" s="2" t="s">
        <v>111</v>
      </c>
      <c r="F266" s="2" t="s">
        <v>90</v>
      </c>
      <c r="G266" s="2" t="s">
        <v>23</v>
      </c>
      <c r="H266" s="2">
        <v>40</v>
      </c>
      <c r="I266" s="7">
        <v>33.57</v>
      </c>
      <c r="J266" s="2">
        <v>5</v>
      </c>
      <c r="K266" s="7">
        <v>1275.6600000000001</v>
      </c>
      <c r="L266" s="2" t="s">
        <v>27</v>
      </c>
      <c r="M266" s="2" t="s">
        <v>2364</v>
      </c>
    </row>
    <row r="267" spans="1:13" x14ac:dyDescent="0.3">
      <c r="A267" s="2" t="s">
        <v>2214</v>
      </c>
      <c r="B267" s="5">
        <v>45845</v>
      </c>
      <c r="C267" s="2" t="s">
        <v>1516</v>
      </c>
      <c r="D267" s="2" t="s">
        <v>24</v>
      </c>
      <c r="E267" s="2" t="s">
        <v>25</v>
      </c>
      <c r="F267" s="2" t="s">
        <v>90</v>
      </c>
      <c r="G267" s="2" t="s">
        <v>23</v>
      </c>
      <c r="H267" s="2">
        <v>33</v>
      </c>
      <c r="I267" s="7">
        <v>42.6</v>
      </c>
      <c r="J267" s="2">
        <v>0</v>
      </c>
      <c r="K267" s="7">
        <v>1405.8</v>
      </c>
      <c r="L267" s="2" t="s">
        <v>27</v>
      </c>
      <c r="M267" s="2" t="s">
        <v>2364</v>
      </c>
    </row>
    <row r="268" spans="1:13" x14ac:dyDescent="0.3">
      <c r="A268" s="2" t="s">
        <v>1182</v>
      </c>
      <c r="B268" s="5">
        <v>46183</v>
      </c>
      <c r="C268" s="2" t="s">
        <v>1183</v>
      </c>
      <c r="D268" s="2" t="s">
        <v>24</v>
      </c>
      <c r="E268" s="2" t="s">
        <v>41</v>
      </c>
      <c r="F268" s="2" t="s">
        <v>90</v>
      </c>
      <c r="G268" s="2" t="s">
        <v>23</v>
      </c>
      <c r="H268" s="2">
        <v>41</v>
      </c>
      <c r="I268" s="7">
        <v>34.549999999999997</v>
      </c>
      <c r="J268" s="2">
        <v>0</v>
      </c>
      <c r="K268" s="7">
        <v>1416.55</v>
      </c>
      <c r="L268" s="2" t="s">
        <v>27</v>
      </c>
      <c r="M268" s="2" t="s">
        <v>2365</v>
      </c>
    </row>
    <row r="269" spans="1:13" x14ac:dyDescent="0.3">
      <c r="A269" s="2" t="s">
        <v>1659</v>
      </c>
      <c r="B269" s="5">
        <v>45994</v>
      </c>
      <c r="C269" s="2" t="s">
        <v>499</v>
      </c>
      <c r="D269" s="2" t="s">
        <v>24</v>
      </c>
      <c r="E269" s="2" t="s">
        <v>59</v>
      </c>
      <c r="F269" s="2" t="s">
        <v>90</v>
      </c>
      <c r="G269" s="2" t="s">
        <v>23</v>
      </c>
      <c r="H269" s="2">
        <v>47</v>
      </c>
      <c r="I269" s="7">
        <v>33.880000000000003</v>
      </c>
      <c r="J269" s="2">
        <v>5</v>
      </c>
      <c r="K269" s="7">
        <v>1512.74</v>
      </c>
      <c r="L269" s="2" t="s">
        <v>27</v>
      </c>
      <c r="M269" s="2" t="s">
        <v>2365</v>
      </c>
    </row>
    <row r="270" spans="1:13" x14ac:dyDescent="0.3">
      <c r="A270" s="2" t="s">
        <v>1894</v>
      </c>
      <c r="B270" s="5">
        <v>46114</v>
      </c>
      <c r="C270" s="2" t="s">
        <v>897</v>
      </c>
      <c r="D270" s="2" t="s">
        <v>53</v>
      </c>
      <c r="E270" s="2" t="s">
        <v>54</v>
      </c>
      <c r="F270" s="2" t="s">
        <v>90</v>
      </c>
      <c r="G270" s="2" t="s">
        <v>23</v>
      </c>
      <c r="H270" s="2">
        <v>48</v>
      </c>
      <c r="I270" s="7">
        <v>40.21</v>
      </c>
      <c r="J270" s="2">
        <v>20</v>
      </c>
      <c r="K270" s="7">
        <v>1544.06</v>
      </c>
      <c r="L270" s="2" t="s">
        <v>2347</v>
      </c>
      <c r="M270" s="2" t="s">
        <v>2364</v>
      </c>
    </row>
    <row r="271" spans="1:13" x14ac:dyDescent="0.3">
      <c r="A271" s="2" t="s">
        <v>1638</v>
      </c>
      <c r="B271" s="5">
        <v>45635</v>
      </c>
      <c r="C271" s="2" t="s">
        <v>1639</v>
      </c>
      <c r="D271" s="2" t="s">
        <v>46</v>
      </c>
      <c r="E271" s="2" t="s">
        <v>124</v>
      </c>
      <c r="F271" s="2" t="s">
        <v>90</v>
      </c>
      <c r="G271" s="2" t="s">
        <v>23</v>
      </c>
      <c r="H271" s="2">
        <v>41</v>
      </c>
      <c r="I271" s="7">
        <v>43.17</v>
      </c>
      <c r="J271" s="2">
        <v>10</v>
      </c>
      <c r="K271" s="7">
        <v>1592.97</v>
      </c>
      <c r="L271" s="2" t="s">
        <v>69</v>
      </c>
      <c r="M271" s="2" t="s">
        <v>2364</v>
      </c>
    </row>
    <row r="272" spans="1:13" x14ac:dyDescent="0.3">
      <c r="A272" s="2" t="s">
        <v>1133</v>
      </c>
      <c r="B272" s="5">
        <v>46270</v>
      </c>
      <c r="C272" s="2" t="s">
        <v>1134</v>
      </c>
      <c r="D272" s="2" t="s">
        <v>24</v>
      </c>
      <c r="E272" s="2" t="s">
        <v>59</v>
      </c>
      <c r="F272" s="2" t="s">
        <v>90</v>
      </c>
      <c r="G272" s="2" t="s">
        <v>23</v>
      </c>
      <c r="H272" s="2">
        <v>40</v>
      </c>
      <c r="I272" s="7">
        <v>43.23</v>
      </c>
      <c r="J272" s="2">
        <v>0</v>
      </c>
      <c r="K272" s="7">
        <v>1729.2</v>
      </c>
      <c r="L272" s="2" t="s">
        <v>27</v>
      </c>
      <c r="M272" s="2" t="s">
        <v>2364</v>
      </c>
    </row>
    <row r="273" spans="1:13" x14ac:dyDescent="0.3">
      <c r="A273" s="2" t="s">
        <v>1989</v>
      </c>
      <c r="B273" s="5">
        <v>46268</v>
      </c>
      <c r="C273" s="2" t="s">
        <v>1990</v>
      </c>
      <c r="D273" s="2" t="s">
        <v>24</v>
      </c>
      <c r="E273" s="2" t="s">
        <v>41</v>
      </c>
      <c r="F273" s="2" t="s">
        <v>90</v>
      </c>
      <c r="G273" s="2" t="s">
        <v>23</v>
      </c>
      <c r="H273" s="2">
        <v>41</v>
      </c>
      <c r="I273" s="7">
        <v>44.41</v>
      </c>
      <c r="J273" s="2">
        <v>0</v>
      </c>
      <c r="K273" s="7">
        <v>1820.81</v>
      </c>
      <c r="L273" s="2" t="s">
        <v>27</v>
      </c>
      <c r="M273" s="2" t="s">
        <v>2364</v>
      </c>
    </row>
    <row r="274" spans="1:13" x14ac:dyDescent="0.3">
      <c r="A274" s="2" t="s">
        <v>2121</v>
      </c>
      <c r="B274" s="5">
        <v>45848</v>
      </c>
      <c r="C274" s="2" t="s">
        <v>1410</v>
      </c>
      <c r="D274" s="2" t="s">
        <v>53</v>
      </c>
      <c r="E274" s="2" t="s">
        <v>134</v>
      </c>
      <c r="F274" s="2" t="s">
        <v>90</v>
      </c>
      <c r="G274" s="2" t="s">
        <v>23</v>
      </c>
      <c r="H274" s="2">
        <v>41</v>
      </c>
      <c r="I274" s="7">
        <v>44.98</v>
      </c>
      <c r="J274" s="2">
        <v>0</v>
      </c>
      <c r="K274" s="7">
        <v>1844.18</v>
      </c>
      <c r="L274" s="2" t="s">
        <v>2347</v>
      </c>
      <c r="M274" s="2" t="s">
        <v>2364</v>
      </c>
    </row>
    <row r="275" spans="1:13" x14ac:dyDescent="0.3">
      <c r="A275" s="2" t="s">
        <v>193</v>
      </c>
      <c r="B275" s="5">
        <v>45776</v>
      </c>
      <c r="C275" s="2" t="s">
        <v>194</v>
      </c>
      <c r="D275" s="2" t="s">
        <v>46</v>
      </c>
      <c r="E275" s="2" t="s">
        <v>83</v>
      </c>
      <c r="F275" s="2" t="s">
        <v>90</v>
      </c>
      <c r="G275" s="2" t="s">
        <v>23</v>
      </c>
      <c r="H275" s="2">
        <v>50</v>
      </c>
      <c r="I275" s="7">
        <v>42.28</v>
      </c>
      <c r="J275" s="2">
        <v>5</v>
      </c>
      <c r="K275" s="7">
        <v>2008.3</v>
      </c>
      <c r="L275" s="2" t="s">
        <v>31</v>
      </c>
      <c r="M275" s="2" t="s">
        <v>2364</v>
      </c>
    </row>
    <row r="276" spans="1:13" x14ac:dyDescent="0.3">
      <c r="A276" s="2" t="s">
        <v>2014</v>
      </c>
      <c r="B276" s="5">
        <v>45978</v>
      </c>
      <c r="C276" s="2" t="s">
        <v>2015</v>
      </c>
      <c r="D276" s="2" t="s">
        <v>46</v>
      </c>
      <c r="E276" s="2" t="s">
        <v>124</v>
      </c>
      <c r="F276" s="2" t="s">
        <v>90</v>
      </c>
      <c r="G276" s="2" t="s">
        <v>23</v>
      </c>
      <c r="H276" s="2">
        <v>48</v>
      </c>
      <c r="I276" s="7">
        <v>41.84</v>
      </c>
      <c r="J276" s="2">
        <v>0</v>
      </c>
      <c r="K276" s="7">
        <v>2008.32</v>
      </c>
      <c r="L276" s="2" t="s">
        <v>49</v>
      </c>
      <c r="M276" s="2" t="s">
        <v>2364</v>
      </c>
    </row>
    <row r="277" spans="1:13" x14ac:dyDescent="0.3">
      <c r="A277" s="2" t="s">
        <v>2317</v>
      </c>
      <c r="B277" s="5">
        <v>45969</v>
      </c>
      <c r="C277" s="2" t="s">
        <v>2318</v>
      </c>
      <c r="D277" s="2" t="s">
        <v>53</v>
      </c>
      <c r="E277" s="2" t="s">
        <v>141</v>
      </c>
      <c r="F277" s="2" t="s">
        <v>22</v>
      </c>
      <c r="G277" s="2" t="s">
        <v>23</v>
      </c>
      <c r="H277" s="2">
        <v>1</v>
      </c>
      <c r="I277" s="7">
        <v>26.83</v>
      </c>
      <c r="J277" s="2">
        <v>0</v>
      </c>
      <c r="K277" s="7">
        <v>26.83</v>
      </c>
      <c r="L277" s="2" t="s">
        <v>69</v>
      </c>
      <c r="M277" s="2" t="s">
        <v>2364</v>
      </c>
    </row>
    <row r="278" spans="1:13" x14ac:dyDescent="0.3">
      <c r="A278" s="2" t="s">
        <v>1600</v>
      </c>
      <c r="B278" s="5">
        <v>46047</v>
      </c>
      <c r="C278" s="2" t="s">
        <v>1601</v>
      </c>
      <c r="D278" s="2" t="s">
        <v>53</v>
      </c>
      <c r="E278" s="2" t="s">
        <v>54</v>
      </c>
      <c r="F278" s="2" t="s">
        <v>22</v>
      </c>
      <c r="G278" s="2" t="s">
        <v>23</v>
      </c>
      <c r="H278" s="2">
        <v>1</v>
      </c>
      <c r="I278" s="7">
        <v>37.9</v>
      </c>
      <c r="J278" s="2">
        <v>5</v>
      </c>
      <c r="K278" s="7">
        <v>36</v>
      </c>
      <c r="L278" s="2" t="s">
        <v>49</v>
      </c>
      <c r="M278" s="2" t="s">
        <v>2364</v>
      </c>
    </row>
    <row r="279" spans="1:13" x14ac:dyDescent="0.3">
      <c r="A279" s="2" t="s">
        <v>1732</v>
      </c>
      <c r="B279" s="5">
        <v>46076</v>
      </c>
      <c r="C279" s="2" t="s">
        <v>1733</v>
      </c>
      <c r="D279" s="2" t="s">
        <v>16</v>
      </c>
      <c r="E279" s="2" t="s">
        <v>160</v>
      </c>
      <c r="F279" s="2" t="s">
        <v>22</v>
      </c>
      <c r="G279" s="2" t="s">
        <v>23</v>
      </c>
      <c r="H279" s="2">
        <v>2</v>
      </c>
      <c r="I279" s="7">
        <v>21.65</v>
      </c>
      <c r="J279" s="2">
        <v>10</v>
      </c>
      <c r="K279" s="7">
        <v>38.97</v>
      </c>
      <c r="L279" s="2" t="s">
        <v>69</v>
      </c>
      <c r="M279" s="2" t="s">
        <v>2365</v>
      </c>
    </row>
    <row r="280" spans="1:13" x14ac:dyDescent="0.3">
      <c r="A280" s="2" t="s">
        <v>378</v>
      </c>
      <c r="B280" s="5">
        <v>46188</v>
      </c>
      <c r="C280" s="2" t="s">
        <v>379</v>
      </c>
      <c r="D280" s="2" t="s">
        <v>16</v>
      </c>
      <c r="E280" s="2" t="s">
        <v>111</v>
      </c>
      <c r="F280" s="2" t="s">
        <v>22</v>
      </c>
      <c r="G280" s="2" t="s">
        <v>23</v>
      </c>
      <c r="H280" s="2">
        <v>2</v>
      </c>
      <c r="I280" s="7">
        <v>33.409999999999997</v>
      </c>
      <c r="J280" s="2">
        <v>10</v>
      </c>
      <c r="K280" s="7">
        <v>60.14</v>
      </c>
      <c r="L280" s="2" t="s">
        <v>49</v>
      </c>
      <c r="M280" s="2" t="s">
        <v>2364</v>
      </c>
    </row>
    <row r="281" spans="1:13" x14ac:dyDescent="0.3">
      <c r="A281" s="2" t="s">
        <v>1493</v>
      </c>
      <c r="B281" s="5">
        <v>45846</v>
      </c>
      <c r="C281" s="2" t="s">
        <v>1099</v>
      </c>
      <c r="D281" s="2" t="s">
        <v>46</v>
      </c>
      <c r="E281" s="2" t="s">
        <v>47</v>
      </c>
      <c r="F281" s="2" t="s">
        <v>22</v>
      </c>
      <c r="G281" s="2" t="s">
        <v>23</v>
      </c>
      <c r="H281" s="2">
        <v>3</v>
      </c>
      <c r="I281" s="7">
        <v>32.42</v>
      </c>
      <c r="J281" s="2">
        <v>0</v>
      </c>
      <c r="K281" s="7">
        <v>97.26</v>
      </c>
      <c r="L281" s="2" t="s">
        <v>69</v>
      </c>
      <c r="M281" s="2" t="s">
        <v>2364</v>
      </c>
    </row>
    <row r="282" spans="1:13" x14ac:dyDescent="0.3">
      <c r="A282" s="2" t="s">
        <v>1032</v>
      </c>
      <c r="B282" s="5">
        <v>46115</v>
      </c>
      <c r="C282" s="2" t="s">
        <v>188</v>
      </c>
      <c r="D282" s="2" t="s">
        <v>53</v>
      </c>
      <c r="E282" s="2" t="s">
        <v>170</v>
      </c>
      <c r="F282" s="2" t="s">
        <v>22</v>
      </c>
      <c r="G282" s="2" t="s">
        <v>23</v>
      </c>
      <c r="H282" s="2">
        <v>8</v>
      </c>
      <c r="I282" s="7">
        <v>15.3</v>
      </c>
      <c r="J282" s="2">
        <v>20</v>
      </c>
      <c r="K282" s="7">
        <v>97.92</v>
      </c>
      <c r="L282" s="2" t="s">
        <v>69</v>
      </c>
      <c r="M282" s="2" t="s">
        <v>2364</v>
      </c>
    </row>
    <row r="283" spans="1:13" x14ac:dyDescent="0.3">
      <c r="A283" s="2" t="s">
        <v>2019</v>
      </c>
      <c r="B283" s="5">
        <v>46201</v>
      </c>
      <c r="C283" s="2" t="s">
        <v>2020</v>
      </c>
      <c r="D283" s="2" t="s">
        <v>16</v>
      </c>
      <c r="E283" s="2" t="s">
        <v>17</v>
      </c>
      <c r="F283" s="2" t="s">
        <v>22</v>
      </c>
      <c r="G283" s="2" t="s">
        <v>23</v>
      </c>
      <c r="H283" s="2">
        <v>4</v>
      </c>
      <c r="I283" s="7">
        <v>30.73</v>
      </c>
      <c r="J283" s="2">
        <v>0</v>
      </c>
      <c r="K283" s="7">
        <v>122.92</v>
      </c>
      <c r="L283" s="2" t="s">
        <v>69</v>
      </c>
      <c r="M283" s="2" t="s">
        <v>2365</v>
      </c>
    </row>
    <row r="284" spans="1:13" x14ac:dyDescent="0.3">
      <c r="A284" s="2" t="s">
        <v>1854</v>
      </c>
      <c r="B284" s="5">
        <v>45924</v>
      </c>
      <c r="C284" s="2" t="s">
        <v>1855</v>
      </c>
      <c r="D284" s="2" t="s">
        <v>24</v>
      </c>
      <c r="E284" s="2" t="s">
        <v>41</v>
      </c>
      <c r="F284" s="2" t="s">
        <v>22</v>
      </c>
      <c r="G284" s="2" t="s">
        <v>23</v>
      </c>
      <c r="H284" s="2">
        <v>6</v>
      </c>
      <c r="I284" s="7">
        <v>21.21</v>
      </c>
      <c r="J284" s="2">
        <v>0</v>
      </c>
      <c r="K284" s="7">
        <v>127.26</v>
      </c>
      <c r="L284" s="2" t="s">
        <v>27</v>
      </c>
      <c r="M284" s="2" t="s">
        <v>2364</v>
      </c>
    </row>
    <row r="285" spans="1:13" x14ac:dyDescent="0.3">
      <c r="A285" s="2" t="s">
        <v>2337</v>
      </c>
      <c r="B285" s="5">
        <v>46155</v>
      </c>
      <c r="C285" s="2" t="s">
        <v>1078</v>
      </c>
      <c r="D285" s="2" t="s">
        <v>53</v>
      </c>
      <c r="E285" s="2" t="s">
        <v>134</v>
      </c>
      <c r="F285" s="2" t="s">
        <v>22</v>
      </c>
      <c r="G285" s="2" t="s">
        <v>23</v>
      </c>
      <c r="H285" s="2">
        <v>10</v>
      </c>
      <c r="I285" s="7">
        <v>16.670000000000002</v>
      </c>
      <c r="J285" s="2">
        <v>0</v>
      </c>
      <c r="K285" s="7">
        <v>166.7</v>
      </c>
      <c r="L285" s="2" t="s">
        <v>49</v>
      </c>
      <c r="M285" s="2" t="s">
        <v>2365</v>
      </c>
    </row>
    <row r="286" spans="1:13" x14ac:dyDescent="0.3">
      <c r="A286" s="2" t="s">
        <v>1380</v>
      </c>
      <c r="B286" s="5">
        <v>46201</v>
      </c>
      <c r="C286" s="2" t="s">
        <v>1377</v>
      </c>
      <c r="D286" s="2" t="s">
        <v>53</v>
      </c>
      <c r="E286" s="2" t="s">
        <v>54</v>
      </c>
      <c r="F286" s="2" t="s">
        <v>22</v>
      </c>
      <c r="G286" s="2" t="s">
        <v>23</v>
      </c>
      <c r="H286" s="2">
        <v>11</v>
      </c>
      <c r="I286" s="7">
        <v>15.3</v>
      </c>
      <c r="J286" s="2">
        <v>0</v>
      </c>
      <c r="K286" s="7">
        <v>168.3</v>
      </c>
      <c r="L286" s="2" t="s">
        <v>49</v>
      </c>
      <c r="M286" s="2" t="s">
        <v>2364</v>
      </c>
    </row>
    <row r="287" spans="1:13" x14ac:dyDescent="0.3">
      <c r="A287" s="2" t="s">
        <v>1897</v>
      </c>
      <c r="B287" s="5">
        <v>45989</v>
      </c>
      <c r="C287" s="2" t="s">
        <v>1620</v>
      </c>
      <c r="D287" s="2" t="s">
        <v>46</v>
      </c>
      <c r="E287" s="2" t="s">
        <v>244</v>
      </c>
      <c r="F287" s="2" t="s">
        <v>22</v>
      </c>
      <c r="G287" s="2" t="s">
        <v>23</v>
      </c>
      <c r="H287" s="2">
        <v>7</v>
      </c>
      <c r="I287" s="7">
        <v>34.89</v>
      </c>
      <c r="J287" s="2">
        <v>0</v>
      </c>
      <c r="K287" s="7">
        <v>244.23</v>
      </c>
      <c r="L287" s="2" t="s">
        <v>49</v>
      </c>
      <c r="M287" s="2" t="s">
        <v>2365</v>
      </c>
    </row>
    <row r="288" spans="1:13" x14ac:dyDescent="0.3">
      <c r="A288" s="2" t="s">
        <v>828</v>
      </c>
      <c r="B288" s="5">
        <v>45861</v>
      </c>
      <c r="C288" s="2" t="s">
        <v>829</v>
      </c>
      <c r="D288" s="2" t="s">
        <v>16</v>
      </c>
      <c r="E288" s="2" t="s">
        <v>91</v>
      </c>
      <c r="F288" s="2" t="s">
        <v>22</v>
      </c>
      <c r="G288" s="2" t="s">
        <v>23</v>
      </c>
      <c r="H288" s="2">
        <v>17</v>
      </c>
      <c r="I288" s="7">
        <v>15.97</v>
      </c>
      <c r="J288" s="2">
        <v>10</v>
      </c>
      <c r="K288" s="7">
        <v>244.34</v>
      </c>
      <c r="L288" s="2" t="s">
        <v>69</v>
      </c>
      <c r="M288" s="2" t="s">
        <v>2364</v>
      </c>
    </row>
    <row r="289" spans="1:13" x14ac:dyDescent="0.3">
      <c r="A289" s="2" t="s">
        <v>222</v>
      </c>
      <c r="B289" s="5">
        <v>45607</v>
      </c>
      <c r="C289" s="2" t="s">
        <v>223</v>
      </c>
      <c r="D289" s="2" t="s">
        <v>24</v>
      </c>
      <c r="E289" s="2" t="s">
        <v>59</v>
      </c>
      <c r="F289" s="2" t="s">
        <v>22</v>
      </c>
      <c r="G289" s="2" t="s">
        <v>23</v>
      </c>
      <c r="H289" s="2">
        <v>9</v>
      </c>
      <c r="I289" s="7">
        <v>29.09</v>
      </c>
      <c r="J289" s="2">
        <v>0</v>
      </c>
      <c r="K289" s="7">
        <v>261.81</v>
      </c>
      <c r="L289" s="2" t="s">
        <v>31</v>
      </c>
      <c r="M289" s="2" t="s">
        <v>2364</v>
      </c>
    </row>
    <row r="290" spans="1:13" x14ac:dyDescent="0.3">
      <c r="A290" s="2" t="s">
        <v>2094</v>
      </c>
      <c r="B290" s="5">
        <v>46197</v>
      </c>
      <c r="C290" s="2" t="s">
        <v>797</v>
      </c>
      <c r="D290" s="2" t="s">
        <v>24</v>
      </c>
      <c r="E290" s="2" t="s">
        <v>104</v>
      </c>
      <c r="F290" s="2" t="s">
        <v>22</v>
      </c>
      <c r="G290" s="2" t="s">
        <v>23</v>
      </c>
      <c r="H290" s="2">
        <v>10</v>
      </c>
      <c r="I290" s="7">
        <v>31.52</v>
      </c>
      <c r="J290" s="2">
        <v>10</v>
      </c>
      <c r="K290" s="7">
        <v>283.68</v>
      </c>
      <c r="L290" s="2" t="s">
        <v>2347</v>
      </c>
      <c r="M290" s="2" t="s">
        <v>2364</v>
      </c>
    </row>
    <row r="291" spans="1:13" x14ac:dyDescent="0.3">
      <c r="A291" s="2" t="s">
        <v>2282</v>
      </c>
      <c r="B291" s="5">
        <v>45613</v>
      </c>
      <c r="C291" s="2" t="s">
        <v>400</v>
      </c>
      <c r="D291" s="2" t="s">
        <v>24</v>
      </c>
      <c r="E291" s="2" t="s">
        <v>36</v>
      </c>
      <c r="F291" s="2" t="s">
        <v>22</v>
      </c>
      <c r="G291" s="2" t="s">
        <v>23</v>
      </c>
      <c r="H291" s="2">
        <v>11</v>
      </c>
      <c r="I291" s="7">
        <v>27.31</v>
      </c>
      <c r="J291" s="2">
        <v>0</v>
      </c>
      <c r="K291" s="7">
        <v>300.41000000000003</v>
      </c>
      <c r="L291" s="2" t="s">
        <v>27</v>
      </c>
      <c r="M291" s="2" t="s">
        <v>2364</v>
      </c>
    </row>
    <row r="292" spans="1:13" x14ac:dyDescent="0.3">
      <c r="A292" s="2" t="s">
        <v>1597</v>
      </c>
      <c r="B292" s="5">
        <v>46072</v>
      </c>
      <c r="C292" s="2" t="s">
        <v>1061</v>
      </c>
      <c r="D292" s="2" t="s">
        <v>46</v>
      </c>
      <c r="E292" s="2" t="s">
        <v>124</v>
      </c>
      <c r="F292" s="2" t="s">
        <v>22</v>
      </c>
      <c r="G292" s="2" t="s">
        <v>23</v>
      </c>
      <c r="H292" s="2">
        <v>9</v>
      </c>
      <c r="I292" s="7">
        <v>39.04</v>
      </c>
      <c r="J292" s="2">
        <v>10</v>
      </c>
      <c r="K292" s="7">
        <v>316.22000000000003</v>
      </c>
      <c r="L292" s="2" t="s">
        <v>2347</v>
      </c>
      <c r="M292" s="2" t="s">
        <v>2364</v>
      </c>
    </row>
    <row r="293" spans="1:13" x14ac:dyDescent="0.3">
      <c r="A293" s="2" t="s">
        <v>1954</v>
      </c>
      <c r="B293" s="5">
        <v>46049</v>
      </c>
      <c r="C293" s="2" t="s">
        <v>1955</v>
      </c>
      <c r="D293" s="2" t="s">
        <v>16</v>
      </c>
      <c r="E293" s="2" t="s">
        <v>17</v>
      </c>
      <c r="F293" s="2" t="s">
        <v>22</v>
      </c>
      <c r="G293" s="2" t="s">
        <v>23</v>
      </c>
      <c r="H293" s="2">
        <v>24</v>
      </c>
      <c r="I293" s="7">
        <v>16.18</v>
      </c>
      <c r="J293" s="2">
        <v>10</v>
      </c>
      <c r="K293" s="7">
        <v>349.49</v>
      </c>
      <c r="L293" s="2" t="s">
        <v>31</v>
      </c>
      <c r="M293" s="2" t="s">
        <v>2365</v>
      </c>
    </row>
    <row r="294" spans="1:13" x14ac:dyDescent="0.3">
      <c r="A294" s="2" t="s">
        <v>1740</v>
      </c>
      <c r="B294" s="5">
        <v>46000</v>
      </c>
      <c r="C294" s="2" t="s">
        <v>1741</v>
      </c>
      <c r="D294" s="2" t="s">
        <v>24</v>
      </c>
      <c r="E294" s="2" t="s">
        <v>104</v>
      </c>
      <c r="F294" s="2" t="s">
        <v>22</v>
      </c>
      <c r="G294" s="2" t="s">
        <v>23</v>
      </c>
      <c r="H294" s="2">
        <v>14</v>
      </c>
      <c r="I294" s="7">
        <v>25.31</v>
      </c>
      <c r="J294" s="2">
        <v>0</v>
      </c>
      <c r="K294" s="7">
        <v>354.34</v>
      </c>
      <c r="L294" s="2" t="s">
        <v>2347</v>
      </c>
      <c r="M294" s="2" t="s">
        <v>2365</v>
      </c>
    </row>
    <row r="295" spans="1:13" x14ac:dyDescent="0.3">
      <c r="A295" s="2" t="s">
        <v>410</v>
      </c>
      <c r="B295" s="5">
        <v>45789</v>
      </c>
      <c r="C295" s="2" t="s">
        <v>411</v>
      </c>
      <c r="D295" s="2" t="s">
        <v>53</v>
      </c>
      <c r="E295" s="2" t="s">
        <v>54</v>
      </c>
      <c r="F295" s="2" t="s">
        <v>22</v>
      </c>
      <c r="G295" s="2" t="s">
        <v>23</v>
      </c>
      <c r="H295" s="2">
        <v>12</v>
      </c>
      <c r="I295" s="7">
        <v>34.020000000000003</v>
      </c>
      <c r="J295" s="2">
        <v>0</v>
      </c>
      <c r="K295" s="7">
        <v>408.24</v>
      </c>
      <c r="L295" s="2" t="s">
        <v>49</v>
      </c>
      <c r="M295" s="2" t="s">
        <v>2364</v>
      </c>
    </row>
    <row r="296" spans="1:13" x14ac:dyDescent="0.3">
      <c r="A296" s="2" t="s">
        <v>2137</v>
      </c>
      <c r="B296" s="5">
        <v>45671</v>
      </c>
      <c r="C296" s="2" t="s">
        <v>2138</v>
      </c>
      <c r="D296" s="2" t="s">
        <v>53</v>
      </c>
      <c r="E296" s="2" t="s">
        <v>141</v>
      </c>
      <c r="F296" s="2" t="s">
        <v>22</v>
      </c>
      <c r="G296" s="2" t="s">
        <v>23</v>
      </c>
      <c r="H296" s="2">
        <v>14</v>
      </c>
      <c r="I296" s="7">
        <v>37.65</v>
      </c>
      <c r="J296" s="2">
        <v>10</v>
      </c>
      <c r="K296" s="7">
        <v>474.39</v>
      </c>
      <c r="L296" s="2" t="s">
        <v>49</v>
      </c>
      <c r="M296" s="2" t="s">
        <v>2365</v>
      </c>
    </row>
    <row r="297" spans="1:13" x14ac:dyDescent="0.3">
      <c r="A297" s="2" t="s">
        <v>914</v>
      </c>
      <c r="B297" s="5">
        <v>45695</v>
      </c>
      <c r="C297" s="2" t="s">
        <v>703</v>
      </c>
      <c r="D297" s="2" t="s">
        <v>24</v>
      </c>
      <c r="E297" s="2" t="s">
        <v>25</v>
      </c>
      <c r="F297" s="2" t="s">
        <v>22</v>
      </c>
      <c r="G297" s="2" t="s">
        <v>23</v>
      </c>
      <c r="H297" s="2">
        <v>20</v>
      </c>
      <c r="I297" s="7">
        <v>24.98</v>
      </c>
      <c r="J297" s="2">
        <v>5</v>
      </c>
      <c r="K297" s="7">
        <v>474.62</v>
      </c>
      <c r="L297" s="2" t="s">
        <v>49</v>
      </c>
      <c r="M297" s="2" t="s">
        <v>2365</v>
      </c>
    </row>
    <row r="298" spans="1:13" x14ac:dyDescent="0.3">
      <c r="A298" s="2" t="s">
        <v>2188</v>
      </c>
      <c r="B298" s="5">
        <v>46050</v>
      </c>
      <c r="C298" s="2" t="s">
        <v>2189</v>
      </c>
      <c r="D298" s="2" t="s">
        <v>16</v>
      </c>
      <c r="E298" s="2" t="s">
        <v>111</v>
      </c>
      <c r="F298" s="2" t="s">
        <v>22</v>
      </c>
      <c r="G298" s="2" t="s">
        <v>23</v>
      </c>
      <c r="H298" s="2">
        <v>13</v>
      </c>
      <c r="I298" s="7">
        <v>36.67</v>
      </c>
      <c r="J298" s="2">
        <v>0</v>
      </c>
      <c r="K298" s="7">
        <v>476.71</v>
      </c>
      <c r="L298" s="2" t="s">
        <v>27</v>
      </c>
      <c r="M298" s="2" t="s">
        <v>2364</v>
      </c>
    </row>
    <row r="299" spans="1:13" x14ac:dyDescent="0.3">
      <c r="A299" s="2" t="s">
        <v>855</v>
      </c>
      <c r="B299" s="5">
        <v>45597</v>
      </c>
      <c r="C299" s="2" t="s">
        <v>856</v>
      </c>
      <c r="D299" s="2" t="s">
        <v>46</v>
      </c>
      <c r="E299" s="2" t="s">
        <v>83</v>
      </c>
      <c r="F299" s="2" t="s">
        <v>22</v>
      </c>
      <c r="G299" s="2" t="s">
        <v>23</v>
      </c>
      <c r="H299" s="2">
        <v>28</v>
      </c>
      <c r="I299" s="7">
        <v>20.100000000000001</v>
      </c>
      <c r="J299" s="2">
        <v>10</v>
      </c>
      <c r="K299" s="7">
        <v>506.52</v>
      </c>
      <c r="L299" s="2" t="s">
        <v>27</v>
      </c>
      <c r="M299" s="2" t="s">
        <v>2364</v>
      </c>
    </row>
    <row r="300" spans="1:13" x14ac:dyDescent="0.3">
      <c r="A300" s="2" t="s">
        <v>1424</v>
      </c>
      <c r="B300" s="5">
        <v>46273</v>
      </c>
      <c r="C300" s="2" t="s">
        <v>1425</v>
      </c>
      <c r="D300" s="2" t="s">
        <v>46</v>
      </c>
      <c r="E300" s="2" t="s">
        <v>83</v>
      </c>
      <c r="F300" s="2" t="s">
        <v>22</v>
      </c>
      <c r="G300" s="2" t="s">
        <v>23</v>
      </c>
      <c r="H300" s="2">
        <v>15</v>
      </c>
      <c r="I300" s="7">
        <v>34.18</v>
      </c>
      <c r="J300" s="2">
        <v>0</v>
      </c>
      <c r="K300" s="7">
        <v>512.70000000000005</v>
      </c>
      <c r="L300" s="2" t="s">
        <v>49</v>
      </c>
      <c r="M300" s="2" t="s">
        <v>2365</v>
      </c>
    </row>
    <row r="301" spans="1:13" x14ac:dyDescent="0.3">
      <c r="A301" s="2" t="s">
        <v>845</v>
      </c>
      <c r="B301" s="5">
        <v>45978</v>
      </c>
      <c r="C301" s="2" t="s">
        <v>760</v>
      </c>
      <c r="D301" s="2" t="s">
        <v>24</v>
      </c>
      <c r="E301" s="2" t="s">
        <v>59</v>
      </c>
      <c r="F301" s="2" t="s">
        <v>22</v>
      </c>
      <c r="G301" s="2" t="s">
        <v>23</v>
      </c>
      <c r="H301" s="2">
        <v>42</v>
      </c>
      <c r="I301" s="7">
        <v>15.8</v>
      </c>
      <c r="J301" s="2">
        <v>20</v>
      </c>
      <c r="K301" s="7">
        <v>530.88</v>
      </c>
      <c r="L301" s="2" t="s">
        <v>49</v>
      </c>
      <c r="M301" s="2" t="s">
        <v>2364</v>
      </c>
    </row>
    <row r="302" spans="1:13" x14ac:dyDescent="0.3">
      <c r="A302" s="2" t="s">
        <v>1968</v>
      </c>
      <c r="B302" s="5">
        <v>45597</v>
      </c>
      <c r="C302" s="2" t="s">
        <v>1969</v>
      </c>
      <c r="D302" s="2" t="s">
        <v>53</v>
      </c>
      <c r="E302" s="2" t="s">
        <v>54</v>
      </c>
      <c r="F302" s="2" t="s">
        <v>22</v>
      </c>
      <c r="G302" s="2" t="s">
        <v>23</v>
      </c>
      <c r="H302" s="2">
        <v>29</v>
      </c>
      <c r="I302" s="7">
        <v>20.38</v>
      </c>
      <c r="J302" s="2">
        <v>10</v>
      </c>
      <c r="K302" s="7">
        <v>531.91999999999996</v>
      </c>
      <c r="L302" s="2" t="s">
        <v>27</v>
      </c>
      <c r="M302" s="2" t="s">
        <v>2364</v>
      </c>
    </row>
    <row r="303" spans="1:13" x14ac:dyDescent="0.3">
      <c r="A303" s="2" t="s">
        <v>892</v>
      </c>
      <c r="B303" s="5">
        <v>46254</v>
      </c>
      <c r="C303" s="2" t="s">
        <v>893</v>
      </c>
      <c r="D303" s="2" t="s">
        <v>24</v>
      </c>
      <c r="E303" s="2" t="s">
        <v>59</v>
      </c>
      <c r="F303" s="2" t="s">
        <v>22</v>
      </c>
      <c r="G303" s="2" t="s">
        <v>23</v>
      </c>
      <c r="H303" s="2">
        <v>43</v>
      </c>
      <c r="I303" s="7">
        <v>16.190000000000001</v>
      </c>
      <c r="J303" s="2">
        <v>20</v>
      </c>
      <c r="K303" s="7">
        <v>556.94000000000005</v>
      </c>
      <c r="L303" s="2" t="s">
        <v>69</v>
      </c>
      <c r="M303" s="2" t="s">
        <v>2365</v>
      </c>
    </row>
    <row r="304" spans="1:13" x14ac:dyDescent="0.3">
      <c r="A304" s="2" t="s">
        <v>931</v>
      </c>
      <c r="B304" s="5">
        <v>45937</v>
      </c>
      <c r="C304" s="2" t="s">
        <v>932</v>
      </c>
      <c r="D304" s="2" t="s">
        <v>16</v>
      </c>
      <c r="E304" s="2" t="s">
        <v>160</v>
      </c>
      <c r="F304" s="2" t="s">
        <v>22</v>
      </c>
      <c r="G304" s="2" t="s">
        <v>23</v>
      </c>
      <c r="H304" s="2">
        <v>24</v>
      </c>
      <c r="I304" s="7">
        <v>29.35</v>
      </c>
      <c r="J304" s="2">
        <v>20</v>
      </c>
      <c r="K304" s="7">
        <v>563.52</v>
      </c>
      <c r="L304" s="2" t="s">
        <v>2347</v>
      </c>
      <c r="M304" s="2" t="s">
        <v>2364</v>
      </c>
    </row>
    <row r="305" spans="1:13" x14ac:dyDescent="0.3">
      <c r="A305" s="2" t="s">
        <v>1760</v>
      </c>
      <c r="B305" s="5">
        <v>45748</v>
      </c>
      <c r="C305" s="2" t="s">
        <v>705</v>
      </c>
      <c r="D305" s="2" t="s">
        <v>46</v>
      </c>
      <c r="E305" s="2" t="s">
        <v>124</v>
      </c>
      <c r="F305" s="2" t="s">
        <v>22</v>
      </c>
      <c r="G305" s="2" t="s">
        <v>23</v>
      </c>
      <c r="H305" s="2">
        <v>31</v>
      </c>
      <c r="I305" s="7">
        <v>20.48</v>
      </c>
      <c r="J305" s="2">
        <v>5</v>
      </c>
      <c r="K305" s="7">
        <v>603.14</v>
      </c>
      <c r="L305" s="2" t="s">
        <v>69</v>
      </c>
      <c r="M305" s="2" t="s">
        <v>2364</v>
      </c>
    </row>
    <row r="306" spans="1:13" x14ac:dyDescent="0.3">
      <c r="A306" s="2" t="s">
        <v>576</v>
      </c>
      <c r="B306" s="5">
        <v>46256</v>
      </c>
      <c r="C306" s="2" t="s">
        <v>577</v>
      </c>
      <c r="D306" s="2" t="s">
        <v>46</v>
      </c>
      <c r="E306" s="2" t="s">
        <v>83</v>
      </c>
      <c r="F306" s="2" t="s">
        <v>22</v>
      </c>
      <c r="G306" s="2" t="s">
        <v>23</v>
      </c>
      <c r="H306" s="2">
        <v>17</v>
      </c>
      <c r="I306" s="7">
        <v>35.56</v>
      </c>
      <c r="J306" s="2">
        <v>0</v>
      </c>
      <c r="K306" s="7">
        <v>604.52</v>
      </c>
      <c r="L306" s="2" t="s">
        <v>49</v>
      </c>
      <c r="M306" s="2" t="s">
        <v>2364</v>
      </c>
    </row>
    <row r="307" spans="1:13" x14ac:dyDescent="0.3">
      <c r="A307" s="2" t="s">
        <v>1475</v>
      </c>
      <c r="B307" s="5">
        <v>46132</v>
      </c>
      <c r="C307" s="2" t="s">
        <v>1476</v>
      </c>
      <c r="D307" s="2" t="s">
        <v>46</v>
      </c>
      <c r="E307" s="2" t="s">
        <v>83</v>
      </c>
      <c r="F307" s="2" t="s">
        <v>22</v>
      </c>
      <c r="G307" s="2" t="s">
        <v>23</v>
      </c>
      <c r="H307" s="2">
        <v>33</v>
      </c>
      <c r="I307" s="7">
        <v>20.47</v>
      </c>
      <c r="J307" s="2">
        <v>10</v>
      </c>
      <c r="K307" s="7">
        <v>607.96</v>
      </c>
      <c r="L307" s="2" t="s">
        <v>69</v>
      </c>
      <c r="M307" s="2" t="s">
        <v>2364</v>
      </c>
    </row>
    <row r="308" spans="1:13" x14ac:dyDescent="0.3">
      <c r="A308" s="2" t="s">
        <v>1769</v>
      </c>
      <c r="B308" s="5">
        <v>46135</v>
      </c>
      <c r="C308" s="2" t="s">
        <v>1770</v>
      </c>
      <c r="D308" s="2" t="s">
        <v>46</v>
      </c>
      <c r="E308" s="2" t="s">
        <v>47</v>
      </c>
      <c r="F308" s="2" t="s">
        <v>22</v>
      </c>
      <c r="G308" s="2" t="s">
        <v>23</v>
      </c>
      <c r="H308" s="2">
        <v>20</v>
      </c>
      <c r="I308" s="7">
        <v>37.33</v>
      </c>
      <c r="J308" s="2">
        <v>10</v>
      </c>
      <c r="K308" s="7">
        <v>671.94</v>
      </c>
      <c r="L308" s="2" t="s">
        <v>27</v>
      </c>
      <c r="M308" s="2" t="s">
        <v>2365</v>
      </c>
    </row>
    <row r="309" spans="1:13" x14ac:dyDescent="0.3">
      <c r="A309" s="2" t="s">
        <v>624</v>
      </c>
      <c r="B309" s="5">
        <v>45666</v>
      </c>
      <c r="C309" s="2" t="s">
        <v>625</v>
      </c>
      <c r="D309" s="2" t="s">
        <v>24</v>
      </c>
      <c r="E309" s="2" t="s">
        <v>104</v>
      </c>
      <c r="F309" s="2" t="s">
        <v>22</v>
      </c>
      <c r="G309" s="2" t="s">
        <v>23</v>
      </c>
      <c r="H309" s="2">
        <v>25</v>
      </c>
      <c r="I309" s="7">
        <v>27.22</v>
      </c>
      <c r="J309" s="2">
        <v>0</v>
      </c>
      <c r="K309" s="7">
        <v>680.5</v>
      </c>
      <c r="L309" s="2" t="s">
        <v>31</v>
      </c>
      <c r="M309" s="2" t="s">
        <v>2365</v>
      </c>
    </row>
    <row r="310" spans="1:13" x14ac:dyDescent="0.3">
      <c r="A310" s="2" t="s">
        <v>649</v>
      </c>
      <c r="B310" s="5">
        <v>45722</v>
      </c>
      <c r="C310" s="2" t="s">
        <v>650</v>
      </c>
      <c r="D310" s="2" t="s">
        <v>24</v>
      </c>
      <c r="E310" s="2" t="s">
        <v>104</v>
      </c>
      <c r="F310" s="2" t="s">
        <v>22</v>
      </c>
      <c r="G310" s="2" t="s">
        <v>23</v>
      </c>
      <c r="H310" s="2">
        <v>34</v>
      </c>
      <c r="I310" s="7">
        <v>20.04</v>
      </c>
      <c r="J310" s="2">
        <v>0</v>
      </c>
      <c r="K310" s="7">
        <v>681.36</v>
      </c>
      <c r="L310" s="2" t="s">
        <v>69</v>
      </c>
      <c r="M310" s="2" t="s">
        <v>2364</v>
      </c>
    </row>
    <row r="311" spans="1:13" x14ac:dyDescent="0.3">
      <c r="A311" s="2" t="s">
        <v>2234</v>
      </c>
      <c r="B311" s="5">
        <v>45904</v>
      </c>
      <c r="C311" s="2" t="s">
        <v>2235</v>
      </c>
      <c r="D311" s="2" t="s">
        <v>24</v>
      </c>
      <c r="E311" s="2" t="s">
        <v>104</v>
      </c>
      <c r="F311" s="2" t="s">
        <v>22</v>
      </c>
      <c r="G311" s="2" t="s">
        <v>23</v>
      </c>
      <c r="H311" s="2">
        <v>31</v>
      </c>
      <c r="I311" s="7">
        <v>22.48</v>
      </c>
      <c r="J311" s="2">
        <v>0</v>
      </c>
      <c r="K311" s="7">
        <v>696.88</v>
      </c>
      <c r="L311" s="2" t="s">
        <v>69</v>
      </c>
      <c r="M311" s="2" t="s">
        <v>2365</v>
      </c>
    </row>
    <row r="312" spans="1:13" x14ac:dyDescent="0.3">
      <c r="A312" s="2" t="s">
        <v>527</v>
      </c>
      <c r="B312" s="5">
        <v>45679</v>
      </c>
      <c r="C312" s="2" t="s">
        <v>528</v>
      </c>
      <c r="D312" s="2" t="s">
        <v>16</v>
      </c>
      <c r="E312" s="2" t="s">
        <v>111</v>
      </c>
      <c r="F312" s="2" t="s">
        <v>22</v>
      </c>
      <c r="G312" s="2" t="s">
        <v>23</v>
      </c>
      <c r="H312" s="2">
        <v>29</v>
      </c>
      <c r="I312" s="7">
        <v>31.02</v>
      </c>
      <c r="J312" s="2">
        <v>20</v>
      </c>
      <c r="K312" s="7">
        <v>719.66</v>
      </c>
      <c r="L312" s="2" t="s">
        <v>2347</v>
      </c>
      <c r="M312" s="2" t="s">
        <v>2364</v>
      </c>
    </row>
    <row r="313" spans="1:13" x14ac:dyDescent="0.3">
      <c r="A313" s="2" t="s">
        <v>184</v>
      </c>
      <c r="B313" s="5">
        <v>46246</v>
      </c>
      <c r="C313" s="2" t="s">
        <v>185</v>
      </c>
      <c r="D313" s="2" t="s">
        <v>16</v>
      </c>
      <c r="E313" s="2" t="s">
        <v>74</v>
      </c>
      <c r="F313" s="2" t="s">
        <v>22</v>
      </c>
      <c r="G313" s="2" t="s">
        <v>23</v>
      </c>
      <c r="H313" s="2">
        <v>35</v>
      </c>
      <c r="I313" s="7">
        <v>22.63</v>
      </c>
      <c r="J313" s="2">
        <v>5</v>
      </c>
      <c r="K313" s="7">
        <v>752.45</v>
      </c>
      <c r="L313" s="2" t="s">
        <v>31</v>
      </c>
      <c r="M313" s="2" t="s">
        <v>2364</v>
      </c>
    </row>
    <row r="314" spans="1:13" x14ac:dyDescent="0.3">
      <c r="A314" s="2" t="s">
        <v>158</v>
      </c>
      <c r="B314" s="5">
        <v>46186</v>
      </c>
      <c r="C314" s="2" t="s">
        <v>159</v>
      </c>
      <c r="D314" s="2" t="s">
        <v>16</v>
      </c>
      <c r="E314" s="2" t="s">
        <v>160</v>
      </c>
      <c r="F314" s="2" t="s">
        <v>22</v>
      </c>
      <c r="G314" s="2" t="s">
        <v>23</v>
      </c>
      <c r="H314" s="2">
        <v>27</v>
      </c>
      <c r="I314" s="7">
        <v>29.9</v>
      </c>
      <c r="J314" s="2">
        <v>5</v>
      </c>
      <c r="K314" s="7">
        <v>766.94</v>
      </c>
      <c r="L314" s="2" t="s">
        <v>2347</v>
      </c>
      <c r="M314" s="2" t="s">
        <v>2364</v>
      </c>
    </row>
    <row r="315" spans="1:13" x14ac:dyDescent="0.3">
      <c r="A315" s="2" t="s">
        <v>1394</v>
      </c>
      <c r="B315" s="5">
        <v>46268</v>
      </c>
      <c r="C315" s="2" t="s">
        <v>1395</v>
      </c>
      <c r="D315" s="2" t="s">
        <v>46</v>
      </c>
      <c r="E315" s="2" t="s">
        <v>124</v>
      </c>
      <c r="F315" s="2" t="s">
        <v>22</v>
      </c>
      <c r="G315" s="2" t="s">
        <v>23</v>
      </c>
      <c r="H315" s="2">
        <v>29</v>
      </c>
      <c r="I315" s="7">
        <v>31.22</v>
      </c>
      <c r="J315" s="2">
        <v>15</v>
      </c>
      <c r="K315" s="7">
        <v>769.57</v>
      </c>
      <c r="L315" s="2" t="s">
        <v>2347</v>
      </c>
      <c r="M315" s="2" t="s">
        <v>2364</v>
      </c>
    </row>
    <row r="316" spans="1:13" x14ac:dyDescent="0.3">
      <c r="A316" s="2" t="s">
        <v>1147</v>
      </c>
      <c r="B316" s="5">
        <v>46291</v>
      </c>
      <c r="C316" s="2" t="s">
        <v>1148</v>
      </c>
      <c r="D316" s="2" t="s">
        <v>16</v>
      </c>
      <c r="E316" s="2" t="s">
        <v>91</v>
      </c>
      <c r="F316" s="2" t="s">
        <v>22</v>
      </c>
      <c r="G316" s="2" t="s">
        <v>23</v>
      </c>
      <c r="H316" s="2">
        <v>32</v>
      </c>
      <c r="I316" s="7">
        <v>27.59</v>
      </c>
      <c r="J316" s="2">
        <v>10</v>
      </c>
      <c r="K316" s="7">
        <v>794.59</v>
      </c>
      <c r="L316" s="2" t="s">
        <v>2347</v>
      </c>
      <c r="M316" s="2" t="s">
        <v>2365</v>
      </c>
    </row>
    <row r="317" spans="1:13" x14ac:dyDescent="0.3">
      <c r="A317" s="2" t="s">
        <v>446</v>
      </c>
      <c r="B317" s="5">
        <v>45642</v>
      </c>
      <c r="C317" s="2" t="s">
        <v>447</v>
      </c>
      <c r="D317" s="2" t="s">
        <v>53</v>
      </c>
      <c r="E317" s="2" t="s">
        <v>134</v>
      </c>
      <c r="F317" s="2" t="s">
        <v>22</v>
      </c>
      <c r="G317" s="2" t="s">
        <v>23</v>
      </c>
      <c r="H317" s="2">
        <v>30</v>
      </c>
      <c r="I317" s="7">
        <v>27.49</v>
      </c>
      <c r="J317" s="2">
        <v>0</v>
      </c>
      <c r="K317" s="7">
        <v>824.7</v>
      </c>
      <c r="L317" s="2" t="s">
        <v>2347</v>
      </c>
      <c r="M317" s="2" t="s">
        <v>2364</v>
      </c>
    </row>
    <row r="318" spans="1:13" x14ac:dyDescent="0.3">
      <c r="A318" s="2" t="s">
        <v>1938</v>
      </c>
      <c r="B318" s="5">
        <v>45658</v>
      </c>
      <c r="C318" s="2" t="s">
        <v>1939</v>
      </c>
      <c r="D318" s="2" t="s">
        <v>46</v>
      </c>
      <c r="E318" s="2" t="s">
        <v>47</v>
      </c>
      <c r="F318" s="2" t="s">
        <v>22</v>
      </c>
      <c r="G318" s="2" t="s">
        <v>23</v>
      </c>
      <c r="H318" s="2">
        <v>29</v>
      </c>
      <c r="I318" s="7">
        <v>30.4</v>
      </c>
      <c r="J318" s="2">
        <v>5</v>
      </c>
      <c r="K318" s="7">
        <v>837.52</v>
      </c>
      <c r="L318" s="2" t="s">
        <v>31</v>
      </c>
      <c r="M318" s="2" t="s">
        <v>2364</v>
      </c>
    </row>
    <row r="319" spans="1:13" x14ac:dyDescent="0.3">
      <c r="A319" s="2" t="s">
        <v>272</v>
      </c>
      <c r="B319" s="5">
        <v>45912</v>
      </c>
      <c r="C319" s="2" t="s">
        <v>273</v>
      </c>
      <c r="D319" s="2" t="s">
        <v>53</v>
      </c>
      <c r="E319" s="2" t="s">
        <v>134</v>
      </c>
      <c r="F319" s="2" t="s">
        <v>22</v>
      </c>
      <c r="G319" s="2" t="s">
        <v>23</v>
      </c>
      <c r="H319" s="2">
        <v>41</v>
      </c>
      <c r="I319" s="7">
        <v>26.32</v>
      </c>
      <c r="J319" s="2">
        <v>20</v>
      </c>
      <c r="K319" s="7">
        <v>863.3</v>
      </c>
      <c r="L319" s="2" t="s">
        <v>69</v>
      </c>
      <c r="M319" s="2" t="s">
        <v>2365</v>
      </c>
    </row>
    <row r="320" spans="1:13" x14ac:dyDescent="0.3">
      <c r="A320" s="2" t="s">
        <v>28</v>
      </c>
      <c r="B320" s="5">
        <v>46285</v>
      </c>
      <c r="C320" s="2" t="s">
        <v>29</v>
      </c>
      <c r="D320" s="2" t="s">
        <v>24</v>
      </c>
      <c r="E320" s="2" t="s">
        <v>25</v>
      </c>
      <c r="F320" s="2" t="s">
        <v>22</v>
      </c>
      <c r="G320" s="2" t="s">
        <v>23</v>
      </c>
      <c r="H320" s="2">
        <v>26</v>
      </c>
      <c r="I320" s="7">
        <v>38.75</v>
      </c>
      <c r="J320" s="2">
        <v>10</v>
      </c>
      <c r="K320" s="7">
        <v>906.75</v>
      </c>
      <c r="L320" s="2" t="s">
        <v>31</v>
      </c>
      <c r="M320" s="2" t="s">
        <v>2364</v>
      </c>
    </row>
    <row r="321" spans="1:13" x14ac:dyDescent="0.3">
      <c r="A321" s="2" t="s">
        <v>1617</v>
      </c>
      <c r="B321" s="5">
        <v>45923</v>
      </c>
      <c r="C321" s="2" t="s">
        <v>1618</v>
      </c>
      <c r="D321" s="2" t="s">
        <v>24</v>
      </c>
      <c r="E321" s="2" t="s">
        <v>104</v>
      </c>
      <c r="F321" s="2" t="s">
        <v>22</v>
      </c>
      <c r="G321" s="2" t="s">
        <v>23</v>
      </c>
      <c r="H321" s="2">
        <v>32</v>
      </c>
      <c r="I321" s="7">
        <v>33.56</v>
      </c>
      <c r="J321" s="2">
        <v>15</v>
      </c>
      <c r="K321" s="7">
        <v>912.83</v>
      </c>
      <c r="L321" s="2" t="s">
        <v>27</v>
      </c>
      <c r="M321" s="2" t="s">
        <v>2364</v>
      </c>
    </row>
    <row r="322" spans="1:13" x14ac:dyDescent="0.3">
      <c r="A322" s="2" t="s">
        <v>2191</v>
      </c>
      <c r="B322" s="5">
        <v>46220</v>
      </c>
      <c r="C322" s="2" t="s">
        <v>2192</v>
      </c>
      <c r="D322" s="2" t="s">
        <v>53</v>
      </c>
      <c r="E322" s="2" t="s">
        <v>170</v>
      </c>
      <c r="F322" s="2" t="s">
        <v>22</v>
      </c>
      <c r="G322" s="2" t="s">
        <v>23</v>
      </c>
      <c r="H322" s="2">
        <v>45</v>
      </c>
      <c r="I322" s="7">
        <v>23.1</v>
      </c>
      <c r="J322" s="2">
        <v>10</v>
      </c>
      <c r="K322" s="7">
        <v>935.55</v>
      </c>
      <c r="L322" s="2" t="s">
        <v>2347</v>
      </c>
      <c r="M322" s="2" t="s">
        <v>2364</v>
      </c>
    </row>
    <row r="323" spans="1:13" x14ac:dyDescent="0.3">
      <c r="A323" s="2" t="s">
        <v>1161</v>
      </c>
      <c r="B323" s="5">
        <v>46161</v>
      </c>
      <c r="C323" s="2" t="s">
        <v>1162</v>
      </c>
      <c r="D323" s="2" t="s">
        <v>46</v>
      </c>
      <c r="E323" s="2" t="s">
        <v>124</v>
      </c>
      <c r="F323" s="2" t="s">
        <v>22</v>
      </c>
      <c r="G323" s="2" t="s">
        <v>23</v>
      </c>
      <c r="H323" s="2">
        <v>34</v>
      </c>
      <c r="I323" s="7">
        <v>32.479999999999997</v>
      </c>
      <c r="J323" s="2">
        <v>10</v>
      </c>
      <c r="K323" s="7">
        <v>993.89</v>
      </c>
      <c r="L323" s="2" t="s">
        <v>2347</v>
      </c>
      <c r="M323" s="2" t="s">
        <v>2365</v>
      </c>
    </row>
    <row r="324" spans="1:13" x14ac:dyDescent="0.3">
      <c r="A324" s="2" t="s">
        <v>1101</v>
      </c>
      <c r="B324" s="5">
        <v>46116</v>
      </c>
      <c r="C324" s="2" t="s">
        <v>1102</v>
      </c>
      <c r="D324" s="2" t="s">
        <v>53</v>
      </c>
      <c r="E324" s="2" t="s">
        <v>67</v>
      </c>
      <c r="F324" s="2" t="s">
        <v>22</v>
      </c>
      <c r="G324" s="2" t="s">
        <v>23</v>
      </c>
      <c r="H324" s="2">
        <v>44</v>
      </c>
      <c r="I324" s="7">
        <v>22.69</v>
      </c>
      <c r="J324" s="2">
        <v>0</v>
      </c>
      <c r="K324" s="7">
        <v>998.36</v>
      </c>
      <c r="L324" s="2" t="s">
        <v>2347</v>
      </c>
      <c r="M324" s="2" t="s">
        <v>2364</v>
      </c>
    </row>
    <row r="325" spans="1:13" x14ac:dyDescent="0.3">
      <c r="A325" s="2" t="s">
        <v>1546</v>
      </c>
      <c r="B325" s="5">
        <v>46159</v>
      </c>
      <c r="C325" s="2" t="s">
        <v>241</v>
      </c>
      <c r="D325" s="2" t="s">
        <v>53</v>
      </c>
      <c r="E325" s="2" t="s">
        <v>141</v>
      </c>
      <c r="F325" s="2" t="s">
        <v>22</v>
      </c>
      <c r="G325" s="2" t="s">
        <v>23</v>
      </c>
      <c r="H325" s="2">
        <v>42</v>
      </c>
      <c r="I325" s="7">
        <v>26.06</v>
      </c>
      <c r="J325" s="2">
        <v>0</v>
      </c>
      <c r="K325" s="7">
        <v>1094.52</v>
      </c>
      <c r="L325" s="2" t="s">
        <v>27</v>
      </c>
      <c r="M325" s="2" t="s">
        <v>2364</v>
      </c>
    </row>
    <row r="326" spans="1:13" x14ac:dyDescent="0.3">
      <c r="A326" s="2" t="s">
        <v>990</v>
      </c>
      <c r="B326" s="5">
        <v>45888</v>
      </c>
      <c r="C326" s="2" t="s">
        <v>991</v>
      </c>
      <c r="D326" s="2" t="s">
        <v>16</v>
      </c>
      <c r="E326" s="2" t="s">
        <v>91</v>
      </c>
      <c r="F326" s="2" t="s">
        <v>22</v>
      </c>
      <c r="G326" s="2" t="s">
        <v>23</v>
      </c>
      <c r="H326" s="2">
        <v>39</v>
      </c>
      <c r="I326" s="7">
        <v>29.49</v>
      </c>
      <c r="J326" s="2">
        <v>0</v>
      </c>
      <c r="K326" s="7">
        <v>1150.1099999999999</v>
      </c>
      <c r="L326" s="2" t="s">
        <v>31</v>
      </c>
      <c r="M326" s="2" t="s">
        <v>2365</v>
      </c>
    </row>
    <row r="327" spans="1:13" x14ac:dyDescent="0.3">
      <c r="A327" s="2" t="s">
        <v>667</v>
      </c>
      <c r="B327" s="5">
        <v>45958</v>
      </c>
      <c r="C327" s="2" t="s">
        <v>356</v>
      </c>
      <c r="D327" s="2" t="s">
        <v>24</v>
      </c>
      <c r="E327" s="2" t="s">
        <v>41</v>
      </c>
      <c r="F327" s="2" t="s">
        <v>22</v>
      </c>
      <c r="G327" s="2" t="s">
        <v>23</v>
      </c>
      <c r="H327" s="2">
        <v>35</v>
      </c>
      <c r="I327" s="7">
        <v>38.75</v>
      </c>
      <c r="J327" s="2">
        <v>15</v>
      </c>
      <c r="K327" s="7">
        <v>1152.81</v>
      </c>
      <c r="L327" s="2" t="s">
        <v>31</v>
      </c>
      <c r="M327" s="2" t="s">
        <v>2364</v>
      </c>
    </row>
    <row r="328" spans="1:13" x14ac:dyDescent="0.3">
      <c r="A328" s="2" t="s">
        <v>20</v>
      </c>
      <c r="B328" s="5">
        <v>45926</v>
      </c>
      <c r="C328" s="2" t="s">
        <v>21</v>
      </c>
      <c r="D328" s="2" t="s">
        <v>24</v>
      </c>
      <c r="E328" s="2" t="s">
        <v>25</v>
      </c>
      <c r="F328" s="2" t="s">
        <v>22</v>
      </c>
      <c r="G328" s="2" t="s">
        <v>23</v>
      </c>
      <c r="H328" s="2">
        <v>42</v>
      </c>
      <c r="I328" s="7">
        <v>31.59</v>
      </c>
      <c r="J328" s="2">
        <v>10</v>
      </c>
      <c r="K328" s="7">
        <v>1194.0999999999999</v>
      </c>
      <c r="L328" s="2" t="s">
        <v>27</v>
      </c>
      <c r="M328" s="2" t="s">
        <v>2364</v>
      </c>
    </row>
    <row r="329" spans="1:13" x14ac:dyDescent="0.3">
      <c r="A329" s="2" t="s">
        <v>702</v>
      </c>
      <c r="B329" s="5">
        <v>46259</v>
      </c>
      <c r="C329" s="2" t="s">
        <v>703</v>
      </c>
      <c r="D329" s="2" t="s">
        <v>53</v>
      </c>
      <c r="E329" s="2" t="s">
        <v>54</v>
      </c>
      <c r="F329" s="2" t="s">
        <v>22</v>
      </c>
      <c r="G329" s="2" t="s">
        <v>23</v>
      </c>
      <c r="H329" s="2">
        <v>45</v>
      </c>
      <c r="I329" s="7">
        <v>32.85</v>
      </c>
      <c r="J329" s="2">
        <v>15</v>
      </c>
      <c r="K329" s="7">
        <v>1256.51</v>
      </c>
      <c r="L329" s="2" t="s">
        <v>27</v>
      </c>
      <c r="M329" s="2" t="s">
        <v>2364</v>
      </c>
    </row>
    <row r="330" spans="1:13" x14ac:dyDescent="0.3">
      <c r="A330" s="2" t="s">
        <v>2149</v>
      </c>
      <c r="B330" s="5">
        <v>45630</v>
      </c>
      <c r="C330" s="2" t="s">
        <v>2150</v>
      </c>
      <c r="D330" s="2" t="s">
        <v>24</v>
      </c>
      <c r="E330" s="2" t="s">
        <v>59</v>
      </c>
      <c r="F330" s="2" t="s">
        <v>22</v>
      </c>
      <c r="G330" s="2" t="s">
        <v>23</v>
      </c>
      <c r="H330" s="2">
        <v>43</v>
      </c>
      <c r="I330" s="7">
        <v>32.75</v>
      </c>
      <c r="J330" s="2">
        <v>10</v>
      </c>
      <c r="K330" s="7">
        <v>1267.43</v>
      </c>
      <c r="L330" s="2" t="s">
        <v>69</v>
      </c>
      <c r="M330" s="2" t="s">
        <v>2364</v>
      </c>
    </row>
    <row r="331" spans="1:13" x14ac:dyDescent="0.3">
      <c r="A331" s="2" t="s">
        <v>2057</v>
      </c>
      <c r="B331" s="5">
        <v>46156</v>
      </c>
      <c r="C331" s="2" t="s">
        <v>2058</v>
      </c>
      <c r="D331" s="2" t="s">
        <v>24</v>
      </c>
      <c r="E331" s="2" t="s">
        <v>25</v>
      </c>
      <c r="F331" s="2" t="s">
        <v>22</v>
      </c>
      <c r="G331" s="2" t="s">
        <v>23</v>
      </c>
      <c r="H331" s="2">
        <v>39</v>
      </c>
      <c r="I331" s="7">
        <v>33.869999999999997</v>
      </c>
      <c r="J331" s="2">
        <v>0</v>
      </c>
      <c r="K331" s="7">
        <v>1320.93</v>
      </c>
      <c r="L331" s="2" t="s">
        <v>69</v>
      </c>
      <c r="M331" s="2" t="s">
        <v>2365</v>
      </c>
    </row>
    <row r="332" spans="1:13" x14ac:dyDescent="0.3">
      <c r="A332" s="2" t="s">
        <v>1179</v>
      </c>
      <c r="B332" s="5">
        <v>46015</v>
      </c>
      <c r="C332" s="2" t="s">
        <v>1180</v>
      </c>
      <c r="D332" s="2" t="s">
        <v>46</v>
      </c>
      <c r="E332" s="2" t="s">
        <v>47</v>
      </c>
      <c r="F332" s="2" t="s">
        <v>22</v>
      </c>
      <c r="G332" s="2" t="s">
        <v>23</v>
      </c>
      <c r="H332" s="2">
        <v>45</v>
      </c>
      <c r="I332" s="7">
        <v>31.55</v>
      </c>
      <c r="J332" s="2">
        <v>5</v>
      </c>
      <c r="K332" s="7">
        <v>1348.76</v>
      </c>
      <c r="L332" s="2" t="s">
        <v>27</v>
      </c>
      <c r="M332" s="2" t="s">
        <v>2365</v>
      </c>
    </row>
    <row r="333" spans="1:13" x14ac:dyDescent="0.3">
      <c r="A333" s="2" t="s">
        <v>1449</v>
      </c>
      <c r="B333" s="5">
        <v>45668</v>
      </c>
      <c r="C333" s="2" t="s">
        <v>1450</v>
      </c>
      <c r="D333" s="2" t="s">
        <v>24</v>
      </c>
      <c r="E333" s="2" t="s">
        <v>36</v>
      </c>
      <c r="F333" s="2" t="s">
        <v>22</v>
      </c>
      <c r="G333" s="2" t="s">
        <v>23</v>
      </c>
      <c r="H333" s="2">
        <v>41</v>
      </c>
      <c r="I333" s="7">
        <v>36.520000000000003</v>
      </c>
      <c r="J333" s="2">
        <v>5</v>
      </c>
      <c r="K333" s="7">
        <v>1422.45</v>
      </c>
      <c r="L333" s="2" t="s">
        <v>49</v>
      </c>
      <c r="M333" s="2" t="s">
        <v>2364</v>
      </c>
    </row>
    <row r="334" spans="1:13" x14ac:dyDescent="0.3">
      <c r="A334" s="2" t="s">
        <v>1883</v>
      </c>
      <c r="B334" s="5">
        <v>45631</v>
      </c>
      <c r="C334" s="2" t="s">
        <v>1884</v>
      </c>
      <c r="D334" s="2" t="s">
        <v>16</v>
      </c>
      <c r="E334" s="2" t="s">
        <v>74</v>
      </c>
      <c r="F334" s="2" t="s">
        <v>22</v>
      </c>
      <c r="G334" s="2" t="s">
        <v>23</v>
      </c>
      <c r="H334" s="2">
        <v>45</v>
      </c>
      <c r="I334" s="7">
        <v>31.95</v>
      </c>
      <c r="J334" s="2">
        <v>0</v>
      </c>
      <c r="K334" s="7">
        <v>1437.75</v>
      </c>
      <c r="L334" s="2" t="s">
        <v>27</v>
      </c>
      <c r="M334" s="2" t="s">
        <v>2364</v>
      </c>
    </row>
    <row r="335" spans="1:13" x14ac:dyDescent="0.3">
      <c r="A335" s="2" t="s">
        <v>2187</v>
      </c>
      <c r="B335" s="5">
        <v>46066</v>
      </c>
      <c r="C335" s="2" t="s">
        <v>2000</v>
      </c>
      <c r="D335" s="2" t="s">
        <v>16</v>
      </c>
      <c r="E335" s="2" t="s">
        <v>160</v>
      </c>
      <c r="F335" s="2" t="s">
        <v>95</v>
      </c>
      <c r="G335" s="2" t="s">
        <v>35</v>
      </c>
      <c r="H335" s="2">
        <v>1</v>
      </c>
      <c r="I335" s="7">
        <v>234.69</v>
      </c>
      <c r="J335" s="2">
        <v>5</v>
      </c>
      <c r="K335" s="7">
        <v>222.96</v>
      </c>
      <c r="L335" s="2" t="s">
        <v>27</v>
      </c>
      <c r="M335" s="2" t="s">
        <v>2364</v>
      </c>
    </row>
    <row r="336" spans="1:13" x14ac:dyDescent="0.3">
      <c r="A336" s="2" t="s">
        <v>234</v>
      </c>
      <c r="B336" s="5">
        <v>46096</v>
      </c>
      <c r="C336" s="2" t="s">
        <v>235</v>
      </c>
      <c r="D336" s="2" t="s">
        <v>16</v>
      </c>
      <c r="E336" s="2" t="s">
        <v>111</v>
      </c>
      <c r="F336" s="2" t="s">
        <v>95</v>
      </c>
      <c r="G336" s="2" t="s">
        <v>35</v>
      </c>
      <c r="H336" s="2">
        <v>1</v>
      </c>
      <c r="I336" s="7">
        <v>439</v>
      </c>
      <c r="J336" s="2">
        <v>10</v>
      </c>
      <c r="K336" s="7">
        <v>395.1</v>
      </c>
      <c r="L336" s="2" t="s">
        <v>31</v>
      </c>
      <c r="M336" s="2" t="s">
        <v>2364</v>
      </c>
    </row>
    <row r="337" spans="1:13" x14ac:dyDescent="0.3">
      <c r="A337" s="2" t="s">
        <v>1622</v>
      </c>
      <c r="B337" s="5">
        <v>46083</v>
      </c>
      <c r="C337" s="2" t="s">
        <v>1471</v>
      </c>
      <c r="D337" s="2" t="s">
        <v>53</v>
      </c>
      <c r="E337" s="2" t="s">
        <v>67</v>
      </c>
      <c r="F337" s="2" t="s">
        <v>95</v>
      </c>
      <c r="G337" s="2" t="s">
        <v>35</v>
      </c>
      <c r="H337" s="2">
        <v>2</v>
      </c>
      <c r="I337" s="7">
        <v>255.27</v>
      </c>
      <c r="J337" s="2">
        <v>5</v>
      </c>
      <c r="K337" s="7">
        <v>485.01</v>
      </c>
      <c r="L337" s="2" t="s">
        <v>69</v>
      </c>
      <c r="M337" s="2" t="s">
        <v>2365</v>
      </c>
    </row>
    <row r="338" spans="1:13" x14ac:dyDescent="0.3">
      <c r="A338" s="2" t="s">
        <v>1036</v>
      </c>
      <c r="B338" s="5">
        <v>46222</v>
      </c>
      <c r="C338" s="2" t="s">
        <v>127</v>
      </c>
      <c r="D338" s="2" t="s">
        <v>53</v>
      </c>
      <c r="E338" s="2" t="s">
        <v>67</v>
      </c>
      <c r="F338" s="2" t="s">
        <v>95</v>
      </c>
      <c r="G338" s="2" t="s">
        <v>35</v>
      </c>
      <c r="H338" s="2">
        <v>2</v>
      </c>
      <c r="I338" s="7">
        <v>345.67</v>
      </c>
      <c r="J338" s="2">
        <v>5</v>
      </c>
      <c r="K338" s="7">
        <v>656.77</v>
      </c>
      <c r="L338" s="2" t="s">
        <v>27</v>
      </c>
      <c r="M338" s="2" t="s">
        <v>2364</v>
      </c>
    </row>
    <row r="339" spans="1:13" x14ac:dyDescent="0.3">
      <c r="A339" s="2" t="s">
        <v>323</v>
      </c>
      <c r="B339" s="5">
        <v>46177</v>
      </c>
      <c r="C339" s="2" t="s">
        <v>324</v>
      </c>
      <c r="D339" s="2" t="s">
        <v>24</v>
      </c>
      <c r="E339" s="2" t="s">
        <v>41</v>
      </c>
      <c r="F339" s="2" t="s">
        <v>95</v>
      </c>
      <c r="G339" s="2" t="s">
        <v>35</v>
      </c>
      <c r="H339" s="2">
        <v>3</v>
      </c>
      <c r="I339" s="7">
        <v>224.57</v>
      </c>
      <c r="J339" s="2">
        <v>0</v>
      </c>
      <c r="K339" s="7">
        <v>673.71</v>
      </c>
      <c r="L339" s="2" t="s">
        <v>2347</v>
      </c>
      <c r="M339" s="2" t="s">
        <v>2365</v>
      </c>
    </row>
    <row r="340" spans="1:13" x14ac:dyDescent="0.3">
      <c r="A340" s="2" t="s">
        <v>571</v>
      </c>
      <c r="B340" s="5">
        <v>45958</v>
      </c>
      <c r="C340" s="2" t="s">
        <v>572</v>
      </c>
      <c r="D340" s="2" t="s">
        <v>46</v>
      </c>
      <c r="E340" s="2" t="s">
        <v>47</v>
      </c>
      <c r="F340" s="2" t="s">
        <v>95</v>
      </c>
      <c r="G340" s="2" t="s">
        <v>35</v>
      </c>
      <c r="H340" s="2">
        <v>1</v>
      </c>
      <c r="I340" s="7">
        <v>1136.25</v>
      </c>
      <c r="J340" s="2">
        <v>5</v>
      </c>
      <c r="K340" s="7">
        <v>1079.44</v>
      </c>
      <c r="L340" s="2" t="s">
        <v>27</v>
      </c>
      <c r="M340" s="2" t="s">
        <v>2364</v>
      </c>
    </row>
    <row r="341" spans="1:13" x14ac:dyDescent="0.3">
      <c r="A341" s="2" t="s">
        <v>1723</v>
      </c>
      <c r="B341" s="5">
        <v>46153</v>
      </c>
      <c r="C341" s="2" t="s">
        <v>1724</v>
      </c>
      <c r="D341" s="2" t="s">
        <v>24</v>
      </c>
      <c r="E341" s="2" t="s">
        <v>36</v>
      </c>
      <c r="F341" s="2" t="s">
        <v>95</v>
      </c>
      <c r="G341" s="2" t="s">
        <v>35</v>
      </c>
      <c r="H341" s="2">
        <v>8</v>
      </c>
      <c r="I341" s="7">
        <v>223.8</v>
      </c>
      <c r="J341" s="2">
        <v>0</v>
      </c>
      <c r="K341" s="7">
        <v>1790.4</v>
      </c>
      <c r="L341" s="2" t="s">
        <v>69</v>
      </c>
      <c r="M341" s="2" t="s">
        <v>2364</v>
      </c>
    </row>
    <row r="342" spans="1:13" x14ac:dyDescent="0.3">
      <c r="A342" s="2" t="s">
        <v>1212</v>
      </c>
      <c r="B342" s="5">
        <v>46082</v>
      </c>
      <c r="C342" s="2" t="s">
        <v>1213</v>
      </c>
      <c r="D342" s="2" t="s">
        <v>24</v>
      </c>
      <c r="E342" s="2" t="s">
        <v>104</v>
      </c>
      <c r="F342" s="2" t="s">
        <v>95</v>
      </c>
      <c r="G342" s="2" t="s">
        <v>35</v>
      </c>
      <c r="H342" s="2">
        <v>3</v>
      </c>
      <c r="I342" s="7">
        <v>874.13</v>
      </c>
      <c r="J342" s="2">
        <v>10</v>
      </c>
      <c r="K342" s="7">
        <v>2360.15</v>
      </c>
      <c r="L342" s="2" t="s">
        <v>31</v>
      </c>
      <c r="M342" s="2" t="s">
        <v>2364</v>
      </c>
    </row>
    <row r="343" spans="1:13" x14ac:dyDescent="0.3">
      <c r="A343" s="2" t="s">
        <v>513</v>
      </c>
      <c r="B343" s="5">
        <v>45611</v>
      </c>
      <c r="C343" s="2" t="s">
        <v>514</v>
      </c>
      <c r="D343" s="2" t="s">
        <v>46</v>
      </c>
      <c r="E343" s="2" t="s">
        <v>83</v>
      </c>
      <c r="F343" s="2" t="s">
        <v>95</v>
      </c>
      <c r="G343" s="2" t="s">
        <v>35</v>
      </c>
      <c r="H343" s="2">
        <v>15</v>
      </c>
      <c r="I343" s="7">
        <v>237.76</v>
      </c>
      <c r="J343" s="2">
        <v>5</v>
      </c>
      <c r="K343" s="7">
        <v>3388.08</v>
      </c>
      <c r="L343" s="2" t="s">
        <v>2347</v>
      </c>
      <c r="M343" s="2" t="s">
        <v>2365</v>
      </c>
    </row>
    <row r="344" spans="1:13" x14ac:dyDescent="0.3">
      <c r="A344" s="2" t="s">
        <v>399</v>
      </c>
      <c r="B344" s="5">
        <v>46085</v>
      </c>
      <c r="C344" s="2" t="s">
        <v>400</v>
      </c>
      <c r="D344" s="2" t="s">
        <v>46</v>
      </c>
      <c r="E344" s="2" t="s">
        <v>83</v>
      </c>
      <c r="F344" s="2" t="s">
        <v>95</v>
      </c>
      <c r="G344" s="2" t="s">
        <v>35</v>
      </c>
      <c r="H344" s="2">
        <v>4</v>
      </c>
      <c r="I344" s="7">
        <v>900.7</v>
      </c>
      <c r="J344" s="2">
        <v>5</v>
      </c>
      <c r="K344" s="7">
        <v>3422.66</v>
      </c>
      <c r="L344" s="2" t="s">
        <v>49</v>
      </c>
      <c r="M344" s="2" t="s">
        <v>2364</v>
      </c>
    </row>
    <row r="345" spans="1:13" x14ac:dyDescent="0.3">
      <c r="A345" s="2" t="s">
        <v>1306</v>
      </c>
      <c r="B345" s="5">
        <v>45723</v>
      </c>
      <c r="C345" s="2" t="s">
        <v>1307</v>
      </c>
      <c r="D345" s="2" t="s">
        <v>46</v>
      </c>
      <c r="E345" s="2" t="s">
        <v>78</v>
      </c>
      <c r="F345" s="2" t="s">
        <v>95</v>
      </c>
      <c r="G345" s="2" t="s">
        <v>35</v>
      </c>
      <c r="H345" s="2">
        <v>5</v>
      </c>
      <c r="I345" s="7">
        <v>834.19</v>
      </c>
      <c r="J345" s="2">
        <v>15</v>
      </c>
      <c r="K345" s="7">
        <v>3545.31</v>
      </c>
      <c r="L345" s="2" t="s">
        <v>27</v>
      </c>
      <c r="M345" s="2" t="s">
        <v>2365</v>
      </c>
    </row>
    <row r="346" spans="1:13" x14ac:dyDescent="0.3">
      <c r="A346" s="2" t="s">
        <v>769</v>
      </c>
      <c r="B346" s="5">
        <v>45842</v>
      </c>
      <c r="C346" s="2" t="s">
        <v>770</v>
      </c>
      <c r="D346" s="2" t="s">
        <v>16</v>
      </c>
      <c r="E346" s="2" t="s">
        <v>17</v>
      </c>
      <c r="F346" s="2" t="s">
        <v>95</v>
      </c>
      <c r="G346" s="2" t="s">
        <v>35</v>
      </c>
      <c r="H346" s="2">
        <v>19</v>
      </c>
      <c r="I346" s="7">
        <v>278.63</v>
      </c>
      <c r="J346" s="2">
        <v>15</v>
      </c>
      <c r="K346" s="7">
        <v>4499.87</v>
      </c>
      <c r="L346" s="2" t="s">
        <v>27</v>
      </c>
      <c r="M346" s="2" t="s">
        <v>2364</v>
      </c>
    </row>
    <row r="347" spans="1:13" x14ac:dyDescent="0.3">
      <c r="A347" s="2" t="s">
        <v>2155</v>
      </c>
      <c r="B347" s="5">
        <v>45800</v>
      </c>
      <c r="C347" s="2" t="s">
        <v>705</v>
      </c>
      <c r="D347" s="2" t="s">
        <v>16</v>
      </c>
      <c r="E347" s="2" t="s">
        <v>74</v>
      </c>
      <c r="F347" s="2" t="s">
        <v>95</v>
      </c>
      <c r="G347" s="2" t="s">
        <v>35</v>
      </c>
      <c r="H347" s="2">
        <v>22</v>
      </c>
      <c r="I347" s="7">
        <v>210.7</v>
      </c>
      <c r="J347" s="2">
        <v>0</v>
      </c>
      <c r="K347" s="7">
        <v>4635.3999999999996</v>
      </c>
      <c r="L347" s="2" t="s">
        <v>27</v>
      </c>
      <c r="M347" s="2" t="s">
        <v>2365</v>
      </c>
    </row>
    <row r="348" spans="1:13" x14ac:dyDescent="0.3">
      <c r="A348" s="2" t="s">
        <v>1187</v>
      </c>
      <c r="B348" s="5">
        <v>46136</v>
      </c>
      <c r="C348" s="2" t="s">
        <v>1188</v>
      </c>
      <c r="D348" s="2" t="s">
        <v>24</v>
      </c>
      <c r="E348" s="2" t="s">
        <v>25</v>
      </c>
      <c r="F348" s="2" t="s">
        <v>95</v>
      </c>
      <c r="G348" s="2" t="s">
        <v>35</v>
      </c>
      <c r="H348" s="2">
        <v>20</v>
      </c>
      <c r="I348" s="7">
        <v>274.66000000000003</v>
      </c>
      <c r="J348" s="2">
        <v>10</v>
      </c>
      <c r="K348" s="7">
        <v>4943.88</v>
      </c>
      <c r="L348" s="2" t="s">
        <v>69</v>
      </c>
      <c r="M348" s="2" t="s">
        <v>2364</v>
      </c>
    </row>
    <row r="349" spans="1:13" x14ac:dyDescent="0.3">
      <c r="A349" s="2" t="s">
        <v>1851</v>
      </c>
      <c r="B349" s="5">
        <v>45615</v>
      </c>
      <c r="C349" s="2" t="s">
        <v>1852</v>
      </c>
      <c r="D349" s="2" t="s">
        <v>16</v>
      </c>
      <c r="E349" s="2" t="s">
        <v>91</v>
      </c>
      <c r="F349" s="2" t="s">
        <v>95</v>
      </c>
      <c r="G349" s="2" t="s">
        <v>35</v>
      </c>
      <c r="H349" s="2">
        <v>14</v>
      </c>
      <c r="I349" s="7">
        <v>355.43</v>
      </c>
      <c r="J349" s="2">
        <v>0</v>
      </c>
      <c r="K349" s="7">
        <v>4976.0200000000004</v>
      </c>
      <c r="L349" s="2" t="s">
        <v>2347</v>
      </c>
      <c r="M349" s="2" t="s">
        <v>2365</v>
      </c>
    </row>
    <row r="350" spans="1:13" x14ac:dyDescent="0.3">
      <c r="A350" s="2" t="s">
        <v>1034</v>
      </c>
      <c r="B350" s="5">
        <v>45940</v>
      </c>
      <c r="C350" s="2" t="s">
        <v>1035</v>
      </c>
      <c r="D350" s="2" t="s">
        <v>24</v>
      </c>
      <c r="E350" s="2" t="s">
        <v>104</v>
      </c>
      <c r="F350" s="2" t="s">
        <v>95</v>
      </c>
      <c r="G350" s="2" t="s">
        <v>35</v>
      </c>
      <c r="H350" s="2">
        <v>12</v>
      </c>
      <c r="I350" s="7">
        <v>455.31</v>
      </c>
      <c r="J350" s="2">
        <v>5</v>
      </c>
      <c r="K350" s="7">
        <v>5190.53</v>
      </c>
      <c r="L350" s="2" t="s">
        <v>27</v>
      </c>
      <c r="M350" s="2" t="s">
        <v>2364</v>
      </c>
    </row>
    <row r="351" spans="1:13" x14ac:dyDescent="0.3">
      <c r="A351" s="2" t="s">
        <v>1858</v>
      </c>
      <c r="B351" s="5">
        <v>45716</v>
      </c>
      <c r="C351" s="2" t="s">
        <v>552</v>
      </c>
      <c r="D351" s="2" t="s">
        <v>46</v>
      </c>
      <c r="E351" s="2" t="s">
        <v>83</v>
      </c>
      <c r="F351" s="2" t="s">
        <v>95</v>
      </c>
      <c r="G351" s="2" t="s">
        <v>35</v>
      </c>
      <c r="H351" s="2">
        <v>22</v>
      </c>
      <c r="I351" s="7">
        <v>248.74</v>
      </c>
      <c r="J351" s="2">
        <v>5</v>
      </c>
      <c r="K351" s="7">
        <v>5198.67</v>
      </c>
      <c r="L351" s="2" t="s">
        <v>69</v>
      </c>
      <c r="M351" s="2" t="s">
        <v>2364</v>
      </c>
    </row>
    <row r="352" spans="1:13" x14ac:dyDescent="0.3">
      <c r="A352" s="2" t="s">
        <v>1599</v>
      </c>
      <c r="B352" s="5">
        <v>46015</v>
      </c>
      <c r="C352" s="2" t="s">
        <v>250</v>
      </c>
      <c r="D352" s="2" t="s">
        <v>53</v>
      </c>
      <c r="E352" s="2" t="s">
        <v>67</v>
      </c>
      <c r="F352" s="2" t="s">
        <v>95</v>
      </c>
      <c r="G352" s="2" t="s">
        <v>35</v>
      </c>
      <c r="H352" s="2">
        <v>6</v>
      </c>
      <c r="I352" s="7">
        <v>891.81</v>
      </c>
      <c r="J352" s="2">
        <v>0</v>
      </c>
      <c r="K352" s="7">
        <v>5350.86</v>
      </c>
      <c r="L352" s="2" t="s">
        <v>27</v>
      </c>
      <c r="M352" s="2" t="s">
        <v>2365</v>
      </c>
    </row>
    <row r="353" spans="1:13" x14ac:dyDescent="0.3">
      <c r="A353" s="2" t="s">
        <v>175</v>
      </c>
      <c r="B353" s="5">
        <v>46026</v>
      </c>
      <c r="C353" s="2" t="s">
        <v>176</v>
      </c>
      <c r="D353" s="2" t="s">
        <v>53</v>
      </c>
      <c r="E353" s="2" t="s">
        <v>54</v>
      </c>
      <c r="F353" s="2" t="s">
        <v>95</v>
      </c>
      <c r="G353" s="2" t="s">
        <v>35</v>
      </c>
      <c r="H353" s="2">
        <v>22</v>
      </c>
      <c r="I353" s="7">
        <v>276.88</v>
      </c>
      <c r="J353" s="2">
        <v>10</v>
      </c>
      <c r="K353" s="7">
        <v>5482.22</v>
      </c>
      <c r="L353" s="2" t="s">
        <v>31</v>
      </c>
      <c r="M353" s="2" t="s">
        <v>2364</v>
      </c>
    </row>
    <row r="354" spans="1:13" x14ac:dyDescent="0.3">
      <c r="A354" s="2" t="s">
        <v>936</v>
      </c>
      <c r="B354" s="5">
        <v>46197</v>
      </c>
      <c r="C354" s="2" t="s">
        <v>166</v>
      </c>
      <c r="D354" s="2" t="s">
        <v>16</v>
      </c>
      <c r="E354" s="2" t="s">
        <v>111</v>
      </c>
      <c r="F354" s="2" t="s">
        <v>95</v>
      </c>
      <c r="G354" s="2" t="s">
        <v>35</v>
      </c>
      <c r="H354" s="2">
        <v>22</v>
      </c>
      <c r="I354" s="7">
        <v>283.44</v>
      </c>
      <c r="J354" s="2">
        <v>10</v>
      </c>
      <c r="K354" s="7">
        <v>5612.11</v>
      </c>
      <c r="L354" s="2" t="s">
        <v>31</v>
      </c>
      <c r="M354" s="2" t="s">
        <v>2364</v>
      </c>
    </row>
    <row r="355" spans="1:13" x14ac:dyDescent="0.3">
      <c r="A355" s="2" t="s">
        <v>2134</v>
      </c>
      <c r="B355" s="5">
        <v>46153</v>
      </c>
      <c r="C355" s="2" t="s">
        <v>339</v>
      </c>
      <c r="D355" s="2" t="s">
        <v>53</v>
      </c>
      <c r="E355" s="2" t="s">
        <v>54</v>
      </c>
      <c r="F355" s="2" t="s">
        <v>95</v>
      </c>
      <c r="G355" s="2" t="s">
        <v>35</v>
      </c>
      <c r="H355" s="2">
        <v>6</v>
      </c>
      <c r="I355" s="7">
        <v>1186.19</v>
      </c>
      <c r="J355" s="2">
        <v>20</v>
      </c>
      <c r="K355" s="7">
        <v>5693.71</v>
      </c>
      <c r="L355" s="2" t="s">
        <v>49</v>
      </c>
      <c r="M355" s="2" t="s">
        <v>2365</v>
      </c>
    </row>
    <row r="356" spans="1:13" x14ac:dyDescent="0.3">
      <c r="A356" s="2" t="s">
        <v>2083</v>
      </c>
      <c r="B356" s="5">
        <v>46276</v>
      </c>
      <c r="C356" s="2" t="s">
        <v>2084</v>
      </c>
      <c r="D356" s="2" t="s">
        <v>53</v>
      </c>
      <c r="E356" s="2" t="s">
        <v>67</v>
      </c>
      <c r="F356" s="2" t="s">
        <v>95</v>
      </c>
      <c r="G356" s="2" t="s">
        <v>35</v>
      </c>
      <c r="H356" s="2">
        <v>29</v>
      </c>
      <c r="I356" s="7">
        <v>212.47</v>
      </c>
      <c r="J356" s="2">
        <v>5</v>
      </c>
      <c r="K356" s="7">
        <v>5853.55</v>
      </c>
      <c r="L356" s="2" t="s">
        <v>2347</v>
      </c>
      <c r="M356" s="2" t="s">
        <v>2364</v>
      </c>
    </row>
    <row r="357" spans="1:13" x14ac:dyDescent="0.3">
      <c r="A357" s="2" t="s">
        <v>2275</v>
      </c>
      <c r="B357" s="5">
        <v>45808</v>
      </c>
      <c r="C357" s="2" t="s">
        <v>1159</v>
      </c>
      <c r="D357" s="2" t="s">
        <v>46</v>
      </c>
      <c r="E357" s="2" t="s">
        <v>47</v>
      </c>
      <c r="F357" s="2" t="s">
        <v>95</v>
      </c>
      <c r="G357" s="2" t="s">
        <v>35</v>
      </c>
      <c r="H357" s="2">
        <v>22</v>
      </c>
      <c r="I357" s="7">
        <v>336.63</v>
      </c>
      <c r="J357" s="2">
        <v>20</v>
      </c>
      <c r="K357" s="7">
        <v>5924.69</v>
      </c>
      <c r="L357" s="2" t="s">
        <v>27</v>
      </c>
      <c r="M357" s="2" t="s">
        <v>2364</v>
      </c>
    </row>
    <row r="358" spans="1:13" x14ac:dyDescent="0.3">
      <c r="A358" s="2" t="s">
        <v>498</v>
      </c>
      <c r="B358" s="5">
        <v>45778</v>
      </c>
      <c r="C358" s="2" t="s">
        <v>499</v>
      </c>
      <c r="D358" s="2" t="s">
        <v>46</v>
      </c>
      <c r="E358" s="2" t="s">
        <v>83</v>
      </c>
      <c r="F358" s="2" t="s">
        <v>95</v>
      </c>
      <c r="G358" s="2" t="s">
        <v>35</v>
      </c>
      <c r="H358" s="2">
        <v>15</v>
      </c>
      <c r="I358" s="7">
        <v>426.15</v>
      </c>
      <c r="J358" s="2">
        <v>5</v>
      </c>
      <c r="K358" s="7">
        <v>6072.64</v>
      </c>
      <c r="L358" s="2" t="s">
        <v>31</v>
      </c>
      <c r="M358" s="2" t="s">
        <v>2364</v>
      </c>
    </row>
    <row r="359" spans="1:13" x14ac:dyDescent="0.3">
      <c r="A359" s="2" t="s">
        <v>1242</v>
      </c>
      <c r="B359" s="5">
        <v>45810</v>
      </c>
      <c r="C359" s="2" t="s">
        <v>1243</v>
      </c>
      <c r="D359" s="2" t="s">
        <v>46</v>
      </c>
      <c r="E359" s="2" t="s">
        <v>83</v>
      </c>
      <c r="F359" s="2" t="s">
        <v>95</v>
      </c>
      <c r="G359" s="2" t="s">
        <v>35</v>
      </c>
      <c r="H359" s="2">
        <v>23</v>
      </c>
      <c r="I359" s="7">
        <v>265.18</v>
      </c>
      <c r="J359" s="2">
        <v>0</v>
      </c>
      <c r="K359" s="7">
        <v>6099.14</v>
      </c>
      <c r="L359" s="2" t="s">
        <v>49</v>
      </c>
      <c r="M359" s="2" t="s">
        <v>2364</v>
      </c>
    </row>
    <row r="360" spans="1:13" x14ac:dyDescent="0.3">
      <c r="A360" s="2" t="s">
        <v>2056</v>
      </c>
      <c r="B360" s="5">
        <v>45857</v>
      </c>
      <c r="C360" s="2" t="s">
        <v>279</v>
      </c>
      <c r="D360" s="2" t="s">
        <v>53</v>
      </c>
      <c r="E360" s="2" t="s">
        <v>134</v>
      </c>
      <c r="F360" s="2" t="s">
        <v>95</v>
      </c>
      <c r="G360" s="2" t="s">
        <v>35</v>
      </c>
      <c r="H360" s="2">
        <v>31</v>
      </c>
      <c r="I360" s="7">
        <v>200.29</v>
      </c>
      <c r="J360" s="2">
        <v>0</v>
      </c>
      <c r="K360" s="7">
        <v>6208.99</v>
      </c>
      <c r="L360" s="2" t="s">
        <v>69</v>
      </c>
      <c r="M360" s="2" t="s">
        <v>2365</v>
      </c>
    </row>
    <row r="361" spans="1:13" x14ac:dyDescent="0.3">
      <c r="A361" s="2" t="s">
        <v>2211</v>
      </c>
      <c r="B361" s="5">
        <v>45816</v>
      </c>
      <c r="C361" s="2" t="s">
        <v>2143</v>
      </c>
      <c r="D361" s="2" t="s">
        <v>16</v>
      </c>
      <c r="E361" s="2" t="s">
        <v>111</v>
      </c>
      <c r="F361" s="2" t="s">
        <v>95</v>
      </c>
      <c r="G361" s="2" t="s">
        <v>35</v>
      </c>
      <c r="H361" s="2">
        <v>7</v>
      </c>
      <c r="I361" s="7">
        <v>1155.47</v>
      </c>
      <c r="J361" s="2">
        <v>20</v>
      </c>
      <c r="K361" s="7">
        <v>6470.63</v>
      </c>
      <c r="L361" s="2" t="s">
        <v>2347</v>
      </c>
      <c r="M361" s="2" t="s">
        <v>2364</v>
      </c>
    </row>
    <row r="362" spans="1:13" x14ac:dyDescent="0.3">
      <c r="A362" s="2" t="s">
        <v>796</v>
      </c>
      <c r="B362" s="5">
        <v>46214</v>
      </c>
      <c r="C362" s="2" t="s">
        <v>797</v>
      </c>
      <c r="D362" s="2" t="s">
        <v>16</v>
      </c>
      <c r="E362" s="2" t="s">
        <v>111</v>
      </c>
      <c r="F362" s="2" t="s">
        <v>95</v>
      </c>
      <c r="G362" s="2" t="s">
        <v>35</v>
      </c>
      <c r="H362" s="2">
        <v>16</v>
      </c>
      <c r="I362" s="7">
        <v>442.42</v>
      </c>
      <c r="J362" s="2">
        <v>5</v>
      </c>
      <c r="K362" s="7">
        <v>6724.78</v>
      </c>
      <c r="L362" s="2" t="s">
        <v>27</v>
      </c>
      <c r="M362" s="2" t="s">
        <v>2365</v>
      </c>
    </row>
    <row r="363" spans="1:13" x14ac:dyDescent="0.3">
      <c r="A363" s="2" t="s">
        <v>743</v>
      </c>
      <c r="B363" s="5">
        <v>45612</v>
      </c>
      <c r="C363" s="2" t="s">
        <v>744</v>
      </c>
      <c r="D363" s="2" t="s">
        <v>53</v>
      </c>
      <c r="E363" s="2" t="s">
        <v>67</v>
      </c>
      <c r="F363" s="2" t="s">
        <v>95</v>
      </c>
      <c r="G363" s="2" t="s">
        <v>35</v>
      </c>
      <c r="H363" s="2">
        <v>26</v>
      </c>
      <c r="I363" s="7">
        <v>289.13</v>
      </c>
      <c r="J363" s="2">
        <v>10</v>
      </c>
      <c r="K363" s="7">
        <v>6765.64</v>
      </c>
      <c r="L363" s="2" t="s">
        <v>2347</v>
      </c>
      <c r="M363" s="2" t="s">
        <v>2365</v>
      </c>
    </row>
    <row r="364" spans="1:13" x14ac:dyDescent="0.3">
      <c r="A364" s="2" t="s">
        <v>1071</v>
      </c>
      <c r="B364" s="5">
        <v>45665</v>
      </c>
      <c r="C364" s="2" t="s">
        <v>1072</v>
      </c>
      <c r="D364" s="2" t="s">
        <v>24</v>
      </c>
      <c r="E364" s="2" t="s">
        <v>36</v>
      </c>
      <c r="F364" s="2" t="s">
        <v>95</v>
      </c>
      <c r="G364" s="2" t="s">
        <v>35</v>
      </c>
      <c r="H364" s="2">
        <v>32</v>
      </c>
      <c r="I364" s="7">
        <v>235.61</v>
      </c>
      <c r="J364" s="2">
        <v>10</v>
      </c>
      <c r="K364" s="7">
        <v>6785.57</v>
      </c>
      <c r="L364" s="2" t="s">
        <v>31</v>
      </c>
      <c r="M364" s="2" t="s">
        <v>2365</v>
      </c>
    </row>
    <row r="365" spans="1:13" x14ac:dyDescent="0.3">
      <c r="A365" s="2" t="s">
        <v>1327</v>
      </c>
      <c r="B365" s="5">
        <v>45748</v>
      </c>
      <c r="C365" s="2" t="s">
        <v>1328</v>
      </c>
      <c r="D365" s="2" t="s">
        <v>16</v>
      </c>
      <c r="E365" s="2" t="s">
        <v>74</v>
      </c>
      <c r="F365" s="2" t="s">
        <v>95</v>
      </c>
      <c r="G365" s="2" t="s">
        <v>35</v>
      </c>
      <c r="H365" s="2">
        <v>21</v>
      </c>
      <c r="I365" s="7">
        <v>326.62</v>
      </c>
      <c r="J365" s="2">
        <v>0</v>
      </c>
      <c r="K365" s="7">
        <v>6859.02</v>
      </c>
      <c r="L365" s="2" t="s">
        <v>49</v>
      </c>
      <c r="M365" s="2" t="s">
        <v>2365</v>
      </c>
    </row>
    <row r="366" spans="1:13" x14ac:dyDescent="0.3">
      <c r="A366" s="2" t="s">
        <v>2217</v>
      </c>
      <c r="B366" s="5">
        <v>46165</v>
      </c>
      <c r="C366" s="2" t="s">
        <v>2218</v>
      </c>
      <c r="D366" s="2" t="s">
        <v>53</v>
      </c>
      <c r="E366" s="2" t="s">
        <v>134</v>
      </c>
      <c r="F366" s="2" t="s">
        <v>95</v>
      </c>
      <c r="G366" s="2" t="s">
        <v>35</v>
      </c>
      <c r="H366" s="2">
        <v>40</v>
      </c>
      <c r="I366" s="7">
        <v>207.72</v>
      </c>
      <c r="J366" s="2">
        <v>15</v>
      </c>
      <c r="K366" s="7">
        <v>7062.48</v>
      </c>
      <c r="L366" s="2" t="s">
        <v>31</v>
      </c>
      <c r="M366" s="2" t="s">
        <v>2364</v>
      </c>
    </row>
    <row r="367" spans="1:13" x14ac:dyDescent="0.3">
      <c r="A367" s="2" t="s">
        <v>1771</v>
      </c>
      <c r="B367" s="5">
        <v>45669</v>
      </c>
      <c r="C367" s="2" t="s">
        <v>1772</v>
      </c>
      <c r="D367" s="2" t="s">
        <v>53</v>
      </c>
      <c r="E367" s="2" t="s">
        <v>54</v>
      </c>
      <c r="F367" s="2" t="s">
        <v>95</v>
      </c>
      <c r="G367" s="2" t="s">
        <v>35</v>
      </c>
      <c r="H367" s="2">
        <v>34</v>
      </c>
      <c r="I367" s="7">
        <v>248.44</v>
      </c>
      <c r="J367" s="2">
        <v>10</v>
      </c>
      <c r="K367" s="7">
        <v>7602.26</v>
      </c>
      <c r="L367" s="2" t="s">
        <v>31</v>
      </c>
      <c r="M367" s="2" t="s">
        <v>2364</v>
      </c>
    </row>
    <row r="368" spans="1:13" x14ac:dyDescent="0.3">
      <c r="A368" s="2" t="s">
        <v>638</v>
      </c>
      <c r="B368" s="5">
        <v>46214</v>
      </c>
      <c r="C368" s="2" t="s">
        <v>44</v>
      </c>
      <c r="D368" s="2" t="s">
        <v>24</v>
      </c>
      <c r="E368" s="2" t="s">
        <v>59</v>
      </c>
      <c r="F368" s="2" t="s">
        <v>95</v>
      </c>
      <c r="G368" s="2" t="s">
        <v>35</v>
      </c>
      <c r="H368" s="2">
        <v>21</v>
      </c>
      <c r="I368" s="7">
        <v>412.1</v>
      </c>
      <c r="J368" s="2">
        <v>10</v>
      </c>
      <c r="K368" s="7">
        <v>7788.69</v>
      </c>
      <c r="L368" s="2" t="s">
        <v>49</v>
      </c>
      <c r="M368" s="2" t="s">
        <v>2365</v>
      </c>
    </row>
    <row r="369" spans="1:13" x14ac:dyDescent="0.3">
      <c r="A369" s="2" t="s">
        <v>846</v>
      </c>
      <c r="B369" s="5">
        <v>46027</v>
      </c>
      <c r="C369" s="2" t="s">
        <v>847</v>
      </c>
      <c r="D369" s="2" t="s">
        <v>24</v>
      </c>
      <c r="E369" s="2" t="s">
        <v>25</v>
      </c>
      <c r="F369" s="2" t="s">
        <v>95</v>
      </c>
      <c r="G369" s="2" t="s">
        <v>35</v>
      </c>
      <c r="H369" s="2">
        <v>8</v>
      </c>
      <c r="I369" s="7">
        <v>1174.54</v>
      </c>
      <c r="J369" s="2">
        <v>15</v>
      </c>
      <c r="K369" s="7">
        <v>7986.87</v>
      </c>
      <c r="L369" s="2" t="s">
        <v>31</v>
      </c>
      <c r="M369" s="2" t="s">
        <v>2364</v>
      </c>
    </row>
    <row r="370" spans="1:13" x14ac:dyDescent="0.3">
      <c r="A370" s="2" t="s">
        <v>1439</v>
      </c>
      <c r="B370" s="5">
        <v>46277</v>
      </c>
      <c r="C370" s="2" t="s">
        <v>1440</v>
      </c>
      <c r="D370" s="2" t="s">
        <v>53</v>
      </c>
      <c r="E370" s="2" t="s">
        <v>134</v>
      </c>
      <c r="F370" s="2" t="s">
        <v>95</v>
      </c>
      <c r="G370" s="2" t="s">
        <v>35</v>
      </c>
      <c r="H370" s="2">
        <v>41</v>
      </c>
      <c r="I370" s="7">
        <v>218.12</v>
      </c>
      <c r="J370" s="2">
        <v>10</v>
      </c>
      <c r="K370" s="7">
        <v>8048.63</v>
      </c>
      <c r="L370" s="2" t="s">
        <v>27</v>
      </c>
      <c r="M370" s="2" t="s">
        <v>2365</v>
      </c>
    </row>
    <row r="371" spans="1:13" x14ac:dyDescent="0.3">
      <c r="A371" s="2" t="s">
        <v>1909</v>
      </c>
      <c r="B371" s="5">
        <v>45746</v>
      </c>
      <c r="C371" s="2" t="s">
        <v>1910</v>
      </c>
      <c r="D371" s="2" t="s">
        <v>16</v>
      </c>
      <c r="E371" s="2" t="s">
        <v>160</v>
      </c>
      <c r="F371" s="2" t="s">
        <v>95</v>
      </c>
      <c r="G371" s="2" t="s">
        <v>35</v>
      </c>
      <c r="H371" s="2">
        <v>8</v>
      </c>
      <c r="I371" s="7">
        <v>1049.79</v>
      </c>
      <c r="J371" s="2">
        <v>0</v>
      </c>
      <c r="K371" s="7">
        <v>8398.32</v>
      </c>
      <c r="L371" s="2" t="s">
        <v>31</v>
      </c>
      <c r="M371" s="2" t="s">
        <v>2365</v>
      </c>
    </row>
    <row r="372" spans="1:13" x14ac:dyDescent="0.3">
      <c r="A372" s="2" t="s">
        <v>443</v>
      </c>
      <c r="B372" s="5">
        <v>46244</v>
      </c>
      <c r="C372" s="2" t="s">
        <v>444</v>
      </c>
      <c r="D372" s="2" t="s">
        <v>46</v>
      </c>
      <c r="E372" s="2" t="s">
        <v>83</v>
      </c>
      <c r="F372" s="2" t="s">
        <v>95</v>
      </c>
      <c r="G372" s="2" t="s">
        <v>35</v>
      </c>
      <c r="H372" s="2">
        <v>33</v>
      </c>
      <c r="I372" s="7">
        <v>287.77999999999997</v>
      </c>
      <c r="J372" s="2">
        <v>10</v>
      </c>
      <c r="K372" s="7">
        <v>8547.07</v>
      </c>
      <c r="L372" s="2" t="s">
        <v>31</v>
      </c>
      <c r="M372" s="2" t="s">
        <v>2364</v>
      </c>
    </row>
    <row r="373" spans="1:13" x14ac:dyDescent="0.3">
      <c r="A373" s="2" t="s">
        <v>387</v>
      </c>
      <c r="B373" s="5">
        <v>45957</v>
      </c>
      <c r="C373" s="2" t="s">
        <v>388</v>
      </c>
      <c r="D373" s="2" t="s">
        <v>46</v>
      </c>
      <c r="E373" s="2" t="s">
        <v>47</v>
      </c>
      <c r="F373" s="2" t="s">
        <v>95</v>
      </c>
      <c r="G373" s="2" t="s">
        <v>35</v>
      </c>
      <c r="H373" s="2">
        <v>44</v>
      </c>
      <c r="I373" s="7">
        <v>206.66</v>
      </c>
      <c r="J373" s="2">
        <v>5</v>
      </c>
      <c r="K373" s="7">
        <v>8638.39</v>
      </c>
      <c r="L373" s="2" t="s">
        <v>31</v>
      </c>
      <c r="M373" s="2" t="s">
        <v>2364</v>
      </c>
    </row>
    <row r="374" spans="1:13" x14ac:dyDescent="0.3">
      <c r="A374" s="2" t="s">
        <v>178</v>
      </c>
      <c r="B374" s="5">
        <v>46111</v>
      </c>
      <c r="C374" s="2" t="s">
        <v>179</v>
      </c>
      <c r="D374" s="2" t="s">
        <v>16</v>
      </c>
      <c r="E374" s="2" t="s">
        <v>17</v>
      </c>
      <c r="F374" s="2" t="s">
        <v>95</v>
      </c>
      <c r="G374" s="2" t="s">
        <v>35</v>
      </c>
      <c r="H374" s="2">
        <v>21</v>
      </c>
      <c r="I374" s="7">
        <v>412.43</v>
      </c>
      <c r="J374" s="2">
        <v>0</v>
      </c>
      <c r="K374" s="7">
        <v>8661.0300000000007</v>
      </c>
      <c r="L374" s="2" t="s">
        <v>27</v>
      </c>
      <c r="M374" s="2" t="s">
        <v>2365</v>
      </c>
    </row>
    <row r="375" spans="1:13" x14ac:dyDescent="0.3">
      <c r="A375" s="2" t="s">
        <v>2001</v>
      </c>
      <c r="B375" s="5">
        <v>45854</v>
      </c>
      <c r="C375" s="2" t="s">
        <v>1688</v>
      </c>
      <c r="D375" s="2" t="s">
        <v>16</v>
      </c>
      <c r="E375" s="2" t="s">
        <v>111</v>
      </c>
      <c r="F375" s="2" t="s">
        <v>95</v>
      </c>
      <c r="G375" s="2" t="s">
        <v>35</v>
      </c>
      <c r="H375" s="2">
        <v>20</v>
      </c>
      <c r="I375" s="7">
        <v>492.45</v>
      </c>
      <c r="J375" s="2">
        <v>10</v>
      </c>
      <c r="K375" s="7">
        <v>8864.1</v>
      </c>
      <c r="L375" s="2" t="s">
        <v>2347</v>
      </c>
      <c r="M375" s="2" t="s">
        <v>2364</v>
      </c>
    </row>
    <row r="376" spans="1:13" x14ac:dyDescent="0.3">
      <c r="A376" s="2" t="s">
        <v>1167</v>
      </c>
      <c r="B376" s="5">
        <v>45826</v>
      </c>
      <c r="C376" s="2" t="s">
        <v>1168</v>
      </c>
      <c r="D376" s="2" t="s">
        <v>46</v>
      </c>
      <c r="E376" s="2" t="s">
        <v>244</v>
      </c>
      <c r="F376" s="2" t="s">
        <v>95</v>
      </c>
      <c r="G376" s="2" t="s">
        <v>35</v>
      </c>
      <c r="H376" s="2">
        <v>27</v>
      </c>
      <c r="I376" s="7">
        <v>345.71</v>
      </c>
      <c r="J376" s="2">
        <v>5</v>
      </c>
      <c r="K376" s="7">
        <v>8867.4599999999991</v>
      </c>
      <c r="L376" s="2" t="s">
        <v>49</v>
      </c>
      <c r="M376" s="2" t="s">
        <v>2364</v>
      </c>
    </row>
    <row r="377" spans="1:13" x14ac:dyDescent="0.3">
      <c r="A377" s="2" t="s">
        <v>1887</v>
      </c>
      <c r="B377" s="5">
        <v>45584</v>
      </c>
      <c r="C377" s="2" t="s">
        <v>1888</v>
      </c>
      <c r="D377" s="2" t="s">
        <v>16</v>
      </c>
      <c r="E377" s="2" t="s">
        <v>74</v>
      </c>
      <c r="F377" s="2" t="s">
        <v>95</v>
      </c>
      <c r="G377" s="2" t="s">
        <v>35</v>
      </c>
      <c r="H377" s="2">
        <v>10</v>
      </c>
      <c r="I377" s="7">
        <v>1113.58</v>
      </c>
      <c r="J377" s="2">
        <v>20</v>
      </c>
      <c r="K377" s="7">
        <v>8908.64</v>
      </c>
      <c r="L377" s="2" t="s">
        <v>69</v>
      </c>
      <c r="M377" s="2" t="s">
        <v>2364</v>
      </c>
    </row>
    <row r="378" spans="1:13" x14ac:dyDescent="0.3">
      <c r="A378" s="2" t="s">
        <v>1294</v>
      </c>
      <c r="B378" s="5">
        <v>45616</v>
      </c>
      <c r="C378" s="2" t="s">
        <v>1295</v>
      </c>
      <c r="D378" s="2" t="s">
        <v>24</v>
      </c>
      <c r="E378" s="2" t="s">
        <v>41</v>
      </c>
      <c r="F378" s="2" t="s">
        <v>95</v>
      </c>
      <c r="G378" s="2" t="s">
        <v>35</v>
      </c>
      <c r="H378" s="2">
        <v>8</v>
      </c>
      <c r="I378" s="7">
        <v>1196.98</v>
      </c>
      <c r="J378" s="2">
        <v>5</v>
      </c>
      <c r="K378" s="7">
        <v>9097.0499999999993</v>
      </c>
      <c r="L378" s="2" t="s">
        <v>27</v>
      </c>
      <c r="M378" s="2" t="s">
        <v>2365</v>
      </c>
    </row>
    <row r="379" spans="1:13" x14ac:dyDescent="0.3">
      <c r="A379" s="2" t="s">
        <v>609</v>
      </c>
      <c r="B379" s="5">
        <v>45799</v>
      </c>
      <c r="C379" s="2" t="s">
        <v>610</v>
      </c>
      <c r="D379" s="2" t="s">
        <v>53</v>
      </c>
      <c r="E379" s="2" t="s">
        <v>141</v>
      </c>
      <c r="F379" s="2" t="s">
        <v>95</v>
      </c>
      <c r="G379" s="2" t="s">
        <v>35</v>
      </c>
      <c r="H379" s="2">
        <v>27</v>
      </c>
      <c r="I379" s="7">
        <v>339.73</v>
      </c>
      <c r="J379" s="2">
        <v>0</v>
      </c>
      <c r="K379" s="7">
        <v>9172.7099999999991</v>
      </c>
      <c r="L379" s="2" t="s">
        <v>27</v>
      </c>
      <c r="M379" s="2" t="s">
        <v>2364</v>
      </c>
    </row>
    <row r="380" spans="1:13" x14ac:dyDescent="0.3">
      <c r="A380" s="2" t="s">
        <v>979</v>
      </c>
      <c r="B380" s="5">
        <v>45883</v>
      </c>
      <c r="C380" s="2" t="s">
        <v>980</v>
      </c>
      <c r="D380" s="2" t="s">
        <v>46</v>
      </c>
      <c r="E380" s="2" t="s">
        <v>124</v>
      </c>
      <c r="F380" s="2" t="s">
        <v>95</v>
      </c>
      <c r="G380" s="2" t="s">
        <v>35</v>
      </c>
      <c r="H380" s="2">
        <v>10</v>
      </c>
      <c r="I380" s="7">
        <v>1124</v>
      </c>
      <c r="J380" s="2">
        <v>10</v>
      </c>
      <c r="K380" s="7">
        <v>10116</v>
      </c>
      <c r="L380" s="2" t="s">
        <v>69</v>
      </c>
      <c r="M380" s="2" t="s">
        <v>2364</v>
      </c>
    </row>
    <row r="381" spans="1:13" x14ac:dyDescent="0.3">
      <c r="A381" s="2" t="s">
        <v>1069</v>
      </c>
      <c r="B381" s="5">
        <v>45670</v>
      </c>
      <c r="C381" s="2" t="s">
        <v>1070</v>
      </c>
      <c r="D381" s="2" t="s">
        <v>16</v>
      </c>
      <c r="E381" s="2" t="s">
        <v>91</v>
      </c>
      <c r="F381" s="2" t="s">
        <v>95</v>
      </c>
      <c r="G381" s="2" t="s">
        <v>35</v>
      </c>
      <c r="H381" s="2">
        <v>14</v>
      </c>
      <c r="I381" s="7">
        <v>812.74</v>
      </c>
      <c r="J381" s="2">
        <v>10</v>
      </c>
      <c r="K381" s="7">
        <v>10240.52</v>
      </c>
      <c r="L381" s="2" t="s">
        <v>2347</v>
      </c>
      <c r="M381" s="2" t="s">
        <v>2364</v>
      </c>
    </row>
    <row r="382" spans="1:13" x14ac:dyDescent="0.3">
      <c r="A382" s="2" t="s">
        <v>2223</v>
      </c>
      <c r="B382" s="5">
        <v>45651</v>
      </c>
      <c r="C382" s="2" t="s">
        <v>1652</v>
      </c>
      <c r="D382" s="2" t="s">
        <v>16</v>
      </c>
      <c r="E382" s="2" t="s">
        <v>17</v>
      </c>
      <c r="F382" s="2" t="s">
        <v>95</v>
      </c>
      <c r="G382" s="2" t="s">
        <v>35</v>
      </c>
      <c r="H382" s="2">
        <v>10</v>
      </c>
      <c r="I382" s="7">
        <v>1025.49</v>
      </c>
      <c r="J382" s="2">
        <v>0</v>
      </c>
      <c r="K382" s="7">
        <v>10254.9</v>
      </c>
      <c r="L382" s="2" t="s">
        <v>31</v>
      </c>
      <c r="M382" s="2" t="s">
        <v>2364</v>
      </c>
    </row>
    <row r="383" spans="1:13" x14ac:dyDescent="0.3">
      <c r="A383" s="2" t="s">
        <v>874</v>
      </c>
      <c r="B383" s="5">
        <v>45804</v>
      </c>
      <c r="C383" s="2" t="s">
        <v>875</v>
      </c>
      <c r="D383" s="2" t="s">
        <v>46</v>
      </c>
      <c r="E383" s="2" t="s">
        <v>124</v>
      </c>
      <c r="F383" s="2" t="s">
        <v>95</v>
      </c>
      <c r="G383" s="2" t="s">
        <v>35</v>
      </c>
      <c r="H383" s="2">
        <v>32</v>
      </c>
      <c r="I383" s="7">
        <v>320.99</v>
      </c>
      <c r="J383" s="2">
        <v>0</v>
      </c>
      <c r="K383" s="7">
        <v>10271.68</v>
      </c>
      <c r="L383" s="2" t="s">
        <v>27</v>
      </c>
      <c r="M383" s="2" t="s">
        <v>2364</v>
      </c>
    </row>
    <row r="384" spans="1:13" x14ac:dyDescent="0.3">
      <c r="A384" s="2" t="s">
        <v>816</v>
      </c>
      <c r="B384" s="5">
        <v>45692</v>
      </c>
      <c r="C384" s="2" t="s">
        <v>680</v>
      </c>
      <c r="D384" s="2" t="s">
        <v>53</v>
      </c>
      <c r="E384" s="2" t="s">
        <v>134</v>
      </c>
      <c r="F384" s="2" t="s">
        <v>95</v>
      </c>
      <c r="G384" s="2" t="s">
        <v>35</v>
      </c>
      <c r="H384" s="2">
        <v>47</v>
      </c>
      <c r="I384" s="7">
        <v>238.87</v>
      </c>
      <c r="J384" s="2">
        <v>5</v>
      </c>
      <c r="K384" s="7">
        <v>10665.55</v>
      </c>
      <c r="L384" s="2" t="s">
        <v>31</v>
      </c>
      <c r="M384" s="2" t="s">
        <v>2364</v>
      </c>
    </row>
    <row r="385" spans="1:13" x14ac:dyDescent="0.3">
      <c r="A385" s="2" t="s">
        <v>462</v>
      </c>
      <c r="B385" s="5">
        <v>45879</v>
      </c>
      <c r="C385" s="2" t="s">
        <v>463</v>
      </c>
      <c r="D385" s="2" t="s">
        <v>24</v>
      </c>
      <c r="E385" s="2" t="s">
        <v>25</v>
      </c>
      <c r="F385" s="2" t="s">
        <v>95</v>
      </c>
      <c r="G385" s="2" t="s">
        <v>35</v>
      </c>
      <c r="H385" s="2">
        <v>32</v>
      </c>
      <c r="I385" s="7">
        <v>355.11</v>
      </c>
      <c r="J385" s="2">
        <v>5</v>
      </c>
      <c r="K385" s="7">
        <v>10795.34</v>
      </c>
      <c r="L385" s="2" t="s">
        <v>31</v>
      </c>
      <c r="M385" s="2" t="s">
        <v>2365</v>
      </c>
    </row>
    <row r="386" spans="1:13" x14ac:dyDescent="0.3">
      <c r="A386" s="2" t="s">
        <v>1837</v>
      </c>
      <c r="B386" s="5">
        <v>45602</v>
      </c>
      <c r="C386" s="2" t="s">
        <v>1838</v>
      </c>
      <c r="D386" s="2" t="s">
        <v>16</v>
      </c>
      <c r="E386" s="2" t="s">
        <v>74</v>
      </c>
      <c r="F386" s="2" t="s">
        <v>95</v>
      </c>
      <c r="G386" s="2" t="s">
        <v>35</v>
      </c>
      <c r="H386" s="2">
        <v>11</v>
      </c>
      <c r="I386" s="7">
        <v>1155.76</v>
      </c>
      <c r="J386" s="2">
        <v>15</v>
      </c>
      <c r="K386" s="7">
        <v>10806.36</v>
      </c>
      <c r="L386" s="2" t="s">
        <v>27</v>
      </c>
      <c r="M386" s="2" t="s">
        <v>2365</v>
      </c>
    </row>
    <row r="387" spans="1:13" x14ac:dyDescent="0.3">
      <c r="A387" s="2" t="s">
        <v>1171</v>
      </c>
      <c r="B387" s="5">
        <v>45819</v>
      </c>
      <c r="C387" s="2" t="s">
        <v>176</v>
      </c>
      <c r="D387" s="2" t="s">
        <v>16</v>
      </c>
      <c r="E387" s="2" t="s">
        <v>160</v>
      </c>
      <c r="F387" s="2" t="s">
        <v>95</v>
      </c>
      <c r="G387" s="2" t="s">
        <v>35</v>
      </c>
      <c r="H387" s="2">
        <v>14</v>
      </c>
      <c r="I387" s="7">
        <v>922.37</v>
      </c>
      <c r="J387" s="2">
        <v>15</v>
      </c>
      <c r="K387" s="7">
        <v>10976.2</v>
      </c>
      <c r="L387" s="2" t="s">
        <v>27</v>
      </c>
      <c r="M387" s="2" t="s">
        <v>2364</v>
      </c>
    </row>
    <row r="388" spans="1:13" x14ac:dyDescent="0.3">
      <c r="A388" s="2" t="s">
        <v>2265</v>
      </c>
      <c r="B388" s="5">
        <v>46159</v>
      </c>
      <c r="C388" s="2" t="s">
        <v>2266</v>
      </c>
      <c r="D388" s="2" t="s">
        <v>24</v>
      </c>
      <c r="E388" s="2" t="s">
        <v>36</v>
      </c>
      <c r="F388" s="2" t="s">
        <v>95</v>
      </c>
      <c r="G388" s="2" t="s">
        <v>35</v>
      </c>
      <c r="H388" s="2">
        <v>30</v>
      </c>
      <c r="I388" s="7">
        <v>376.34</v>
      </c>
      <c r="J388" s="2">
        <v>0</v>
      </c>
      <c r="K388" s="7">
        <v>11290.2</v>
      </c>
      <c r="L388" s="2" t="s">
        <v>27</v>
      </c>
      <c r="M388" s="2" t="s">
        <v>2365</v>
      </c>
    </row>
    <row r="389" spans="1:13" x14ac:dyDescent="0.3">
      <c r="A389" s="2" t="s">
        <v>1046</v>
      </c>
      <c r="B389" s="5">
        <v>45997</v>
      </c>
      <c r="C389" s="2" t="s">
        <v>1047</v>
      </c>
      <c r="D389" s="2" t="s">
        <v>16</v>
      </c>
      <c r="E389" s="2" t="s">
        <v>74</v>
      </c>
      <c r="F389" s="2" t="s">
        <v>95</v>
      </c>
      <c r="G389" s="2" t="s">
        <v>35</v>
      </c>
      <c r="H389" s="2">
        <v>11</v>
      </c>
      <c r="I389" s="7">
        <v>1097.1300000000001</v>
      </c>
      <c r="J389" s="2">
        <v>5</v>
      </c>
      <c r="K389" s="7">
        <v>11465.01</v>
      </c>
      <c r="L389" s="2" t="s">
        <v>27</v>
      </c>
      <c r="M389" s="2" t="s">
        <v>2364</v>
      </c>
    </row>
    <row r="390" spans="1:13" x14ac:dyDescent="0.3">
      <c r="A390" s="2" t="s">
        <v>1890</v>
      </c>
      <c r="B390" s="5">
        <v>46007</v>
      </c>
      <c r="C390" s="2" t="s">
        <v>1891</v>
      </c>
      <c r="D390" s="2" t="s">
        <v>16</v>
      </c>
      <c r="E390" s="2" t="s">
        <v>160</v>
      </c>
      <c r="F390" s="2" t="s">
        <v>95</v>
      </c>
      <c r="G390" s="2" t="s">
        <v>35</v>
      </c>
      <c r="H390" s="2">
        <v>49</v>
      </c>
      <c r="I390" s="7">
        <v>260.95</v>
      </c>
      <c r="J390" s="2">
        <v>10</v>
      </c>
      <c r="K390" s="7">
        <v>11507.9</v>
      </c>
      <c r="L390" s="2" t="s">
        <v>49</v>
      </c>
      <c r="M390" s="2" t="s">
        <v>2364</v>
      </c>
    </row>
    <row r="391" spans="1:13" x14ac:dyDescent="0.3">
      <c r="A391" s="2" t="s">
        <v>2065</v>
      </c>
      <c r="B391" s="5">
        <v>46226</v>
      </c>
      <c r="C391" s="2" t="s">
        <v>2066</v>
      </c>
      <c r="D391" s="2" t="s">
        <v>53</v>
      </c>
      <c r="E391" s="2" t="s">
        <v>170</v>
      </c>
      <c r="F391" s="2" t="s">
        <v>95</v>
      </c>
      <c r="G391" s="2" t="s">
        <v>35</v>
      </c>
      <c r="H391" s="2">
        <v>41</v>
      </c>
      <c r="I391" s="7">
        <v>297.73</v>
      </c>
      <c r="J391" s="2">
        <v>5</v>
      </c>
      <c r="K391" s="7">
        <v>11596.58</v>
      </c>
      <c r="L391" s="2" t="s">
        <v>49</v>
      </c>
      <c r="M391" s="2" t="s">
        <v>2364</v>
      </c>
    </row>
    <row r="392" spans="1:13" x14ac:dyDescent="0.3">
      <c r="A392" s="2" t="s">
        <v>1513</v>
      </c>
      <c r="B392" s="5">
        <v>46302</v>
      </c>
      <c r="C392" s="2" t="s">
        <v>1514</v>
      </c>
      <c r="D392" s="2" t="s">
        <v>53</v>
      </c>
      <c r="E392" s="2" t="s">
        <v>67</v>
      </c>
      <c r="F392" s="2" t="s">
        <v>95</v>
      </c>
      <c r="G392" s="2" t="s">
        <v>35</v>
      </c>
      <c r="H392" s="2">
        <v>40</v>
      </c>
      <c r="I392" s="7">
        <v>291.51</v>
      </c>
      <c r="J392" s="2">
        <v>0</v>
      </c>
      <c r="K392" s="7">
        <v>11660.4</v>
      </c>
      <c r="L392" s="2" t="s">
        <v>69</v>
      </c>
      <c r="M392" s="2" t="s">
        <v>2364</v>
      </c>
    </row>
    <row r="393" spans="1:13" x14ac:dyDescent="0.3">
      <c r="A393" s="2" t="s">
        <v>1713</v>
      </c>
      <c r="B393" s="5">
        <v>46245</v>
      </c>
      <c r="C393" s="2" t="s">
        <v>1714</v>
      </c>
      <c r="D393" s="2" t="s">
        <v>24</v>
      </c>
      <c r="E393" s="2" t="s">
        <v>36</v>
      </c>
      <c r="F393" s="2" t="s">
        <v>95</v>
      </c>
      <c r="G393" s="2" t="s">
        <v>35</v>
      </c>
      <c r="H393" s="2">
        <v>27</v>
      </c>
      <c r="I393" s="7">
        <v>438.77</v>
      </c>
      <c r="J393" s="2">
        <v>0</v>
      </c>
      <c r="K393" s="7">
        <v>11846.79</v>
      </c>
      <c r="L393" s="2" t="s">
        <v>27</v>
      </c>
      <c r="M393" s="2" t="s">
        <v>2364</v>
      </c>
    </row>
    <row r="394" spans="1:13" x14ac:dyDescent="0.3">
      <c r="A394" s="2" t="s">
        <v>372</v>
      </c>
      <c r="B394" s="5">
        <v>46270</v>
      </c>
      <c r="C394" s="2" t="s">
        <v>373</v>
      </c>
      <c r="D394" s="2" t="s">
        <v>46</v>
      </c>
      <c r="E394" s="2" t="s">
        <v>47</v>
      </c>
      <c r="F394" s="2" t="s">
        <v>95</v>
      </c>
      <c r="G394" s="2" t="s">
        <v>35</v>
      </c>
      <c r="H394" s="2">
        <v>25</v>
      </c>
      <c r="I394" s="7">
        <v>482.13</v>
      </c>
      <c r="J394" s="2">
        <v>0</v>
      </c>
      <c r="K394" s="7">
        <v>12053.25</v>
      </c>
      <c r="L394" s="2" t="s">
        <v>31</v>
      </c>
      <c r="M394" s="2" t="s">
        <v>2364</v>
      </c>
    </row>
    <row r="395" spans="1:13" x14ac:dyDescent="0.3">
      <c r="A395" s="2" t="s">
        <v>1701</v>
      </c>
      <c r="B395" s="5">
        <v>45663</v>
      </c>
      <c r="C395" s="2" t="s">
        <v>1144</v>
      </c>
      <c r="D395" s="2" t="s">
        <v>46</v>
      </c>
      <c r="E395" s="2" t="s">
        <v>83</v>
      </c>
      <c r="F395" s="2" t="s">
        <v>95</v>
      </c>
      <c r="G395" s="2" t="s">
        <v>35</v>
      </c>
      <c r="H395" s="2">
        <v>29</v>
      </c>
      <c r="I395" s="7">
        <v>441.88</v>
      </c>
      <c r="J395" s="2">
        <v>5</v>
      </c>
      <c r="K395" s="7">
        <v>12173.79</v>
      </c>
      <c r="L395" s="2" t="s">
        <v>2347</v>
      </c>
      <c r="M395" s="2" t="s">
        <v>2364</v>
      </c>
    </row>
    <row r="396" spans="1:13" x14ac:dyDescent="0.3">
      <c r="A396" s="2" t="s">
        <v>2256</v>
      </c>
      <c r="B396" s="5">
        <v>45667</v>
      </c>
      <c r="C396" s="2" t="s">
        <v>1347</v>
      </c>
      <c r="D396" s="2" t="s">
        <v>46</v>
      </c>
      <c r="E396" s="2" t="s">
        <v>83</v>
      </c>
      <c r="F396" s="2" t="s">
        <v>95</v>
      </c>
      <c r="G396" s="2" t="s">
        <v>35</v>
      </c>
      <c r="H396" s="2">
        <v>15</v>
      </c>
      <c r="I396" s="7">
        <v>857.48</v>
      </c>
      <c r="J396" s="2">
        <v>5</v>
      </c>
      <c r="K396" s="7">
        <v>12219.09</v>
      </c>
      <c r="L396" s="2" t="s">
        <v>69</v>
      </c>
      <c r="M396" s="2" t="s">
        <v>2364</v>
      </c>
    </row>
    <row r="397" spans="1:13" x14ac:dyDescent="0.3">
      <c r="A397" s="2" t="s">
        <v>1474</v>
      </c>
      <c r="B397" s="5">
        <v>45765</v>
      </c>
      <c r="C397" s="2" t="s">
        <v>391</v>
      </c>
      <c r="D397" s="2" t="s">
        <v>24</v>
      </c>
      <c r="E397" s="2" t="s">
        <v>41</v>
      </c>
      <c r="F397" s="2" t="s">
        <v>95</v>
      </c>
      <c r="G397" s="2" t="s">
        <v>35</v>
      </c>
      <c r="H397" s="2">
        <v>42</v>
      </c>
      <c r="I397" s="7">
        <v>352.01</v>
      </c>
      <c r="J397" s="2">
        <v>15</v>
      </c>
      <c r="K397" s="7">
        <v>12566.76</v>
      </c>
      <c r="L397" s="2" t="s">
        <v>49</v>
      </c>
      <c r="M397" s="2" t="s">
        <v>2364</v>
      </c>
    </row>
    <row r="398" spans="1:13" x14ac:dyDescent="0.3">
      <c r="A398" s="2" t="s">
        <v>1578</v>
      </c>
      <c r="B398" s="5">
        <v>45707</v>
      </c>
      <c r="C398" s="2" t="s">
        <v>223</v>
      </c>
      <c r="D398" s="2" t="s">
        <v>46</v>
      </c>
      <c r="E398" s="2" t="s">
        <v>47</v>
      </c>
      <c r="F398" s="2" t="s">
        <v>95</v>
      </c>
      <c r="G398" s="2" t="s">
        <v>35</v>
      </c>
      <c r="H398" s="2">
        <v>13</v>
      </c>
      <c r="I398" s="7">
        <v>969.26</v>
      </c>
      <c r="J398" s="2">
        <v>0</v>
      </c>
      <c r="K398" s="7">
        <v>12600.38</v>
      </c>
      <c r="L398" s="2" t="s">
        <v>31</v>
      </c>
      <c r="M398" s="2" t="s">
        <v>2365</v>
      </c>
    </row>
    <row r="399" spans="1:13" x14ac:dyDescent="0.3">
      <c r="A399" s="2" t="s">
        <v>471</v>
      </c>
      <c r="B399" s="5">
        <v>46261</v>
      </c>
      <c r="C399" s="2" t="s">
        <v>472</v>
      </c>
      <c r="D399" s="2" t="s">
        <v>16</v>
      </c>
      <c r="E399" s="2" t="s">
        <v>91</v>
      </c>
      <c r="F399" s="2" t="s">
        <v>95</v>
      </c>
      <c r="G399" s="2" t="s">
        <v>35</v>
      </c>
      <c r="H399" s="2">
        <v>12</v>
      </c>
      <c r="I399" s="7">
        <v>1069.95</v>
      </c>
      <c r="J399" s="2">
        <v>0</v>
      </c>
      <c r="K399" s="7">
        <v>12839.4</v>
      </c>
      <c r="L399" s="2" t="s">
        <v>49</v>
      </c>
      <c r="M399" s="2" t="s">
        <v>2364</v>
      </c>
    </row>
    <row r="400" spans="1:13" x14ac:dyDescent="0.3">
      <c r="A400" s="2" t="s">
        <v>600</v>
      </c>
      <c r="B400" s="5">
        <v>45784</v>
      </c>
      <c r="C400" s="2" t="s">
        <v>601</v>
      </c>
      <c r="D400" s="2" t="s">
        <v>53</v>
      </c>
      <c r="E400" s="2" t="s">
        <v>54</v>
      </c>
      <c r="F400" s="2" t="s">
        <v>95</v>
      </c>
      <c r="G400" s="2" t="s">
        <v>35</v>
      </c>
      <c r="H400" s="2">
        <v>44</v>
      </c>
      <c r="I400" s="7">
        <v>298.56</v>
      </c>
      <c r="J400" s="2">
        <v>0</v>
      </c>
      <c r="K400" s="7">
        <v>13136.64</v>
      </c>
      <c r="L400" s="2" t="s">
        <v>27</v>
      </c>
      <c r="M400" s="2" t="s">
        <v>2364</v>
      </c>
    </row>
    <row r="401" spans="1:13" x14ac:dyDescent="0.3">
      <c r="A401" s="2" t="s">
        <v>1374</v>
      </c>
      <c r="B401" s="5">
        <v>45868</v>
      </c>
      <c r="C401" s="2" t="s">
        <v>820</v>
      </c>
      <c r="D401" s="2" t="s">
        <v>16</v>
      </c>
      <c r="E401" s="2" t="s">
        <v>74</v>
      </c>
      <c r="F401" s="2" t="s">
        <v>95</v>
      </c>
      <c r="G401" s="2" t="s">
        <v>35</v>
      </c>
      <c r="H401" s="2">
        <v>16</v>
      </c>
      <c r="I401" s="7">
        <v>980.68</v>
      </c>
      <c r="J401" s="2">
        <v>15</v>
      </c>
      <c r="K401" s="7">
        <v>13337.25</v>
      </c>
      <c r="L401" s="2" t="s">
        <v>2347</v>
      </c>
      <c r="M401" s="2" t="s">
        <v>2364</v>
      </c>
    </row>
    <row r="402" spans="1:13" x14ac:dyDescent="0.3">
      <c r="A402" s="2" t="s">
        <v>1297</v>
      </c>
      <c r="B402" s="5">
        <v>45600</v>
      </c>
      <c r="C402" s="2" t="s">
        <v>1298</v>
      </c>
      <c r="D402" s="2" t="s">
        <v>16</v>
      </c>
      <c r="E402" s="2" t="s">
        <v>17</v>
      </c>
      <c r="F402" s="2" t="s">
        <v>95</v>
      </c>
      <c r="G402" s="2" t="s">
        <v>35</v>
      </c>
      <c r="H402" s="2">
        <v>43</v>
      </c>
      <c r="I402" s="7">
        <v>332.79</v>
      </c>
      <c r="J402" s="2">
        <v>5</v>
      </c>
      <c r="K402" s="7">
        <v>13594.47</v>
      </c>
      <c r="L402" s="2" t="s">
        <v>2347</v>
      </c>
      <c r="M402" s="2" t="s">
        <v>2364</v>
      </c>
    </row>
    <row r="403" spans="1:13" x14ac:dyDescent="0.3">
      <c r="A403" s="2" t="s">
        <v>1190</v>
      </c>
      <c r="B403" s="5">
        <v>45898</v>
      </c>
      <c r="C403" s="2" t="s">
        <v>1191</v>
      </c>
      <c r="D403" s="2" t="s">
        <v>53</v>
      </c>
      <c r="E403" s="2" t="s">
        <v>170</v>
      </c>
      <c r="F403" s="2" t="s">
        <v>95</v>
      </c>
      <c r="G403" s="2" t="s">
        <v>35</v>
      </c>
      <c r="H403" s="2">
        <v>12</v>
      </c>
      <c r="I403" s="7">
        <v>1144.19</v>
      </c>
      <c r="J403" s="2">
        <v>0</v>
      </c>
      <c r="K403" s="7">
        <v>13730.28</v>
      </c>
      <c r="L403" s="2" t="s">
        <v>31</v>
      </c>
      <c r="M403" s="2" t="s">
        <v>2364</v>
      </c>
    </row>
    <row r="404" spans="1:13" x14ac:dyDescent="0.3">
      <c r="A404" s="2" t="s">
        <v>2012</v>
      </c>
      <c r="B404" s="5">
        <v>45719</v>
      </c>
      <c r="C404" s="2" t="s">
        <v>2013</v>
      </c>
      <c r="D404" s="2" t="s">
        <v>46</v>
      </c>
      <c r="E404" s="2" t="s">
        <v>124</v>
      </c>
      <c r="F404" s="2" t="s">
        <v>95</v>
      </c>
      <c r="G404" s="2" t="s">
        <v>35</v>
      </c>
      <c r="H404" s="2">
        <v>46</v>
      </c>
      <c r="I404" s="7">
        <v>303.42</v>
      </c>
      <c r="J404" s="2">
        <v>0</v>
      </c>
      <c r="K404" s="7">
        <v>13957.32</v>
      </c>
      <c r="L404" s="2" t="s">
        <v>49</v>
      </c>
      <c r="M404" s="2" t="s">
        <v>2364</v>
      </c>
    </row>
    <row r="405" spans="1:13" x14ac:dyDescent="0.3">
      <c r="A405" s="2" t="s">
        <v>1586</v>
      </c>
      <c r="B405" s="5">
        <v>45906</v>
      </c>
      <c r="C405" s="2" t="s">
        <v>1587</v>
      </c>
      <c r="D405" s="2" t="s">
        <v>53</v>
      </c>
      <c r="E405" s="2" t="s">
        <v>54</v>
      </c>
      <c r="F405" s="2" t="s">
        <v>95</v>
      </c>
      <c r="G405" s="2" t="s">
        <v>35</v>
      </c>
      <c r="H405" s="2">
        <v>13</v>
      </c>
      <c r="I405" s="7">
        <v>1134.18</v>
      </c>
      <c r="J405" s="2">
        <v>5</v>
      </c>
      <c r="K405" s="7">
        <v>14007.12</v>
      </c>
      <c r="L405" s="2" t="s">
        <v>69</v>
      </c>
      <c r="M405" s="2" t="s">
        <v>2365</v>
      </c>
    </row>
    <row r="406" spans="1:13" x14ac:dyDescent="0.3">
      <c r="A406" s="2" t="s">
        <v>2100</v>
      </c>
      <c r="B406" s="5">
        <v>45796</v>
      </c>
      <c r="C406" s="2" t="s">
        <v>2009</v>
      </c>
      <c r="D406" s="2" t="s">
        <v>16</v>
      </c>
      <c r="E406" s="2" t="s">
        <v>91</v>
      </c>
      <c r="F406" s="2" t="s">
        <v>95</v>
      </c>
      <c r="G406" s="2" t="s">
        <v>35</v>
      </c>
      <c r="H406" s="2">
        <v>39</v>
      </c>
      <c r="I406" s="7">
        <v>368.17</v>
      </c>
      <c r="J406" s="2">
        <v>0</v>
      </c>
      <c r="K406" s="7">
        <v>14358.63</v>
      </c>
      <c r="L406" s="2" t="s">
        <v>31</v>
      </c>
      <c r="M406" s="2" t="s">
        <v>2365</v>
      </c>
    </row>
    <row r="407" spans="1:13" x14ac:dyDescent="0.3">
      <c r="A407" s="2" t="s">
        <v>1451</v>
      </c>
      <c r="B407" s="5">
        <v>45597</v>
      </c>
      <c r="C407" s="2" t="s">
        <v>1452</v>
      </c>
      <c r="D407" s="2" t="s">
        <v>24</v>
      </c>
      <c r="E407" s="2" t="s">
        <v>41</v>
      </c>
      <c r="F407" s="2" t="s">
        <v>95</v>
      </c>
      <c r="G407" s="2" t="s">
        <v>35</v>
      </c>
      <c r="H407" s="2">
        <v>38</v>
      </c>
      <c r="I407" s="7">
        <v>425.59</v>
      </c>
      <c r="J407" s="2">
        <v>10</v>
      </c>
      <c r="K407" s="7">
        <v>14555.18</v>
      </c>
      <c r="L407" s="2" t="s">
        <v>69</v>
      </c>
      <c r="M407" s="2" t="s">
        <v>2364</v>
      </c>
    </row>
    <row r="408" spans="1:13" x14ac:dyDescent="0.3">
      <c r="A408" s="2" t="s">
        <v>1193</v>
      </c>
      <c r="B408" s="5">
        <v>46078</v>
      </c>
      <c r="C408" s="2" t="s">
        <v>1003</v>
      </c>
      <c r="D408" s="2" t="s">
        <v>24</v>
      </c>
      <c r="E408" s="2" t="s">
        <v>41</v>
      </c>
      <c r="F408" s="2" t="s">
        <v>95</v>
      </c>
      <c r="G408" s="2" t="s">
        <v>35</v>
      </c>
      <c r="H408" s="2">
        <v>17</v>
      </c>
      <c r="I408" s="7">
        <v>867.67</v>
      </c>
      <c r="J408" s="2">
        <v>0</v>
      </c>
      <c r="K408" s="7">
        <v>14750.39</v>
      </c>
      <c r="L408" s="2" t="s">
        <v>31</v>
      </c>
      <c r="M408" s="2" t="s">
        <v>2365</v>
      </c>
    </row>
    <row r="409" spans="1:13" x14ac:dyDescent="0.3">
      <c r="A409" s="2" t="s">
        <v>1337</v>
      </c>
      <c r="B409" s="5">
        <v>46216</v>
      </c>
      <c r="C409" s="2" t="s">
        <v>1338</v>
      </c>
      <c r="D409" s="2" t="s">
        <v>24</v>
      </c>
      <c r="E409" s="2" t="s">
        <v>104</v>
      </c>
      <c r="F409" s="2" t="s">
        <v>95</v>
      </c>
      <c r="G409" s="2" t="s">
        <v>35</v>
      </c>
      <c r="H409" s="2">
        <v>14</v>
      </c>
      <c r="I409" s="7">
        <v>1059.8599999999999</v>
      </c>
      <c r="J409" s="2">
        <v>0</v>
      </c>
      <c r="K409" s="7">
        <v>14838.04</v>
      </c>
      <c r="L409" s="2" t="s">
        <v>27</v>
      </c>
      <c r="M409" s="2" t="s">
        <v>2364</v>
      </c>
    </row>
    <row r="410" spans="1:13" x14ac:dyDescent="0.3">
      <c r="A410" s="2" t="s">
        <v>1970</v>
      </c>
      <c r="B410" s="5">
        <v>46088</v>
      </c>
      <c r="C410" s="2" t="s">
        <v>1971</v>
      </c>
      <c r="D410" s="2" t="s">
        <v>46</v>
      </c>
      <c r="E410" s="2" t="s">
        <v>124</v>
      </c>
      <c r="F410" s="2" t="s">
        <v>95</v>
      </c>
      <c r="G410" s="2" t="s">
        <v>35</v>
      </c>
      <c r="H410" s="2">
        <v>32</v>
      </c>
      <c r="I410" s="7">
        <v>493.64</v>
      </c>
      <c r="J410" s="2">
        <v>5</v>
      </c>
      <c r="K410" s="7">
        <v>15006.66</v>
      </c>
      <c r="L410" s="2" t="s">
        <v>49</v>
      </c>
      <c r="M410" s="2" t="s">
        <v>2364</v>
      </c>
    </row>
    <row r="411" spans="1:13" x14ac:dyDescent="0.3">
      <c r="A411" s="2" t="s">
        <v>956</v>
      </c>
      <c r="B411" s="5">
        <v>46043</v>
      </c>
      <c r="C411" s="2" t="s">
        <v>957</v>
      </c>
      <c r="D411" s="2" t="s">
        <v>16</v>
      </c>
      <c r="E411" s="2" t="s">
        <v>17</v>
      </c>
      <c r="F411" s="2" t="s">
        <v>95</v>
      </c>
      <c r="G411" s="2" t="s">
        <v>35</v>
      </c>
      <c r="H411" s="2">
        <v>17</v>
      </c>
      <c r="I411" s="7">
        <v>939.17</v>
      </c>
      <c r="J411" s="2">
        <v>5</v>
      </c>
      <c r="K411" s="7">
        <v>15167.6</v>
      </c>
      <c r="L411" s="2" t="s">
        <v>31</v>
      </c>
      <c r="M411" s="2" t="s">
        <v>2364</v>
      </c>
    </row>
    <row r="412" spans="1:13" x14ac:dyDescent="0.3">
      <c r="A412" s="2" t="s">
        <v>1152</v>
      </c>
      <c r="B412" s="5">
        <v>45756</v>
      </c>
      <c r="C412" s="2" t="s">
        <v>1153</v>
      </c>
      <c r="D412" s="2" t="s">
        <v>24</v>
      </c>
      <c r="E412" s="2" t="s">
        <v>59</v>
      </c>
      <c r="F412" s="2" t="s">
        <v>95</v>
      </c>
      <c r="G412" s="2" t="s">
        <v>35</v>
      </c>
      <c r="H412" s="2">
        <v>42</v>
      </c>
      <c r="I412" s="7">
        <v>386.63</v>
      </c>
      <c r="J412" s="2">
        <v>5</v>
      </c>
      <c r="K412" s="7">
        <v>15426.54</v>
      </c>
      <c r="L412" s="2" t="s">
        <v>69</v>
      </c>
      <c r="M412" s="2" t="s">
        <v>2365</v>
      </c>
    </row>
    <row r="413" spans="1:13" x14ac:dyDescent="0.3">
      <c r="A413" s="2" t="s">
        <v>352</v>
      </c>
      <c r="B413" s="5">
        <v>45810</v>
      </c>
      <c r="C413" s="2" t="s">
        <v>353</v>
      </c>
      <c r="D413" s="2" t="s">
        <v>53</v>
      </c>
      <c r="E413" s="2" t="s">
        <v>54</v>
      </c>
      <c r="F413" s="2" t="s">
        <v>95</v>
      </c>
      <c r="G413" s="2" t="s">
        <v>35</v>
      </c>
      <c r="H413" s="2">
        <v>18</v>
      </c>
      <c r="I413" s="7">
        <v>863.31</v>
      </c>
      <c r="J413" s="2">
        <v>0</v>
      </c>
      <c r="K413" s="7">
        <v>15539.58</v>
      </c>
      <c r="L413" s="2" t="s">
        <v>69</v>
      </c>
      <c r="M413" s="2" t="s">
        <v>2364</v>
      </c>
    </row>
    <row r="414" spans="1:13" x14ac:dyDescent="0.3">
      <c r="A414" s="2" t="s">
        <v>1276</v>
      </c>
      <c r="B414" s="5">
        <v>45679</v>
      </c>
      <c r="C414" s="2" t="s">
        <v>1277</v>
      </c>
      <c r="D414" s="2" t="s">
        <v>24</v>
      </c>
      <c r="E414" s="2" t="s">
        <v>59</v>
      </c>
      <c r="F414" s="2" t="s">
        <v>95</v>
      </c>
      <c r="G414" s="2" t="s">
        <v>35</v>
      </c>
      <c r="H414" s="2">
        <v>19</v>
      </c>
      <c r="I414" s="7">
        <v>862.05</v>
      </c>
      <c r="J414" s="2">
        <v>5</v>
      </c>
      <c r="K414" s="7">
        <v>15560</v>
      </c>
      <c r="L414" s="2" t="s">
        <v>27</v>
      </c>
      <c r="M414" s="2" t="s">
        <v>2364</v>
      </c>
    </row>
    <row r="415" spans="1:13" x14ac:dyDescent="0.3">
      <c r="A415" s="2" t="s">
        <v>772</v>
      </c>
      <c r="B415" s="5">
        <v>45612</v>
      </c>
      <c r="C415" s="2" t="s">
        <v>773</v>
      </c>
      <c r="D415" s="2" t="s">
        <v>16</v>
      </c>
      <c r="E415" s="2" t="s">
        <v>160</v>
      </c>
      <c r="F415" s="2" t="s">
        <v>95</v>
      </c>
      <c r="G415" s="2" t="s">
        <v>35</v>
      </c>
      <c r="H415" s="2">
        <v>38</v>
      </c>
      <c r="I415" s="7">
        <v>423.76</v>
      </c>
      <c r="J415" s="2">
        <v>0</v>
      </c>
      <c r="K415" s="7">
        <v>16102.88</v>
      </c>
      <c r="L415" s="2" t="s">
        <v>2347</v>
      </c>
      <c r="M415" s="2" t="s">
        <v>2364</v>
      </c>
    </row>
    <row r="416" spans="1:13" x14ac:dyDescent="0.3">
      <c r="A416" s="2" t="s">
        <v>477</v>
      </c>
      <c r="B416" s="5">
        <v>46040</v>
      </c>
      <c r="C416" s="2" t="s">
        <v>478</v>
      </c>
      <c r="D416" s="2" t="s">
        <v>16</v>
      </c>
      <c r="E416" s="2" t="s">
        <v>111</v>
      </c>
      <c r="F416" s="2" t="s">
        <v>95</v>
      </c>
      <c r="G416" s="2" t="s">
        <v>35</v>
      </c>
      <c r="H416" s="2">
        <v>16</v>
      </c>
      <c r="I416" s="7">
        <v>1009.59</v>
      </c>
      <c r="J416" s="2">
        <v>0</v>
      </c>
      <c r="K416" s="7">
        <v>16153.44</v>
      </c>
      <c r="L416" s="2" t="s">
        <v>31</v>
      </c>
      <c r="M416" s="2" t="s">
        <v>2364</v>
      </c>
    </row>
    <row r="417" spans="1:13" x14ac:dyDescent="0.3">
      <c r="A417" s="2" t="s">
        <v>791</v>
      </c>
      <c r="B417" s="5">
        <v>46030</v>
      </c>
      <c r="C417" s="2" t="s">
        <v>514</v>
      </c>
      <c r="D417" s="2" t="s">
        <v>53</v>
      </c>
      <c r="E417" s="2" t="s">
        <v>134</v>
      </c>
      <c r="F417" s="2" t="s">
        <v>95</v>
      </c>
      <c r="G417" s="2" t="s">
        <v>35</v>
      </c>
      <c r="H417" s="2">
        <v>22</v>
      </c>
      <c r="I417" s="7">
        <v>918.39</v>
      </c>
      <c r="J417" s="2">
        <v>20</v>
      </c>
      <c r="K417" s="7">
        <v>16163.66</v>
      </c>
      <c r="L417" s="2" t="s">
        <v>27</v>
      </c>
      <c r="M417" s="2" t="s">
        <v>2364</v>
      </c>
    </row>
    <row r="418" spans="1:13" x14ac:dyDescent="0.3">
      <c r="A418" s="2" t="s">
        <v>1761</v>
      </c>
      <c r="B418" s="5">
        <v>46243</v>
      </c>
      <c r="C418" s="2" t="s">
        <v>1762</v>
      </c>
      <c r="D418" s="2" t="s">
        <v>46</v>
      </c>
      <c r="E418" s="2" t="s">
        <v>124</v>
      </c>
      <c r="F418" s="2" t="s">
        <v>95</v>
      </c>
      <c r="G418" s="2" t="s">
        <v>35</v>
      </c>
      <c r="H418" s="2">
        <v>33</v>
      </c>
      <c r="I418" s="7">
        <v>495.95</v>
      </c>
      <c r="J418" s="2">
        <v>0</v>
      </c>
      <c r="K418" s="7">
        <v>16366.35</v>
      </c>
      <c r="L418" s="2" t="s">
        <v>49</v>
      </c>
      <c r="M418" s="2" t="s">
        <v>2365</v>
      </c>
    </row>
    <row r="419" spans="1:13" x14ac:dyDescent="0.3">
      <c r="A419" s="2" t="s">
        <v>1447</v>
      </c>
      <c r="B419" s="5">
        <v>45794</v>
      </c>
      <c r="C419" s="2" t="s">
        <v>1448</v>
      </c>
      <c r="D419" s="2" t="s">
        <v>46</v>
      </c>
      <c r="E419" s="2" t="s">
        <v>78</v>
      </c>
      <c r="F419" s="2" t="s">
        <v>95</v>
      </c>
      <c r="G419" s="2" t="s">
        <v>35</v>
      </c>
      <c r="H419" s="2">
        <v>42</v>
      </c>
      <c r="I419" s="7">
        <v>433.28</v>
      </c>
      <c r="J419" s="2">
        <v>10</v>
      </c>
      <c r="K419" s="7">
        <v>16377.98</v>
      </c>
      <c r="L419" s="2" t="s">
        <v>31</v>
      </c>
      <c r="M419" s="2" t="s">
        <v>2365</v>
      </c>
    </row>
    <row r="420" spans="1:13" x14ac:dyDescent="0.3">
      <c r="A420" s="2" t="s">
        <v>56</v>
      </c>
      <c r="B420" s="5">
        <v>45940</v>
      </c>
      <c r="C420" s="2" t="s">
        <v>57</v>
      </c>
      <c r="D420" s="2" t="s">
        <v>24</v>
      </c>
      <c r="E420" s="2" t="s">
        <v>59</v>
      </c>
      <c r="F420" s="2" t="s">
        <v>95</v>
      </c>
      <c r="G420" s="2" t="s">
        <v>35</v>
      </c>
      <c r="H420" s="2">
        <v>40</v>
      </c>
      <c r="I420" s="7">
        <v>433.18</v>
      </c>
      <c r="J420" s="2">
        <v>5</v>
      </c>
      <c r="K420" s="7">
        <v>16460.84</v>
      </c>
      <c r="L420" s="2" t="s">
        <v>2347</v>
      </c>
      <c r="M420" s="2" t="s">
        <v>2364</v>
      </c>
    </row>
    <row r="421" spans="1:13" x14ac:dyDescent="0.3">
      <c r="A421" s="2" t="s">
        <v>2220</v>
      </c>
      <c r="B421" s="5">
        <v>45651</v>
      </c>
      <c r="C421" s="2" t="s">
        <v>1693</v>
      </c>
      <c r="D421" s="2" t="s">
        <v>16</v>
      </c>
      <c r="E421" s="2" t="s">
        <v>74</v>
      </c>
      <c r="F421" s="2" t="s">
        <v>95</v>
      </c>
      <c r="G421" s="2" t="s">
        <v>35</v>
      </c>
      <c r="H421" s="2">
        <v>48</v>
      </c>
      <c r="I421" s="7">
        <v>376.64</v>
      </c>
      <c r="J421" s="2">
        <v>5</v>
      </c>
      <c r="K421" s="7">
        <v>17174.78</v>
      </c>
      <c r="L421" s="2" t="s">
        <v>49</v>
      </c>
      <c r="M421" s="2" t="s">
        <v>2364</v>
      </c>
    </row>
    <row r="422" spans="1:13" x14ac:dyDescent="0.3">
      <c r="A422" s="2" t="s">
        <v>313</v>
      </c>
      <c r="B422" s="5">
        <v>46134</v>
      </c>
      <c r="C422" s="2" t="s">
        <v>264</v>
      </c>
      <c r="D422" s="2" t="s">
        <v>24</v>
      </c>
      <c r="E422" s="2" t="s">
        <v>36</v>
      </c>
      <c r="F422" s="2" t="s">
        <v>95</v>
      </c>
      <c r="G422" s="2" t="s">
        <v>35</v>
      </c>
      <c r="H422" s="2">
        <v>19</v>
      </c>
      <c r="I422" s="7">
        <v>961.2</v>
      </c>
      <c r="J422" s="2">
        <v>5</v>
      </c>
      <c r="K422" s="7">
        <v>17349.66</v>
      </c>
      <c r="L422" s="2" t="s">
        <v>2347</v>
      </c>
      <c r="M422" s="2" t="s">
        <v>2364</v>
      </c>
    </row>
    <row r="423" spans="1:13" x14ac:dyDescent="0.3">
      <c r="A423" s="2" t="s">
        <v>2147</v>
      </c>
      <c r="B423" s="5">
        <v>45977</v>
      </c>
      <c r="C423" s="2" t="s">
        <v>2148</v>
      </c>
      <c r="D423" s="2" t="s">
        <v>16</v>
      </c>
      <c r="E423" s="2" t="s">
        <v>17</v>
      </c>
      <c r="F423" s="2" t="s">
        <v>95</v>
      </c>
      <c r="G423" s="2" t="s">
        <v>35</v>
      </c>
      <c r="H423" s="2">
        <v>19</v>
      </c>
      <c r="I423" s="7">
        <v>917.25</v>
      </c>
      <c r="J423" s="2">
        <v>0</v>
      </c>
      <c r="K423" s="7">
        <v>17427.75</v>
      </c>
      <c r="L423" s="2" t="s">
        <v>2347</v>
      </c>
      <c r="M423" s="2" t="s">
        <v>2364</v>
      </c>
    </row>
    <row r="424" spans="1:13" x14ac:dyDescent="0.3">
      <c r="A424" s="2" t="s">
        <v>467</v>
      </c>
      <c r="B424" s="5">
        <v>46020</v>
      </c>
      <c r="C424" s="2" t="s">
        <v>291</v>
      </c>
      <c r="D424" s="2" t="s">
        <v>53</v>
      </c>
      <c r="E424" s="2" t="s">
        <v>141</v>
      </c>
      <c r="F424" s="2" t="s">
        <v>95</v>
      </c>
      <c r="G424" s="2" t="s">
        <v>35</v>
      </c>
      <c r="H424" s="2">
        <v>46</v>
      </c>
      <c r="I424" s="7">
        <v>424.79</v>
      </c>
      <c r="J424" s="2">
        <v>10</v>
      </c>
      <c r="K424" s="7">
        <v>17586.310000000001</v>
      </c>
      <c r="L424" s="2" t="s">
        <v>49</v>
      </c>
      <c r="M424" s="2" t="s">
        <v>2364</v>
      </c>
    </row>
    <row r="425" spans="1:13" x14ac:dyDescent="0.3">
      <c r="A425" s="2" t="s">
        <v>1085</v>
      </c>
      <c r="B425" s="5">
        <v>46249</v>
      </c>
      <c r="C425" s="2" t="s">
        <v>1086</v>
      </c>
      <c r="D425" s="2" t="s">
        <v>53</v>
      </c>
      <c r="E425" s="2" t="s">
        <v>134</v>
      </c>
      <c r="F425" s="2" t="s">
        <v>95</v>
      </c>
      <c r="G425" s="2" t="s">
        <v>35</v>
      </c>
      <c r="H425" s="2">
        <v>21</v>
      </c>
      <c r="I425" s="7">
        <v>1068.08</v>
      </c>
      <c r="J425" s="2">
        <v>20</v>
      </c>
      <c r="K425" s="7">
        <v>17943.740000000002</v>
      </c>
      <c r="L425" s="2" t="s">
        <v>31</v>
      </c>
      <c r="M425" s="2" t="s">
        <v>2365</v>
      </c>
    </row>
    <row r="426" spans="1:13" x14ac:dyDescent="0.3">
      <c r="A426" s="2" t="s">
        <v>1777</v>
      </c>
      <c r="B426" s="5">
        <v>45678</v>
      </c>
      <c r="C426" s="2" t="s">
        <v>1778</v>
      </c>
      <c r="D426" s="2" t="s">
        <v>46</v>
      </c>
      <c r="E426" s="2" t="s">
        <v>244</v>
      </c>
      <c r="F426" s="2" t="s">
        <v>95</v>
      </c>
      <c r="G426" s="2" t="s">
        <v>35</v>
      </c>
      <c r="H426" s="2">
        <v>23</v>
      </c>
      <c r="I426" s="7">
        <v>882.01</v>
      </c>
      <c r="J426" s="2">
        <v>10</v>
      </c>
      <c r="K426" s="7">
        <v>18257.61</v>
      </c>
      <c r="L426" s="2" t="s">
        <v>69</v>
      </c>
      <c r="M426" s="2" t="s">
        <v>2364</v>
      </c>
    </row>
    <row r="427" spans="1:13" x14ac:dyDescent="0.3">
      <c r="A427" s="2" t="s">
        <v>780</v>
      </c>
      <c r="B427" s="5">
        <v>46302</v>
      </c>
      <c r="C427" s="2" t="s">
        <v>781</v>
      </c>
      <c r="D427" s="2" t="s">
        <v>16</v>
      </c>
      <c r="E427" s="2" t="s">
        <v>17</v>
      </c>
      <c r="F427" s="2" t="s">
        <v>95</v>
      </c>
      <c r="G427" s="2" t="s">
        <v>35</v>
      </c>
      <c r="H427" s="2">
        <v>46</v>
      </c>
      <c r="I427" s="7">
        <v>496.41</v>
      </c>
      <c r="J427" s="2">
        <v>20</v>
      </c>
      <c r="K427" s="7">
        <v>18267.89</v>
      </c>
      <c r="L427" s="2" t="s">
        <v>31</v>
      </c>
      <c r="M427" s="2" t="s">
        <v>2365</v>
      </c>
    </row>
    <row r="428" spans="1:13" x14ac:dyDescent="0.3">
      <c r="A428" s="2" t="s">
        <v>284</v>
      </c>
      <c r="B428" s="5">
        <v>45727</v>
      </c>
      <c r="C428" s="2" t="s">
        <v>285</v>
      </c>
      <c r="D428" s="2" t="s">
        <v>24</v>
      </c>
      <c r="E428" s="2" t="s">
        <v>104</v>
      </c>
      <c r="F428" s="2" t="s">
        <v>95</v>
      </c>
      <c r="G428" s="2" t="s">
        <v>35</v>
      </c>
      <c r="H428" s="2">
        <v>20</v>
      </c>
      <c r="I428" s="7">
        <v>931.39</v>
      </c>
      <c r="J428" s="2">
        <v>0</v>
      </c>
      <c r="K428" s="7">
        <v>18627.8</v>
      </c>
      <c r="L428" s="2" t="s">
        <v>2347</v>
      </c>
      <c r="M428" s="2" t="s">
        <v>2364</v>
      </c>
    </row>
    <row r="429" spans="1:13" x14ac:dyDescent="0.3">
      <c r="A429" s="2" t="s">
        <v>1796</v>
      </c>
      <c r="B429" s="5">
        <v>45680</v>
      </c>
      <c r="C429" s="2" t="s">
        <v>1797</v>
      </c>
      <c r="D429" s="2" t="s">
        <v>16</v>
      </c>
      <c r="E429" s="2" t="s">
        <v>74</v>
      </c>
      <c r="F429" s="2" t="s">
        <v>95</v>
      </c>
      <c r="G429" s="2" t="s">
        <v>35</v>
      </c>
      <c r="H429" s="2">
        <v>46</v>
      </c>
      <c r="I429" s="7">
        <v>447.59</v>
      </c>
      <c r="J429" s="2">
        <v>5</v>
      </c>
      <c r="K429" s="7">
        <v>19559.68</v>
      </c>
      <c r="L429" s="2" t="s">
        <v>31</v>
      </c>
      <c r="M429" s="2" t="s">
        <v>2364</v>
      </c>
    </row>
    <row r="430" spans="1:13" x14ac:dyDescent="0.3">
      <c r="A430" s="2" t="s">
        <v>1007</v>
      </c>
      <c r="B430" s="5">
        <v>46040</v>
      </c>
      <c r="C430" s="2" t="s">
        <v>1008</v>
      </c>
      <c r="D430" s="2" t="s">
        <v>24</v>
      </c>
      <c r="E430" s="2" t="s">
        <v>59</v>
      </c>
      <c r="F430" s="2" t="s">
        <v>95</v>
      </c>
      <c r="G430" s="2" t="s">
        <v>35</v>
      </c>
      <c r="H430" s="2">
        <v>20</v>
      </c>
      <c r="I430" s="7">
        <v>1060.94</v>
      </c>
      <c r="J430" s="2">
        <v>0</v>
      </c>
      <c r="K430" s="7">
        <v>21218.799999999999</v>
      </c>
      <c r="L430" s="2" t="s">
        <v>31</v>
      </c>
      <c r="M430" s="2" t="s">
        <v>2364</v>
      </c>
    </row>
    <row r="431" spans="1:13" x14ac:dyDescent="0.3">
      <c r="A431" s="2" t="s">
        <v>968</v>
      </c>
      <c r="B431" s="5">
        <v>45599</v>
      </c>
      <c r="C431" s="2" t="s">
        <v>969</v>
      </c>
      <c r="D431" s="2" t="s">
        <v>16</v>
      </c>
      <c r="E431" s="2" t="s">
        <v>111</v>
      </c>
      <c r="F431" s="2" t="s">
        <v>95</v>
      </c>
      <c r="G431" s="2" t="s">
        <v>35</v>
      </c>
      <c r="H431" s="2">
        <v>46</v>
      </c>
      <c r="I431" s="7">
        <v>493.25</v>
      </c>
      <c r="J431" s="2">
        <v>5</v>
      </c>
      <c r="K431" s="7">
        <v>21555.03</v>
      </c>
      <c r="L431" s="2" t="s">
        <v>2347</v>
      </c>
      <c r="M431" s="2" t="s">
        <v>2364</v>
      </c>
    </row>
    <row r="432" spans="1:13" x14ac:dyDescent="0.3">
      <c r="A432" s="2" t="s">
        <v>2332</v>
      </c>
      <c r="B432" s="5">
        <v>45677</v>
      </c>
      <c r="C432" s="2" t="s">
        <v>1759</v>
      </c>
      <c r="D432" s="2" t="s">
        <v>46</v>
      </c>
      <c r="E432" s="2" t="s">
        <v>47</v>
      </c>
      <c r="F432" s="2" t="s">
        <v>95</v>
      </c>
      <c r="G432" s="2" t="s">
        <v>35</v>
      </c>
      <c r="H432" s="2">
        <v>49</v>
      </c>
      <c r="I432" s="7">
        <v>492.54</v>
      </c>
      <c r="J432" s="2">
        <v>10</v>
      </c>
      <c r="K432" s="7">
        <v>21721.01</v>
      </c>
      <c r="L432" s="2" t="s">
        <v>49</v>
      </c>
      <c r="M432" s="2" t="s">
        <v>2365</v>
      </c>
    </row>
    <row r="433" spans="1:13" x14ac:dyDescent="0.3">
      <c r="A433" s="2" t="s">
        <v>2251</v>
      </c>
      <c r="B433" s="5">
        <v>45580</v>
      </c>
      <c r="C433" s="2" t="s">
        <v>2252</v>
      </c>
      <c r="D433" s="2" t="s">
        <v>53</v>
      </c>
      <c r="E433" s="2" t="s">
        <v>54</v>
      </c>
      <c r="F433" s="2" t="s">
        <v>95</v>
      </c>
      <c r="G433" s="2" t="s">
        <v>35</v>
      </c>
      <c r="H433" s="2">
        <v>30</v>
      </c>
      <c r="I433" s="7">
        <v>866.74</v>
      </c>
      <c r="J433" s="2">
        <v>15</v>
      </c>
      <c r="K433" s="7">
        <v>22101.87</v>
      </c>
      <c r="L433" s="2" t="s">
        <v>2347</v>
      </c>
      <c r="M433" s="2" t="s">
        <v>2365</v>
      </c>
    </row>
    <row r="434" spans="1:13" x14ac:dyDescent="0.3">
      <c r="A434" s="2" t="s">
        <v>2321</v>
      </c>
      <c r="B434" s="5">
        <v>45749</v>
      </c>
      <c r="C434" s="2" t="s">
        <v>2322</v>
      </c>
      <c r="D434" s="2" t="s">
        <v>46</v>
      </c>
      <c r="E434" s="2" t="s">
        <v>47</v>
      </c>
      <c r="F434" s="2" t="s">
        <v>95</v>
      </c>
      <c r="G434" s="2" t="s">
        <v>35</v>
      </c>
      <c r="H434" s="2">
        <v>27</v>
      </c>
      <c r="I434" s="7">
        <v>820.61</v>
      </c>
      <c r="J434" s="2">
        <v>0</v>
      </c>
      <c r="K434" s="7">
        <v>22156.47</v>
      </c>
      <c r="L434" s="2" t="s">
        <v>69</v>
      </c>
      <c r="M434" s="2" t="s">
        <v>2365</v>
      </c>
    </row>
    <row r="435" spans="1:13" x14ac:dyDescent="0.3">
      <c r="A435" s="2" t="s">
        <v>290</v>
      </c>
      <c r="B435" s="5">
        <v>45804</v>
      </c>
      <c r="C435" s="2" t="s">
        <v>291</v>
      </c>
      <c r="D435" s="2" t="s">
        <v>46</v>
      </c>
      <c r="E435" s="2" t="s">
        <v>83</v>
      </c>
      <c r="F435" s="2" t="s">
        <v>95</v>
      </c>
      <c r="G435" s="2" t="s">
        <v>35</v>
      </c>
      <c r="H435" s="2">
        <v>29</v>
      </c>
      <c r="I435" s="7">
        <v>911.27</v>
      </c>
      <c r="J435" s="2">
        <v>15</v>
      </c>
      <c r="K435" s="7">
        <v>22462.81</v>
      </c>
      <c r="L435" s="2" t="s">
        <v>27</v>
      </c>
      <c r="M435" s="2" t="s">
        <v>2364</v>
      </c>
    </row>
    <row r="436" spans="1:13" x14ac:dyDescent="0.3">
      <c r="A436" s="2" t="s">
        <v>1743</v>
      </c>
      <c r="B436" s="5">
        <v>46133</v>
      </c>
      <c r="C436" s="2" t="s">
        <v>1102</v>
      </c>
      <c r="D436" s="2" t="s">
        <v>24</v>
      </c>
      <c r="E436" s="2" t="s">
        <v>59</v>
      </c>
      <c r="F436" s="2" t="s">
        <v>95</v>
      </c>
      <c r="G436" s="2" t="s">
        <v>35</v>
      </c>
      <c r="H436" s="2">
        <v>22</v>
      </c>
      <c r="I436" s="7">
        <v>1060.18</v>
      </c>
      <c r="J436" s="2">
        <v>0</v>
      </c>
      <c r="K436" s="7">
        <v>23323.96</v>
      </c>
      <c r="L436" s="2" t="s">
        <v>31</v>
      </c>
      <c r="M436" s="2" t="s">
        <v>2364</v>
      </c>
    </row>
    <row r="437" spans="1:13" x14ac:dyDescent="0.3">
      <c r="A437" s="2" t="s">
        <v>1591</v>
      </c>
      <c r="B437" s="5">
        <v>45628</v>
      </c>
      <c r="C437" s="2" t="s">
        <v>1592</v>
      </c>
      <c r="D437" s="2" t="s">
        <v>24</v>
      </c>
      <c r="E437" s="2" t="s">
        <v>59</v>
      </c>
      <c r="F437" s="2" t="s">
        <v>95</v>
      </c>
      <c r="G437" s="2" t="s">
        <v>35</v>
      </c>
      <c r="H437" s="2">
        <v>23</v>
      </c>
      <c r="I437" s="7">
        <v>1067.8900000000001</v>
      </c>
      <c r="J437" s="2">
        <v>5</v>
      </c>
      <c r="K437" s="7">
        <v>23333.4</v>
      </c>
      <c r="L437" s="2" t="s">
        <v>27</v>
      </c>
      <c r="M437" s="2" t="s">
        <v>2365</v>
      </c>
    </row>
    <row r="438" spans="1:13" x14ac:dyDescent="0.3">
      <c r="A438" s="2" t="s">
        <v>1062</v>
      </c>
      <c r="B438" s="5">
        <v>45949</v>
      </c>
      <c r="C438" s="2" t="s">
        <v>147</v>
      </c>
      <c r="D438" s="2" t="s">
        <v>24</v>
      </c>
      <c r="E438" s="2" t="s">
        <v>104</v>
      </c>
      <c r="F438" s="2" t="s">
        <v>95</v>
      </c>
      <c r="G438" s="2" t="s">
        <v>35</v>
      </c>
      <c r="H438" s="2">
        <v>28</v>
      </c>
      <c r="I438" s="7">
        <v>837.68</v>
      </c>
      <c r="J438" s="2">
        <v>0</v>
      </c>
      <c r="K438" s="7">
        <v>23455.040000000001</v>
      </c>
      <c r="L438" s="2" t="s">
        <v>27</v>
      </c>
      <c r="M438" s="2" t="s">
        <v>2364</v>
      </c>
    </row>
    <row r="439" spans="1:13" x14ac:dyDescent="0.3">
      <c r="A439" s="2" t="s">
        <v>724</v>
      </c>
      <c r="B439" s="5">
        <v>45831</v>
      </c>
      <c r="C439" s="2" t="s">
        <v>725</v>
      </c>
      <c r="D439" s="2" t="s">
        <v>24</v>
      </c>
      <c r="E439" s="2" t="s">
        <v>36</v>
      </c>
      <c r="F439" s="2" t="s">
        <v>95</v>
      </c>
      <c r="G439" s="2" t="s">
        <v>35</v>
      </c>
      <c r="H439" s="2">
        <v>23</v>
      </c>
      <c r="I439" s="7">
        <v>1098.1500000000001</v>
      </c>
      <c r="J439" s="2">
        <v>5</v>
      </c>
      <c r="K439" s="7">
        <v>23994.58</v>
      </c>
      <c r="L439" s="2" t="s">
        <v>27</v>
      </c>
      <c r="M439" s="2" t="s">
        <v>2364</v>
      </c>
    </row>
    <row r="440" spans="1:13" x14ac:dyDescent="0.3">
      <c r="A440" s="2" t="s">
        <v>1535</v>
      </c>
      <c r="B440" s="5">
        <v>45658</v>
      </c>
      <c r="C440" s="2" t="s">
        <v>900</v>
      </c>
      <c r="D440" s="2" t="s">
        <v>24</v>
      </c>
      <c r="E440" s="2" t="s">
        <v>41</v>
      </c>
      <c r="F440" s="2" t="s">
        <v>95</v>
      </c>
      <c r="G440" s="2" t="s">
        <v>35</v>
      </c>
      <c r="H440" s="2">
        <v>29</v>
      </c>
      <c r="I440" s="7">
        <v>888.38</v>
      </c>
      <c r="J440" s="2">
        <v>0</v>
      </c>
      <c r="K440" s="7">
        <v>25763.02</v>
      </c>
      <c r="L440" s="2" t="s">
        <v>69</v>
      </c>
      <c r="M440" s="2" t="s">
        <v>2364</v>
      </c>
    </row>
    <row r="441" spans="1:13" x14ac:dyDescent="0.3">
      <c r="A441" s="2" t="s">
        <v>93</v>
      </c>
      <c r="B441" s="5">
        <v>45715</v>
      </c>
      <c r="C441" s="2" t="s">
        <v>94</v>
      </c>
      <c r="D441" s="2" t="s">
        <v>46</v>
      </c>
      <c r="E441" s="2" t="s">
        <v>78</v>
      </c>
      <c r="F441" s="2" t="s">
        <v>95</v>
      </c>
      <c r="G441" s="2" t="s">
        <v>35</v>
      </c>
      <c r="H441" s="2">
        <v>27</v>
      </c>
      <c r="I441" s="7">
        <v>981.57</v>
      </c>
      <c r="J441" s="2">
        <v>0</v>
      </c>
      <c r="K441" s="7">
        <v>26502.39</v>
      </c>
      <c r="L441" s="2" t="s">
        <v>49</v>
      </c>
      <c r="M441" s="2" t="s">
        <v>2365</v>
      </c>
    </row>
    <row r="442" spans="1:13" x14ac:dyDescent="0.3">
      <c r="A442" s="2" t="s">
        <v>2095</v>
      </c>
      <c r="B442" s="5">
        <v>46255</v>
      </c>
      <c r="C442" s="2" t="s">
        <v>659</v>
      </c>
      <c r="D442" s="2" t="s">
        <v>46</v>
      </c>
      <c r="E442" s="2" t="s">
        <v>47</v>
      </c>
      <c r="F442" s="2" t="s">
        <v>95</v>
      </c>
      <c r="G442" s="2" t="s">
        <v>35</v>
      </c>
      <c r="H442" s="2">
        <v>32</v>
      </c>
      <c r="I442" s="7">
        <v>1071.22</v>
      </c>
      <c r="J442" s="2">
        <v>20</v>
      </c>
      <c r="K442" s="7">
        <v>27423.23</v>
      </c>
      <c r="L442" s="2" t="s">
        <v>49</v>
      </c>
      <c r="M442" s="2" t="s">
        <v>2365</v>
      </c>
    </row>
    <row r="443" spans="1:13" x14ac:dyDescent="0.3">
      <c r="A443" s="2" t="s">
        <v>2113</v>
      </c>
      <c r="B443" s="5">
        <v>46194</v>
      </c>
      <c r="C443" s="2" t="s">
        <v>2114</v>
      </c>
      <c r="D443" s="2" t="s">
        <v>46</v>
      </c>
      <c r="E443" s="2" t="s">
        <v>124</v>
      </c>
      <c r="F443" s="2" t="s">
        <v>95</v>
      </c>
      <c r="G443" s="2" t="s">
        <v>35</v>
      </c>
      <c r="H443" s="2">
        <v>37</v>
      </c>
      <c r="I443" s="7">
        <v>946.14</v>
      </c>
      <c r="J443" s="2">
        <v>20</v>
      </c>
      <c r="K443" s="7">
        <v>28005.74</v>
      </c>
      <c r="L443" s="2" t="s">
        <v>69</v>
      </c>
      <c r="M443" s="2" t="s">
        <v>2365</v>
      </c>
    </row>
    <row r="444" spans="1:13" x14ac:dyDescent="0.3">
      <c r="A444" s="2" t="s">
        <v>1258</v>
      </c>
      <c r="B444" s="5">
        <v>45835</v>
      </c>
      <c r="C444" s="2" t="s">
        <v>1259</v>
      </c>
      <c r="D444" s="2" t="s">
        <v>16</v>
      </c>
      <c r="E444" s="2" t="s">
        <v>74</v>
      </c>
      <c r="F444" s="2" t="s">
        <v>95</v>
      </c>
      <c r="G444" s="2" t="s">
        <v>35</v>
      </c>
      <c r="H444" s="2">
        <v>31</v>
      </c>
      <c r="I444" s="7">
        <v>1173.43</v>
      </c>
      <c r="J444" s="2">
        <v>20</v>
      </c>
      <c r="K444" s="7">
        <v>29101.06</v>
      </c>
      <c r="L444" s="2" t="s">
        <v>69</v>
      </c>
      <c r="M444" s="2" t="s">
        <v>2364</v>
      </c>
    </row>
    <row r="445" spans="1:13" x14ac:dyDescent="0.3">
      <c r="A445" s="2" t="s">
        <v>981</v>
      </c>
      <c r="B445" s="5">
        <v>45723</v>
      </c>
      <c r="C445" s="2" t="s">
        <v>982</v>
      </c>
      <c r="D445" s="2" t="s">
        <v>53</v>
      </c>
      <c r="E445" s="2" t="s">
        <v>141</v>
      </c>
      <c r="F445" s="2" t="s">
        <v>95</v>
      </c>
      <c r="G445" s="2" t="s">
        <v>35</v>
      </c>
      <c r="H445" s="2">
        <v>32</v>
      </c>
      <c r="I445" s="7">
        <v>1124.83</v>
      </c>
      <c r="J445" s="2">
        <v>15</v>
      </c>
      <c r="K445" s="7">
        <v>30595.38</v>
      </c>
      <c r="L445" s="2" t="s">
        <v>2347</v>
      </c>
      <c r="M445" s="2" t="s">
        <v>2364</v>
      </c>
    </row>
    <row r="446" spans="1:13" x14ac:dyDescent="0.3">
      <c r="A446" s="2" t="s">
        <v>266</v>
      </c>
      <c r="B446" s="5">
        <v>46232</v>
      </c>
      <c r="C446" s="2" t="s">
        <v>267</v>
      </c>
      <c r="D446" s="2" t="s">
        <v>16</v>
      </c>
      <c r="E446" s="2" t="s">
        <v>17</v>
      </c>
      <c r="F446" s="2" t="s">
        <v>95</v>
      </c>
      <c r="G446" s="2" t="s">
        <v>35</v>
      </c>
      <c r="H446" s="2">
        <v>36</v>
      </c>
      <c r="I446" s="7">
        <v>1022.56</v>
      </c>
      <c r="J446" s="2">
        <v>15</v>
      </c>
      <c r="K446" s="7">
        <v>31290.34</v>
      </c>
      <c r="L446" s="2" t="s">
        <v>27</v>
      </c>
      <c r="M446" s="2" t="s">
        <v>2364</v>
      </c>
    </row>
    <row r="447" spans="1:13" x14ac:dyDescent="0.3">
      <c r="A447" s="2" t="s">
        <v>2171</v>
      </c>
      <c r="B447" s="5">
        <v>46298</v>
      </c>
      <c r="C447" s="2" t="s">
        <v>2172</v>
      </c>
      <c r="D447" s="2" t="s">
        <v>24</v>
      </c>
      <c r="E447" s="2" t="s">
        <v>104</v>
      </c>
      <c r="F447" s="2" t="s">
        <v>95</v>
      </c>
      <c r="G447" s="2" t="s">
        <v>35</v>
      </c>
      <c r="H447" s="2">
        <v>45</v>
      </c>
      <c r="I447" s="7">
        <v>825.24</v>
      </c>
      <c r="J447" s="2">
        <v>15</v>
      </c>
      <c r="K447" s="7">
        <v>31565.43</v>
      </c>
      <c r="L447" s="2" t="s">
        <v>49</v>
      </c>
      <c r="M447" s="2" t="s">
        <v>2364</v>
      </c>
    </row>
    <row r="448" spans="1:13" x14ac:dyDescent="0.3">
      <c r="A448" s="2" t="s">
        <v>214</v>
      </c>
      <c r="B448" s="5">
        <v>46095</v>
      </c>
      <c r="C448" s="2" t="s">
        <v>120</v>
      </c>
      <c r="D448" s="2" t="s">
        <v>24</v>
      </c>
      <c r="E448" s="2" t="s">
        <v>104</v>
      </c>
      <c r="F448" s="2" t="s">
        <v>95</v>
      </c>
      <c r="G448" s="2" t="s">
        <v>35</v>
      </c>
      <c r="H448" s="2">
        <v>44</v>
      </c>
      <c r="I448" s="7">
        <v>903.71</v>
      </c>
      <c r="J448" s="2">
        <v>20</v>
      </c>
      <c r="K448" s="7">
        <v>31810.59</v>
      </c>
      <c r="L448" s="2" t="s">
        <v>49</v>
      </c>
      <c r="M448" s="2" t="s">
        <v>2364</v>
      </c>
    </row>
    <row r="449" spans="1:13" x14ac:dyDescent="0.3">
      <c r="A449" s="2" t="s">
        <v>2059</v>
      </c>
      <c r="B449" s="5">
        <v>45728</v>
      </c>
      <c r="C449" s="2" t="s">
        <v>2060</v>
      </c>
      <c r="D449" s="2" t="s">
        <v>16</v>
      </c>
      <c r="E449" s="2" t="s">
        <v>17</v>
      </c>
      <c r="F449" s="2" t="s">
        <v>95</v>
      </c>
      <c r="G449" s="2" t="s">
        <v>35</v>
      </c>
      <c r="H449" s="2">
        <v>30</v>
      </c>
      <c r="I449" s="7">
        <v>1190.69</v>
      </c>
      <c r="J449" s="2">
        <v>10</v>
      </c>
      <c r="K449" s="7">
        <v>32148.63</v>
      </c>
      <c r="L449" s="2" t="s">
        <v>69</v>
      </c>
      <c r="M449" s="2" t="s">
        <v>2365</v>
      </c>
    </row>
    <row r="450" spans="1:13" x14ac:dyDescent="0.3">
      <c r="A450" s="2" t="s">
        <v>1346</v>
      </c>
      <c r="B450" s="5">
        <v>45714</v>
      </c>
      <c r="C450" s="2" t="s">
        <v>1347</v>
      </c>
      <c r="D450" s="2" t="s">
        <v>16</v>
      </c>
      <c r="E450" s="2" t="s">
        <v>160</v>
      </c>
      <c r="F450" s="2" t="s">
        <v>95</v>
      </c>
      <c r="G450" s="2" t="s">
        <v>35</v>
      </c>
      <c r="H450" s="2">
        <v>40</v>
      </c>
      <c r="I450" s="7">
        <v>868.09</v>
      </c>
      <c r="J450" s="2">
        <v>5</v>
      </c>
      <c r="K450" s="7">
        <v>32987.42</v>
      </c>
      <c r="L450" s="2" t="s">
        <v>49</v>
      </c>
      <c r="M450" s="2" t="s">
        <v>2364</v>
      </c>
    </row>
    <row r="451" spans="1:13" x14ac:dyDescent="0.3">
      <c r="A451" s="2" t="s">
        <v>2017</v>
      </c>
      <c r="B451" s="5">
        <v>45814</v>
      </c>
      <c r="C451" s="2" t="s">
        <v>2018</v>
      </c>
      <c r="D451" s="2" t="s">
        <v>24</v>
      </c>
      <c r="E451" s="2" t="s">
        <v>36</v>
      </c>
      <c r="F451" s="2" t="s">
        <v>95</v>
      </c>
      <c r="G451" s="2" t="s">
        <v>35</v>
      </c>
      <c r="H451" s="2">
        <v>38</v>
      </c>
      <c r="I451" s="7">
        <v>1072.3499999999999</v>
      </c>
      <c r="J451" s="2">
        <v>10</v>
      </c>
      <c r="K451" s="7">
        <v>36674.370000000003</v>
      </c>
      <c r="L451" s="2" t="s">
        <v>49</v>
      </c>
      <c r="M451" s="2" t="s">
        <v>2364</v>
      </c>
    </row>
    <row r="452" spans="1:13" x14ac:dyDescent="0.3">
      <c r="A452" s="2" t="s">
        <v>1426</v>
      </c>
      <c r="B452" s="5">
        <v>45763</v>
      </c>
      <c r="C452" s="2" t="s">
        <v>1427</v>
      </c>
      <c r="D452" s="2" t="s">
        <v>24</v>
      </c>
      <c r="E452" s="2" t="s">
        <v>104</v>
      </c>
      <c r="F452" s="2" t="s">
        <v>95</v>
      </c>
      <c r="G452" s="2" t="s">
        <v>35</v>
      </c>
      <c r="H452" s="2">
        <v>38</v>
      </c>
      <c r="I452" s="7">
        <v>996.33</v>
      </c>
      <c r="J452" s="2">
        <v>0</v>
      </c>
      <c r="K452" s="7">
        <v>37860.54</v>
      </c>
      <c r="L452" s="2" t="s">
        <v>27</v>
      </c>
      <c r="M452" s="2" t="s">
        <v>2364</v>
      </c>
    </row>
    <row r="453" spans="1:13" x14ac:dyDescent="0.3">
      <c r="A453" s="2" t="s">
        <v>1925</v>
      </c>
      <c r="B453" s="5">
        <v>46169</v>
      </c>
      <c r="C453" s="2" t="s">
        <v>1926</v>
      </c>
      <c r="D453" s="2" t="s">
        <v>46</v>
      </c>
      <c r="E453" s="2" t="s">
        <v>78</v>
      </c>
      <c r="F453" s="2" t="s">
        <v>95</v>
      </c>
      <c r="G453" s="2" t="s">
        <v>35</v>
      </c>
      <c r="H453" s="2">
        <v>41</v>
      </c>
      <c r="I453" s="7">
        <v>1135.24</v>
      </c>
      <c r="J453" s="2">
        <v>15</v>
      </c>
      <c r="K453" s="7">
        <v>39563.11</v>
      </c>
      <c r="L453" s="2" t="s">
        <v>69</v>
      </c>
      <c r="M453" s="2" t="s">
        <v>2364</v>
      </c>
    </row>
    <row r="454" spans="1:13" x14ac:dyDescent="0.3">
      <c r="A454" s="2" t="s">
        <v>1872</v>
      </c>
      <c r="B454" s="5">
        <v>45815</v>
      </c>
      <c r="C454" s="2" t="s">
        <v>1088</v>
      </c>
      <c r="D454" s="2" t="s">
        <v>16</v>
      </c>
      <c r="E454" s="2" t="s">
        <v>160</v>
      </c>
      <c r="F454" s="2" t="s">
        <v>95</v>
      </c>
      <c r="G454" s="2" t="s">
        <v>35</v>
      </c>
      <c r="H454" s="2">
        <v>43</v>
      </c>
      <c r="I454" s="7">
        <v>962.73</v>
      </c>
      <c r="J454" s="2">
        <v>0</v>
      </c>
      <c r="K454" s="7">
        <v>41397.39</v>
      </c>
      <c r="L454" s="2" t="s">
        <v>31</v>
      </c>
      <c r="M454" s="2" t="s">
        <v>2365</v>
      </c>
    </row>
    <row r="455" spans="1:13" x14ac:dyDescent="0.3">
      <c r="A455" s="2" t="s">
        <v>2002</v>
      </c>
      <c r="B455" s="5">
        <v>45996</v>
      </c>
      <c r="C455" s="2" t="s">
        <v>2003</v>
      </c>
      <c r="D455" s="2" t="s">
        <v>24</v>
      </c>
      <c r="E455" s="2" t="s">
        <v>36</v>
      </c>
      <c r="F455" s="2" t="s">
        <v>95</v>
      </c>
      <c r="G455" s="2" t="s">
        <v>35</v>
      </c>
      <c r="H455" s="2">
        <v>38</v>
      </c>
      <c r="I455" s="7">
        <v>1136.42</v>
      </c>
      <c r="J455" s="2">
        <v>0</v>
      </c>
      <c r="K455" s="7">
        <v>43183.96</v>
      </c>
      <c r="L455" s="2" t="s">
        <v>69</v>
      </c>
      <c r="M455" s="2" t="s">
        <v>2364</v>
      </c>
    </row>
    <row r="456" spans="1:13" x14ac:dyDescent="0.3">
      <c r="A456" s="2" t="s">
        <v>858</v>
      </c>
      <c r="B456" s="5">
        <v>46274</v>
      </c>
      <c r="C456" s="2" t="s">
        <v>859</v>
      </c>
      <c r="D456" s="2" t="s">
        <v>46</v>
      </c>
      <c r="E456" s="2" t="s">
        <v>78</v>
      </c>
      <c r="F456" s="2" t="s">
        <v>95</v>
      </c>
      <c r="G456" s="2" t="s">
        <v>35</v>
      </c>
      <c r="H456" s="2">
        <v>48</v>
      </c>
      <c r="I456" s="7">
        <v>1072.57</v>
      </c>
      <c r="J456" s="2">
        <v>15</v>
      </c>
      <c r="K456" s="7">
        <v>43760.86</v>
      </c>
      <c r="L456" s="2" t="s">
        <v>2347</v>
      </c>
      <c r="M456" s="2" t="s">
        <v>2365</v>
      </c>
    </row>
    <row r="457" spans="1:13" x14ac:dyDescent="0.3">
      <c r="A457" s="2" t="s">
        <v>603</v>
      </c>
      <c r="B457" s="5">
        <v>45755</v>
      </c>
      <c r="C457" s="2" t="s">
        <v>604</v>
      </c>
      <c r="D457" s="2" t="s">
        <v>46</v>
      </c>
      <c r="E457" s="2" t="s">
        <v>244</v>
      </c>
      <c r="F457" s="2" t="s">
        <v>95</v>
      </c>
      <c r="G457" s="2" t="s">
        <v>35</v>
      </c>
      <c r="H457" s="2">
        <v>49</v>
      </c>
      <c r="I457" s="7">
        <v>1057.0999999999999</v>
      </c>
      <c r="J457" s="2">
        <v>15</v>
      </c>
      <c r="K457" s="7">
        <v>44028.22</v>
      </c>
      <c r="L457" s="2" t="s">
        <v>27</v>
      </c>
      <c r="M457" s="2" t="s">
        <v>2364</v>
      </c>
    </row>
    <row r="458" spans="1:13" x14ac:dyDescent="0.3">
      <c r="A458" s="2" t="s">
        <v>2183</v>
      </c>
      <c r="B458" s="5">
        <v>46085</v>
      </c>
      <c r="C458" s="2" t="s">
        <v>2184</v>
      </c>
      <c r="D458" s="2" t="s">
        <v>46</v>
      </c>
      <c r="E458" s="2" t="s">
        <v>83</v>
      </c>
      <c r="F458" s="2" t="s">
        <v>95</v>
      </c>
      <c r="G458" s="2" t="s">
        <v>35</v>
      </c>
      <c r="H458" s="2">
        <v>50</v>
      </c>
      <c r="I458" s="7">
        <v>903.41</v>
      </c>
      <c r="J458" s="2">
        <v>0</v>
      </c>
      <c r="K458" s="7">
        <v>45170.5</v>
      </c>
      <c r="L458" s="2" t="s">
        <v>49</v>
      </c>
      <c r="M458" s="2" t="s">
        <v>2364</v>
      </c>
    </row>
    <row r="459" spans="1:13" x14ac:dyDescent="0.3">
      <c r="A459" s="2" t="s">
        <v>852</v>
      </c>
      <c r="B459" s="5">
        <v>46208</v>
      </c>
      <c r="C459" s="2" t="s">
        <v>853</v>
      </c>
      <c r="D459" s="2" t="s">
        <v>16</v>
      </c>
      <c r="E459" s="2" t="s">
        <v>74</v>
      </c>
      <c r="F459" s="2" t="s">
        <v>95</v>
      </c>
      <c r="G459" s="2" t="s">
        <v>35</v>
      </c>
      <c r="H459" s="2">
        <v>41</v>
      </c>
      <c r="I459" s="7">
        <v>1104.3599999999999</v>
      </c>
      <c r="J459" s="2">
        <v>0</v>
      </c>
      <c r="K459" s="7">
        <v>45278.76</v>
      </c>
      <c r="L459" s="2" t="s">
        <v>2347</v>
      </c>
      <c r="M459" s="2" t="s">
        <v>2364</v>
      </c>
    </row>
    <row r="460" spans="1:13" x14ac:dyDescent="0.3">
      <c r="A460" s="2" t="s">
        <v>1690</v>
      </c>
      <c r="B460" s="5">
        <v>45912</v>
      </c>
      <c r="C460" s="2" t="s">
        <v>1691</v>
      </c>
      <c r="D460" s="2" t="s">
        <v>24</v>
      </c>
      <c r="E460" s="2" t="s">
        <v>41</v>
      </c>
      <c r="F460" s="2" t="s">
        <v>95</v>
      </c>
      <c r="G460" s="2" t="s">
        <v>35</v>
      </c>
      <c r="H460" s="2">
        <v>47</v>
      </c>
      <c r="I460" s="7">
        <v>963.71</v>
      </c>
      <c r="J460" s="2">
        <v>0</v>
      </c>
      <c r="K460" s="7">
        <v>45294.37</v>
      </c>
      <c r="L460" s="2" t="s">
        <v>27</v>
      </c>
      <c r="M460" s="2" t="s">
        <v>2364</v>
      </c>
    </row>
    <row r="461" spans="1:13" x14ac:dyDescent="0.3">
      <c r="A461" s="2" t="s">
        <v>132</v>
      </c>
      <c r="B461" s="5">
        <v>45804</v>
      </c>
      <c r="C461" s="2" t="s">
        <v>133</v>
      </c>
      <c r="D461" s="2" t="s">
        <v>53</v>
      </c>
      <c r="E461" s="2" t="s">
        <v>134</v>
      </c>
      <c r="F461" s="2" t="s">
        <v>95</v>
      </c>
      <c r="G461" s="2" t="s">
        <v>35</v>
      </c>
      <c r="H461" s="2">
        <v>50</v>
      </c>
      <c r="I461" s="7">
        <v>1158.33</v>
      </c>
      <c r="J461" s="2">
        <v>20</v>
      </c>
      <c r="K461" s="7">
        <v>46333.2</v>
      </c>
      <c r="L461" s="2" t="s">
        <v>2347</v>
      </c>
      <c r="M461" s="2" t="s">
        <v>2365</v>
      </c>
    </row>
    <row r="462" spans="1:13" x14ac:dyDescent="0.3">
      <c r="A462" s="2" t="s">
        <v>504</v>
      </c>
      <c r="B462" s="5">
        <v>45950</v>
      </c>
      <c r="C462" s="2" t="s">
        <v>505</v>
      </c>
      <c r="D462" s="2" t="s">
        <v>24</v>
      </c>
      <c r="E462" s="2" t="s">
        <v>41</v>
      </c>
      <c r="F462" s="2" t="s">
        <v>95</v>
      </c>
      <c r="G462" s="2" t="s">
        <v>35</v>
      </c>
      <c r="H462" s="2">
        <v>49</v>
      </c>
      <c r="I462" s="7">
        <v>1031.46</v>
      </c>
      <c r="J462" s="2">
        <v>5</v>
      </c>
      <c r="K462" s="7">
        <v>48014.46</v>
      </c>
      <c r="L462" s="2" t="s">
        <v>69</v>
      </c>
      <c r="M462" s="2" t="s">
        <v>2365</v>
      </c>
    </row>
    <row r="463" spans="1:13" x14ac:dyDescent="0.3">
      <c r="A463" s="2" t="s">
        <v>165</v>
      </c>
      <c r="B463" s="5">
        <v>45857</v>
      </c>
      <c r="C463" s="2" t="s">
        <v>166</v>
      </c>
      <c r="D463" s="2" t="s">
        <v>24</v>
      </c>
      <c r="E463" s="2" t="s">
        <v>104</v>
      </c>
      <c r="F463" s="2" t="s">
        <v>95</v>
      </c>
      <c r="G463" s="2" t="s">
        <v>35</v>
      </c>
      <c r="H463" s="2">
        <v>48</v>
      </c>
      <c r="I463" s="7">
        <v>1106.83</v>
      </c>
      <c r="J463" s="2">
        <v>0</v>
      </c>
      <c r="K463" s="7">
        <v>53127.839999999997</v>
      </c>
      <c r="L463" s="2" t="s">
        <v>49</v>
      </c>
      <c r="M463" s="2" t="s">
        <v>2364</v>
      </c>
    </row>
    <row r="464" spans="1:13" x14ac:dyDescent="0.3">
      <c r="A464" s="2" t="s">
        <v>1879</v>
      </c>
      <c r="B464" s="5">
        <v>45950</v>
      </c>
      <c r="C464" s="2" t="s">
        <v>1880</v>
      </c>
      <c r="D464" s="2" t="s">
        <v>46</v>
      </c>
      <c r="E464" s="2" t="s">
        <v>124</v>
      </c>
      <c r="F464" s="2" t="s">
        <v>95</v>
      </c>
      <c r="G464" s="2" t="s">
        <v>35</v>
      </c>
      <c r="H464" s="2">
        <v>49</v>
      </c>
      <c r="I464" s="7">
        <v>1146.6400000000001</v>
      </c>
      <c r="J464" s="2">
        <v>5</v>
      </c>
      <c r="K464" s="7">
        <v>53376.09</v>
      </c>
      <c r="L464" s="2" t="s">
        <v>31</v>
      </c>
      <c r="M464" s="2" t="s">
        <v>2364</v>
      </c>
    </row>
    <row r="465" spans="1:13" x14ac:dyDescent="0.3">
      <c r="A465" s="2" t="s">
        <v>1957</v>
      </c>
      <c r="B465" s="5">
        <v>46129</v>
      </c>
      <c r="C465" s="2" t="s">
        <v>1958</v>
      </c>
      <c r="D465" s="2" t="s">
        <v>24</v>
      </c>
      <c r="E465" s="2" t="s">
        <v>59</v>
      </c>
      <c r="F465" s="2" t="s">
        <v>52</v>
      </c>
      <c r="G465" s="2" t="s">
        <v>35</v>
      </c>
      <c r="H465" s="2">
        <v>4</v>
      </c>
      <c r="I465" s="7">
        <v>106.11</v>
      </c>
      <c r="J465" s="2">
        <v>0</v>
      </c>
      <c r="K465" s="7">
        <v>424.44</v>
      </c>
      <c r="L465" s="2" t="s">
        <v>2347</v>
      </c>
      <c r="M465" s="2" t="s">
        <v>2365</v>
      </c>
    </row>
    <row r="466" spans="1:13" x14ac:dyDescent="0.3">
      <c r="A466" s="2" t="s">
        <v>1810</v>
      </c>
      <c r="B466" s="5">
        <v>45841</v>
      </c>
      <c r="C466" s="2" t="s">
        <v>1454</v>
      </c>
      <c r="D466" s="2" t="s">
        <v>46</v>
      </c>
      <c r="E466" s="2" t="s">
        <v>83</v>
      </c>
      <c r="F466" s="2" t="s">
        <v>52</v>
      </c>
      <c r="G466" s="2" t="s">
        <v>35</v>
      </c>
      <c r="H466" s="2">
        <v>5</v>
      </c>
      <c r="I466" s="7">
        <v>104.09</v>
      </c>
      <c r="J466" s="2">
        <v>0</v>
      </c>
      <c r="K466" s="7">
        <v>520.45000000000005</v>
      </c>
      <c r="L466" s="2" t="s">
        <v>31</v>
      </c>
      <c r="M466" s="2" t="s">
        <v>2365</v>
      </c>
    </row>
    <row r="467" spans="1:13" x14ac:dyDescent="0.3">
      <c r="A467" s="2" t="s">
        <v>50</v>
      </c>
      <c r="B467" s="5">
        <v>45879</v>
      </c>
      <c r="C467" s="2" t="s">
        <v>51</v>
      </c>
      <c r="D467" s="2" t="s">
        <v>53</v>
      </c>
      <c r="E467" s="2" t="s">
        <v>54</v>
      </c>
      <c r="F467" s="2" t="s">
        <v>52</v>
      </c>
      <c r="G467" s="2" t="s">
        <v>35</v>
      </c>
      <c r="H467" s="2">
        <v>8</v>
      </c>
      <c r="I467" s="7">
        <v>127.72</v>
      </c>
      <c r="J467" s="2">
        <v>10</v>
      </c>
      <c r="K467" s="7">
        <v>919.58</v>
      </c>
      <c r="L467" s="2" t="s">
        <v>49</v>
      </c>
      <c r="M467" s="2" t="s">
        <v>2364</v>
      </c>
    </row>
    <row r="468" spans="1:13" x14ac:dyDescent="0.3">
      <c r="A468" s="2" t="s">
        <v>320</v>
      </c>
      <c r="B468" s="5">
        <v>46094</v>
      </c>
      <c r="C468" s="2" t="s">
        <v>321</v>
      </c>
      <c r="D468" s="2" t="s">
        <v>46</v>
      </c>
      <c r="E468" s="2" t="s">
        <v>78</v>
      </c>
      <c r="F468" s="2" t="s">
        <v>52</v>
      </c>
      <c r="G468" s="2" t="s">
        <v>35</v>
      </c>
      <c r="H468" s="2">
        <v>8</v>
      </c>
      <c r="I468" s="7">
        <v>162.71</v>
      </c>
      <c r="J468" s="2">
        <v>0</v>
      </c>
      <c r="K468" s="7">
        <v>1301.68</v>
      </c>
      <c r="L468" s="2" t="s">
        <v>49</v>
      </c>
      <c r="M468" s="2" t="s">
        <v>2364</v>
      </c>
    </row>
    <row r="469" spans="1:13" x14ac:dyDescent="0.3">
      <c r="A469" s="2" t="s">
        <v>826</v>
      </c>
      <c r="B469" s="5">
        <v>46021</v>
      </c>
      <c r="C469" s="2" t="s">
        <v>827</v>
      </c>
      <c r="D469" s="2" t="s">
        <v>24</v>
      </c>
      <c r="E469" s="2" t="s">
        <v>104</v>
      </c>
      <c r="F469" s="2" t="s">
        <v>52</v>
      </c>
      <c r="G469" s="2" t="s">
        <v>35</v>
      </c>
      <c r="H469" s="2">
        <v>7</v>
      </c>
      <c r="I469" s="7">
        <v>254.45</v>
      </c>
      <c r="J469" s="2">
        <v>5</v>
      </c>
      <c r="K469" s="7">
        <v>1692.09</v>
      </c>
      <c r="L469" s="2" t="s">
        <v>31</v>
      </c>
      <c r="M469" s="2" t="s">
        <v>2365</v>
      </c>
    </row>
    <row r="470" spans="1:13" x14ac:dyDescent="0.3">
      <c r="A470" s="2" t="s">
        <v>129</v>
      </c>
      <c r="B470" s="5">
        <v>45586</v>
      </c>
      <c r="C470" s="2" t="s">
        <v>130</v>
      </c>
      <c r="D470" s="2" t="s">
        <v>16</v>
      </c>
      <c r="E470" s="2" t="s">
        <v>91</v>
      </c>
      <c r="F470" s="2" t="s">
        <v>52</v>
      </c>
      <c r="G470" s="2" t="s">
        <v>35</v>
      </c>
      <c r="H470" s="2">
        <v>7</v>
      </c>
      <c r="I470" s="7">
        <v>285.07</v>
      </c>
      <c r="J470" s="2">
        <v>10</v>
      </c>
      <c r="K470" s="7">
        <v>1795.94</v>
      </c>
      <c r="L470" s="2" t="s">
        <v>2347</v>
      </c>
      <c r="M470" s="2" t="s">
        <v>2364</v>
      </c>
    </row>
    <row r="471" spans="1:13" x14ac:dyDescent="0.3">
      <c r="A471" s="2" t="s">
        <v>1429</v>
      </c>
      <c r="B471" s="5">
        <v>45660</v>
      </c>
      <c r="C471" s="2" t="s">
        <v>1430</v>
      </c>
      <c r="D471" s="2" t="s">
        <v>53</v>
      </c>
      <c r="E471" s="2" t="s">
        <v>170</v>
      </c>
      <c r="F471" s="2" t="s">
        <v>52</v>
      </c>
      <c r="G471" s="2" t="s">
        <v>35</v>
      </c>
      <c r="H471" s="2">
        <v>10</v>
      </c>
      <c r="I471" s="7">
        <v>235.56</v>
      </c>
      <c r="J471" s="2">
        <v>20</v>
      </c>
      <c r="K471" s="7">
        <v>1884.48</v>
      </c>
      <c r="L471" s="2" t="s">
        <v>2347</v>
      </c>
      <c r="M471" s="2" t="s">
        <v>2364</v>
      </c>
    </row>
    <row r="472" spans="1:13" x14ac:dyDescent="0.3">
      <c r="A472" s="2" t="s">
        <v>1233</v>
      </c>
      <c r="B472" s="5">
        <v>46128</v>
      </c>
      <c r="C472" s="2" t="s">
        <v>270</v>
      </c>
      <c r="D472" s="2" t="s">
        <v>53</v>
      </c>
      <c r="E472" s="2" t="s">
        <v>170</v>
      </c>
      <c r="F472" s="2" t="s">
        <v>52</v>
      </c>
      <c r="G472" s="2" t="s">
        <v>35</v>
      </c>
      <c r="H472" s="2">
        <v>19</v>
      </c>
      <c r="I472" s="7">
        <v>121.28</v>
      </c>
      <c r="J472" s="2">
        <v>5</v>
      </c>
      <c r="K472" s="7">
        <v>2189.1</v>
      </c>
      <c r="L472" s="2" t="s">
        <v>27</v>
      </c>
      <c r="M472" s="2" t="s">
        <v>2365</v>
      </c>
    </row>
    <row r="473" spans="1:13" x14ac:dyDescent="0.3">
      <c r="A473" s="2" t="s">
        <v>1805</v>
      </c>
      <c r="B473" s="5">
        <v>46106</v>
      </c>
      <c r="C473" s="2" t="s">
        <v>1177</v>
      </c>
      <c r="D473" s="2" t="s">
        <v>24</v>
      </c>
      <c r="E473" s="2" t="s">
        <v>25</v>
      </c>
      <c r="F473" s="2" t="s">
        <v>52</v>
      </c>
      <c r="G473" s="2" t="s">
        <v>35</v>
      </c>
      <c r="H473" s="2">
        <v>8</v>
      </c>
      <c r="I473" s="7">
        <v>308.27</v>
      </c>
      <c r="J473" s="2">
        <v>10</v>
      </c>
      <c r="K473" s="7">
        <v>2219.54</v>
      </c>
      <c r="L473" s="2" t="s">
        <v>2347</v>
      </c>
      <c r="M473" s="2" t="s">
        <v>2364</v>
      </c>
    </row>
    <row r="474" spans="1:13" x14ac:dyDescent="0.3">
      <c r="A474" s="2" t="s">
        <v>492</v>
      </c>
      <c r="B474" s="5">
        <v>46283</v>
      </c>
      <c r="C474" s="2" t="s">
        <v>493</v>
      </c>
      <c r="D474" s="2" t="s">
        <v>16</v>
      </c>
      <c r="E474" s="2" t="s">
        <v>111</v>
      </c>
      <c r="F474" s="2" t="s">
        <v>52</v>
      </c>
      <c r="G474" s="2" t="s">
        <v>35</v>
      </c>
      <c r="H474" s="2">
        <v>16</v>
      </c>
      <c r="I474" s="7">
        <v>145.46</v>
      </c>
      <c r="J474" s="2">
        <v>0</v>
      </c>
      <c r="K474" s="7">
        <v>2327.36</v>
      </c>
      <c r="L474" s="2" t="s">
        <v>69</v>
      </c>
      <c r="M474" s="2" t="s">
        <v>2364</v>
      </c>
    </row>
    <row r="475" spans="1:13" x14ac:dyDescent="0.3">
      <c r="A475" s="2" t="s">
        <v>85</v>
      </c>
      <c r="B475" s="5">
        <v>45858</v>
      </c>
      <c r="C475" s="2" t="s">
        <v>86</v>
      </c>
      <c r="D475" s="2" t="s">
        <v>24</v>
      </c>
      <c r="E475" s="2" t="s">
        <v>25</v>
      </c>
      <c r="F475" s="2" t="s">
        <v>52</v>
      </c>
      <c r="G475" s="2" t="s">
        <v>35</v>
      </c>
      <c r="H475" s="2">
        <v>21</v>
      </c>
      <c r="I475" s="7">
        <v>110.99</v>
      </c>
      <c r="J475" s="2">
        <v>0</v>
      </c>
      <c r="K475" s="7">
        <v>2330.79</v>
      </c>
      <c r="L475" s="2" t="s">
        <v>49</v>
      </c>
      <c r="M475" s="2" t="s">
        <v>2365</v>
      </c>
    </row>
    <row r="476" spans="1:13" x14ac:dyDescent="0.3">
      <c r="A476" s="2" t="s">
        <v>1040</v>
      </c>
      <c r="B476" s="5">
        <v>45661</v>
      </c>
      <c r="C476" s="2" t="s">
        <v>1041</v>
      </c>
      <c r="D476" s="2" t="s">
        <v>16</v>
      </c>
      <c r="E476" s="2" t="s">
        <v>17</v>
      </c>
      <c r="F476" s="2" t="s">
        <v>52</v>
      </c>
      <c r="G476" s="2" t="s">
        <v>35</v>
      </c>
      <c r="H476" s="2">
        <v>28</v>
      </c>
      <c r="I476" s="7">
        <v>107.44</v>
      </c>
      <c r="J476" s="2">
        <v>20</v>
      </c>
      <c r="K476" s="7">
        <v>2406.66</v>
      </c>
      <c r="L476" s="2" t="s">
        <v>69</v>
      </c>
      <c r="M476" s="2" t="s">
        <v>2365</v>
      </c>
    </row>
    <row r="477" spans="1:13" x14ac:dyDescent="0.3">
      <c r="A477" s="2" t="s">
        <v>1302</v>
      </c>
      <c r="B477" s="5">
        <v>46146</v>
      </c>
      <c r="C477" s="2" t="s">
        <v>1303</v>
      </c>
      <c r="D477" s="2" t="s">
        <v>46</v>
      </c>
      <c r="E477" s="2" t="s">
        <v>124</v>
      </c>
      <c r="F477" s="2" t="s">
        <v>52</v>
      </c>
      <c r="G477" s="2" t="s">
        <v>35</v>
      </c>
      <c r="H477" s="2">
        <v>10</v>
      </c>
      <c r="I477" s="7">
        <v>296.54000000000002</v>
      </c>
      <c r="J477" s="2">
        <v>10</v>
      </c>
      <c r="K477" s="7">
        <v>2668.86</v>
      </c>
      <c r="L477" s="2" t="s">
        <v>2347</v>
      </c>
      <c r="M477" s="2" t="s">
        <v>2365</v>
      </c>
    </row>
    <row r="478" spans="1:13" x14ac:dyDescent="0.3">
      <c r="A478" s="2" t="s">
        <v>1004</v>
      </c>
      <c r="B478" s="5">
        <v>45593</v>
      </c>
      <c r="C478" s="2" t="s">
        <v>1005</v>
      </c>
      <c r="D478" s="2" t="s">
        <v>16</v>
      </c>
      <c r="E478" s="2" t="s">
        <v>91</v>
      </c>
      <c r="F478" s="2" t="s">
        <v>52</v>
      </c>
      <c r="G478" s="2" t="s">
        <v>35</v>
      </c>
      <c r="H478" s="2">
        <v>22</v>
      </c>
      <c r="I478" s="7">
        <v>138.44999999999999</v>
      </c>
      <c r="J478" s="2">
        <v>10</v>
      </c>
      <c r="K478" s="7">
        <v>2741.31</v>
      </c>
      <c r="L478" s="2" t="s">
        <v>31</v>
      </c>
      <c r="M478" s="2" t="s">
        <v>2364</v>
      </c>
    </row>
    <row r="479" spans="1:13" x14ac:dyDescent="0.3">
      <c r="A479" s="2" t="s">
        <v>1783</v>
      </c>
      <c r="B479" s="5">
        <v>46086</v>
      </c>
      <c r="C479" s="2" t="s">
        <v>1784</v>
      </c>
      <c r="D479" s="2" t="s">
        <v>24</v>
      </c>
      <c r="E479" s="2" t="s">
        <v>59</v>
      </c>
      <c r="F479" s="2" t="s">
        <v>52</v>
      </c>
      <c r="G479" s="2" t="s">
        <v>35</v>
      </c>
      <c r="H479" s="2">
        <v>19</v>
      </c>
      <c r="I479" s="7">
        <v>144.79</v>
      </c>
      <c r="J479" s="2">
        <v>0</v>
      </c>
      <c r="K479" s="7">
        <v>2751.01</v>
      </c>
      <c r="L479" s="2" t="s">
        <v>31</v>
      </c>
      <c r="M479" s="2" t="s">
        <v>2364</v>
      </c>
    </row>
    <row r="480" spans="1:13" x14ac:dyDescent="0.3">
      <c r="A480" s="2" t="s">
        <v>65</v>
      </c>
      <c r="B480" s="5">
        <v>45963</v>
      </c>
      <c r="C480" s="2" t="s">
        <v>66</v>
      </c>
      <c r="D480" s="2" t="s">
        <v>53</v>
      </c>
      <c r="E480" s="2" t="s">
        <v>67</v>
      </c>
      <c r="F480" s="2" t="s">
        <v>52</v>
      </c>
      <c r="G480" s="2" t="s">
        <v>35</v>
      </c>
      <c r="H480" s="2">
        <v>22</v>
      </c>
      <c r="I480" s="7">
        <v>160.16999999999999</v>
      </c>
      <c r="J480" s="2">
        <v>15</v>
      </c>
      <c r="K480" s="7">
        <v>2995.18</v>
      </c>
      <c r="L480" s="2" t="s">
        <v>69</v>
      </c>
      <c r="M480" s="2" t="s">
        <v>2365</v>
      </c>
    </row>
    <row r="481" spans="1:13" x14ac:dyDescent="0.3">
      <c r="A481" s="2" t="s">
        <v>921</v>
      </c>
      <c r="B481" s="5">
        <v>45808</v>
      </c>
      <c r="C481" s="2" t="s">
        <v>922</v>
      </c>
      <c r="D481" s="2" t="s">
        <v>16</v>
      </c>
      <c r="E481" s="2" t="s">
        <v>74</v>
      </c>
      <c r="F481" s="2" t="s">
        <v>52</v>
      </c>
      <c r="G481" s="2" t="s">
        <v>35</v>
      </c>
      <c r="H481" s="2">
        <v>12</v>
      </c>
      <c r="I481" s="7">
        <v>289.37</v>
      </c>
      <c r="J481" s="2">
        <v>10</v>
      </c>
      <c r="K481" s="7">
        <v>3125.2</v>
      </c>
      <c r="L481" s="2" t="s">
        <v>49</v>
      </c>
      <c r="M481" s="2" t="s">
        <v>2364</v>
      </c>
    </row>
    <row r="482" spans="1:13" x14ac:dyDescent="0.3">
      <c r="A482" s="2" t="s">
        <v>501</v>
      </c>
      <c r="B482" s="5">
        <v>45983</v>
      </c>
      <c r="C482" s="2" t="s">
        <v>502</v>
      </c>
      <c r="D482" s="2" t="s">
        <v>46</v>
      </c>
      <c r="E482" s="2" t="s">
        <v>78</v>
      </c>
      <c r="F482" s="2" t="s">
        <v>52</v>
      </c>
      <c r="G482" s="2" t="s">
        <v>35</v>
      </c>
      <c r="H482" s="2">
        <v>22</v>
      </c>
      <c r="I482" s="7">
        <v>172.23</v>
      </c>
      <c r="J482" s="2">
        <v>15</v>
      </c>
      <c r="K482" s="7">
        <v>3220.7</v>
      </c>
      <c r="L482" s="2" t="s">
        <v>2347</v>
      </c>
      <c r="M482" s="2" t="s">
        <v>2364</v>
      </c>
    </row>
    <row r="483" spans="1:13" x14ac:dyDescent="0.3">
      <c r="A483" s="2" t="s">
        <v>242</v>
      </c>
      <c r="B483" s="5">
        <v>45871</v>
      </c>
      <c r="C483" s="2" t="s">
        <v>243</v>
      </c>
      <c r="D483" s="2" t="s">
        <v>46</v>
      </c>
      <c r="E483" s="2" t="s">
        <v>244</v>
      </c>
      <c r="F483" s="2" t="s">
        <v>52</v>
      </c>
      <c r="G483" s="2" t="s">
        <v>35</v>
      </c>
      <c r="H483" s="2">
        <v>12</v>
      </c>
      <c r="I483" s="7">
        <v>298.70999999999998</v>
      </c>
      <c r="J483" s="2">
        <v>10</v>
      </c>
      <c r="K483" s="7">
        <v>3226.07</v>
      </c>
      <c r="L483" s="2" t="s">
        <v>49</v>
      </c>
      <c r="M483" s="2" t="s">
        <v>2364</v>
      </c>
    </row>
    <row r="484" spans="1:13" x14ac:dyDescent="0.3">
      <c r="A484" s="2" t="s">
        <v>1155</v>
      </c>
      <c r="B484" s="5">
        <v>46087</v>
      </c>
      <c r="C484" s="2" t="s">
        <v>1156</v>
      </c>
      <c r="D484" s="2" t="s">
        <v>24</v>
      </c>
      <c r="E484" s="2" t="s">
        <v>25</v>
      </c>
      <c r="F484" s="2" t="s">
        <v>52</v>
      </c>
      <c r="G484" s="2" t="s">
        <v>35</v>
      </c>
      <c r="H484" s="2">
        <v>15</v>
      </c>
      <c r="I484" s="7">
        <v>229.27</v>
      </c>
      <c r="J484" s="2">
        <v>0</v>
      </c>
      <c r="K484" s="7">
        <v>3439.05</v>
      </c>
      <c r="L484" s="2" t="s">
        <v>69</v>
      </c>
      <c r="M484" s="2" t="s">
        <v>2364</v>
      </c>
    </row>
    <row r="485" spans="1:13" x14ac:dyDescent="0.3">
      <c r="A485" s="2" t="s">
        <v>1390</v>
      </c>
      <c r="B485" s="5">
        <v>45811</v>
      </c>
      <c r="C485" s="2" t="s">
        <v>1391</v>
      </c>
      <c r="D485" s="2" t="s">
        <v>53</v>
      </c>
      <c r="E485" s="2" t="s">
        <v>141</v>
      </c>
      <c r="F485" s="2" t="s">
        <v>52</v>
      </c>
      <c r="G485" s="2" t="s">
        <v>35</v>
      </c>
      <c r="H485" s="2">
        <v>16</v>
      </c>
      <c r="I485" s="7">
        <v>216.47</v>
      </c>
      <c r="J485" s="2">
        <v>0</v>
      </c>
      <c r="K485" s="7">
        <v>3463.52</v>
      </c>
      <c r="L485" s="2" t="s">
        <v>49</v>
      </c>
      <c r="M485" s="2" t="s">
        <v>2364</v>
      </c>
    </row>
    <row r="486" spans="1:13" x14ac:dyDescent="0.3">
      <c r="A486" s="2" t="s">
        <v>2312</v>
      </c>
      <c r="B486" s="5">
        <v>45670</v>
      </c>
      <c r="C486" s="2" t="s">
        <v>1915</v>
      </c>
      <c r="D486" s="2" t="s">
        <v>46</v>
      </c>
      <c r="E486" s="2" t="s">
        <v>47</v>
      </c>
      <c r="F486" s="2" t="s">
        <v>52</v>
      </c>
      <c r="G486" s="2" t="s">
        <v>35</v>
      </c>
      <c r="H486" s="2">
        <v>28</v>
      </c>
      <c r="I486" s="7">
        <v>135.91</v>
      </c>
      <c r="J486" s="2">
        <v>5</v>
      </c>
      <c r="K486" s="7">
        <v>3615.21</v>
      </c>
      <c r="L486" s="2" t="s">
        <v>49</v>
      </c>
      <c r="M486" s="2" t="s">
        <v>2365</v>
      </c>
    </row>
    <row r="487" spans="1:13" x14ac:dyDescent="0.3">
      <c r="A487" s="2" t="s">
        <v>635</v>
      </c>
      <c r="B487" s="5">
        <v>46221</v>
      </c>
      <c r="C487" s="2" t="s">
        <v>636</v>
      </c>
      <c r="D487" s="2" t="s">
        <v>53</v>
      </c>
      <c r="E487" s="2" t="s">
        <v>67</v>
      </c>
      <c r="F487" s="2" t="s">
        <v>52</v>
      </c>
      <c r="G487" s="2" t="s">
        <v>35</v>
      </c>
      <c r="H487" s="2">
        <v>14</v>
      </c>
      <c r="I487" s="7">
        <v>329.22</v>
      </c>
      <c r="J487" s="2">
        <v>20</v>
      </c>
      <c r="K487" s="7">
        <v>3687.26</v>
      </c>
      <c r="L487" s="2" t="s">
        <v>49</v>
      </c>
      <c r="M487" s="2" t="s">
        <v>2364</v>
      </c>
    </row>
    <row r="488" spans="1:13" x14ac:dyDescent="0.3">
      <c r="A488" s="2" t="s">
        <v>2021</v>
      </c>
      <c r="B488" s="5">
        <v>45964</v>
      </c>
      <c r="C488" s="2" t="s">
        <v>2022</v>
      </c>
      <c r="D488" s="2" t="s">
        <v>53</v>
      </c>
      <c r="E488" s="2" t="s">
        <v>134</v>
      </c>
      <c r="F488" s="2" t="s">
        <v>52</v>
      </c>
      <c r="G488" s="2" t="s">
        <v>35</v>
      </c>
      <c r="H488" s="2">
        <v>14</v>
      </c>
      <c r="I488" s="7">
        <v>267.83</v>
      </c>
      <c r="J488" s="2">
        <v>0</v>
      </c>
      <c r="K488" s="7">
        <v>3749.62</v>
      </c>
      <c r="L488" s="2" t="s">
        <v>27</v>
      </c>
      <c r="M488" s="2" t="s">
        <v>2364</v>
      </c>
    </row>
    <row r="489" spans="1:13" x14ac:dyDescent="0.3">
      <c r="A489" s="2" t="s">
        <v>1311</v>
      </c>
      <c r="B489" s="5">
        <v>45777</v>
      </c>
      <c r="C489" s="2" t="s">
        <v>1312</v>
      </c>
      <c r="D489" s="2" t="s">
        <v>53</v>
      </c>
      <c r="E489" s="2" t="s">
        <v>67</v>
      </c>
      <c r="F489" s="2" t="s">
        <v>52</v>
      </c>
      <c r="G489" s="2" t="s">
        <v>35</v>
      </c>
      <c r="H489" s="2">
        <v>38</v>
      </c>
      <c r="I489" s="7">
        <v>109.79</v>
      </c>
      <c r="J489" s="2">
        <v>10</v>
      </c>
      <c r="K489" s="7">
        <v>3754.82</v>
      </c>
      <c r="L489" s="2" t="s">
        <v>49</v>
      </c>
      <c r="M489" s="2" t="s">
        <v>2364</v>
      </c>
    </row>
    <row r="490" spans="1:13" x14ac:dyDescent="0.3">
      <c r="A490" s="2" t="s">
        <v>2248</v>
      </c>
      <c r="B490" s="5">
        <v>45699</v>
      </c>
      <c r="C490" s="2" t="s">
        <v>549</v>
      </c>
      <c r="D490" s="2" t="s">
        <v>24</v>
      </c>
      <c r="E490" s="2" t="s">
        <v>25</v>
      </c>
      <c r="F490" s="2" t="s">
        <v>52</v>
      </c>
      <c r="G490" s="2" t="s">
        <v>35</v>
      </c>
      <c r="H490" s="2">
        <v>34</v>
      </c>
      <c r="I490" s="7">
        <v>111.61</v>
      </c>
      <c r="J490" s="2">
        <v>0</v>
      </c>
      <c r="K490" s="7">
        <v>3794.74</v>
      </c>
      <c r="L490" s="2" t="s">
        <v>49</v>
      </c>
      <c r="M490" s="2" t="s">
        <v>2365</v>
      </c>
    </row>
    <row r="491" spans="1:13" x14ac:dyDescent="0.3">
      <c r="A491" s="2" t="s">
        <v>1368</v>
      </c>
      <c r="B491" s="5">
        <v>46183</v>
      </c>
      <c r="C491" s="2" t="s">
        <v>1369</v>
      </c>
      <c r="D491" s="2" t="s">
        <v>16</v>
      </c>
      <c r="E491" s="2" t="s">
        <v>111</v>
      </c>
      <c r="F491" s="2" t="s">
        <v>52</v>
      </c>
      <c r="G491" s="2" t="s">
        <v>35</v>
      </c>
      <c r="H491" s="2">
        <v>33</v>
      </c>
      <c r="I491" s="7">
        <v>122.36</v>
      </c>
      <c r="J491" s="2">
        <v>5</v>
      </c>
      <c r="K491" s="7">
        <v>3835.99</v>
      </c>
      <c r="L491" s="2" t="s">
        <v>69</v>
      </c>
      <c r="M491" s="2" t="s">
        <v>2364</v>
      </c>
    </row>
    <row r="492" spans="1:13" x14ac:dyDescent="0.3">
      <c r="A492" s="2" t="s">
        <v>733</v>
      </c>
      <c r="B492" s="5">
        <v>46240</v>
      </c>
      <c r="C492" s="2" t="s">
        <v>137</v>
      </c>
      <c r="D492" s="2" t="s">
        <v>16</v>
      </c>
      <c r="E492" s="2" t="s">
        <v>111</v>
      </c>
      <c r="F492" s="2" t="s">
        <v>52</v>
      </c>
      <c r="G492" s="2" t="s">
        <v>35</v>
      </c>
      <c r="H492" s="2">
        <v>15</v>
      </c>
      <c r="I492" s="7">
        <v>294.58999999999997</v>
      </c>
      <c r="J492" s="2">
        <v>10</v>
      </c>
      <c r="K492" s="7">
        <v>3976.96</v>
      </c>
      <c r="L492" s="2" t="s">
        <v>69</v>
      </c>
      <c r="M492" s="2" t="s">
        <v>2365</v>
      </c>
    </row>
    <row r="493" spans="1:13" x14ac:dyDescent="0.3">
      <c r="A493" s="2" t="s">
        <v>529</v>
      </c>
      <c r="B493" s="5">
        <v>45795</v>
      </c>
      <c r="C493" s="2" t="s">
        <v>530</v>
      </c>
      <c r="D493" s="2" t="s">
        <v>53</v>
      </c>
      <c r="E493" s="2" t="s">
        <v>141</v>
      </c>
      <c r="F493" s="2" t="s">
        <v>52</v>
      </c>
      <c r="G493" s="2" t="s">
        <v>35</v>
      </c>
      <c r="H493" s="2">
        <v>12</v>
      </c>
      <c r="I493" s="7">
        <v>355.03</v>
      </c>
      <c r="J493" s="2">
        <v>5</v>
      </c>
      <c r="K493" s="7">
        <v>4047.34</v>
      </c>
      <c r="L493" s="2" t="s">
        <v>49</v>
      </c>
      <c r="M493" s="2" t="s">
        <v>2364</v>
      </c>
    </row>
    <row r="494" spans="1:13" x14ac:dyDescent="0.3">
      <c r="A494" s="2" t="s">
        <v>1950</v>
      </c>
      <c r="B494" s="5">
        <v>45814</v>
      </c>
      <c r="C494" s="2" t="s">
        <v>669</v>
      </c>
      <c r="D494" s="2" t="s">
        <v>46</v>
      </c>
      <c r="E494" s="2" t="s">
        <v>244</v>
      </c>
      <c r="F494" s="2" t="s">
        <v>52</v>
      </c>
      <c r="G494" s="2" t="s">
        <v>35</v>
      </c>
      <c r="H494" s="2">
        <v>34</v>
      </c>
      <c r="I494" s="7">
        <v>139.1</v>
      </c>
      <c r="J494" s="2">
        <v>10</v>
      </c>
      <c r="K494" s="7">
        <v>4256.46</v>
      </c>
      <c r="L494" s="2" t="s">
        <v>69</v>
      </c>
      <c r="M494" s="2" t="s">
        <v>2364</v>
      </c>
    </row>
    <row r="495" spans="1:13" x14ac:dyDescent="0.3">
      <c r="A495" s="2" t="s">
        <v>2120</v>
      </c>
      <c r="B495" s="5">
        <v>45588</v>
      </c>
      <c r="C495" s="2" t="s">
        <v>1070</v>
      </c>
      <c r="D495" s="2" t="s">
        <v>16</v>
      </c>
      <c r="E495" s="2" t="s">
        <v>74</v>
      </c>
      <c r="F495" s="2" t="s">
        <v>52</v>
      </c>
      <c r="G495" s="2" t="s">
        <v>35</v>
      </c>
      <c r="H495" s="2">
        <v>16</v>
      </c>
      <c r="I495" s="7">
        <v>318.41000000000003</v>
      </c>
      <c r="J495" s="2">
        <v>15</v>
      </c>
      <c r="K495" s="7">
        <v>4330.38</v>
      </c>
      <c r="L495" s="2" t="s">
        <v>31</v>
      </c>
      <c r="M495" s="2" t="s">
        <v>2365</v>
      </c>
    </row>
    <row r="496" spans="1:13" x14ac:dyDescent="0.3">
      <c r="A496" s="2" t="s">
        <v>1127</v>
      </c>
      <c r="B496" s="5">
        <v>46023</v>
      </c>
      <c r="C496" s="2" t="s">
        <v>233</v>
      </c>
      <c r="D496" s="2" t="s">
        <v>16</v>
      </c>
      <c r="E496" s="2" t="s">
        <v>74</v>
      </c>
      <c r="F496" s="2" t="s">
        <v>52</v>
      </c>
      <c r="G496" s="2" t="s">
        <v>35</v>
      </c>
      <c r="H496" s="2">
        <v>42</v>
      </c>
      <c r="I496" s="7">
        <v>108.45</v>
      </c>
      <c r="J496" s="2">
        <v>0</v>
      </c>
      <c r="K496" s="7">
        <v>4554.8999999999996</v>
      </c>
      <c r="L496" s="2" t="s">
        <v>49</v>
      </c>
      <c r="M496" s="2" t="s">
        <v>2364</v>
      </c>
    </row>
    <row r="497" spans="1:13" x14ac:dyDescent="0.3">
      <c r="A497" s="2" t="s">
        <v>2330</v>
      </c>
      <c r="B497" s="5">
        <v>46252</v>
      </c>
      <c r="C497" s="2" t="s">
        <v>385</v>
      </c>
      <c r="D497" s="2" t="s">
        <v>53</v>
      </c>
      <c r="E497" s="2" t="s">
        <v>67</v>
      </c>
      <c r="F497" s="2" t="s">
        <v>52</v>
      </c>
      <c r="G497" s="2" t="s">
        <v>35</v>
      </c>
      <c r="H497" s="2">
        <v>29</v>
      </c>
      <c r="I497" s="7">
        <v>166.43</v>
      </c>
      <c r="J497" s="2">
        <v>5</v>
      </c>
      <c r="K497" s="7">
        <v>4585.1499999999996</v>
      </c>
      <c r="L497" s="2" t="s">
        <v>2347</v>
      </c>
      <c r="M497" s="2" t="s">
        <v>2364</v>
      </c>
    </row>
    <row r="498" spans="1:13" x14ac:dyDescent="0.3">
      <c r="A498" s="2" t="s">
        <v>1417</v>
      </c>
      <c r="B498" s="5">
        <v>45772</v>
      </c>
      <c r="C498" s="2" t="s">
        <v>238</v>
      </c>
      <c r="D498" s="2" t="s">
        <v>24</v>
      </c>
      <c r="E498" s="2" t="s">
        <v>104</v>
      </c>
      <c r="F498" s="2" t="s">
        <v>52</v>
      </c>
      <c r="G498" s="2" t="s">
        <v>35</v>
      </c>
      <c r="H498" s="2">
        <v>28</v>
      </c>
      <c r="I498" s="7">
        <v>210.32</v>
      </c>
      <c r="J498" s="2">
        <v>20</v>
      </c>
      <c r="K498" s="7">
        <v>4711.17</v>
      </c>
      <c r="L498" s="2" t="s">
        <v>49</v>
      </c>
      <c r="M498" s="2" t="s">
        <v>2364</v>
      </c>
    </row>
    <row r="499" spans="1:13" x14ac:dyDescent="0.3">
      <c r="A499" s="2" t="s">
        <v>109</v>
      </c>
      <c r="B499" s="5">
        <v>45720</v>
      </c>
      <c r="C499" s="2" t="s">
        <v>110</v>
      </c>
      <c r="D499" s="2" t="s">
        <v>16</v>
      </c>
      <c r="E499" s="2" t="s">
        <v>111</v>
      </c>
      <c r="F499" s="2" t="s">
        <v>52</v>
      </c>
      <c r="G499" s="2" t="s">
        <v>35</v>
      </c>
      <c r="H499" s="2">
        <v>20</v>
      </c>
      <c r="I499" s="7">
        <v>238.17</v>
      </c>
      <c r="J499" s="2">
        <v>0</v>
      </c>
      <c r="K499" s="7">
        <v>4763.3999999999996</v>
      </c>
      <c r="L499" s="2" t="s">
        <v>69</v>
      </c>
      <c r="M499" s="2" t="s">
        <v>2364</v>
      </c>
    </row>
    <row r="500" spans="1:13" x14ac:dyDescent="0.3">
      <c r="A500" s="2" t="s">
        <v>1110</v>
      </c>
      <c r="B500" s="5">
        <v>45945</v>
      </c>
      <c r="C500" s="2" t="s">
        <v>1111</v>
      </c>
      <c r="D500" s="2" t="s">
        <v>24</v>
      </c>
      <c r="E500" s="2" t="s">
        <v>25</v>
      </c>
      <c r="F500" s="2" t="s">
        <v>52</v>
      </c>
      <c r="G500" s="2" t="s">
        <v>35</v>
      </c>
      <c r="H500" s="2">
        <v>22</v>
      </c>
      <c r="I500" s="7">
        <v>272.37</v>
      </c>
      <c r="J500" s="2">
        <v>20</v>
      </c>
      <c r="K500" s="7">
        <v>4793.71</v>
      </c>
      <c r="L500" s="2" t="s">
        <v>31</v>
      </c>
      <c r="M500" s="2" t="s">
        <v>2364</v>
      </c>
    </row>
    <row r="501" spans="1:13" x14ac:dyDescent="0.3">
      <c r="A501" s="2" t="s">
        <v>1503</v>
      </c>
      <c r="B501" s="5">
        <v>45644</v>
      </c>
      <c r="C501" s="2" t="s">
        <v>1504</v>
      </c>
      <c r="D501" s="2" t="s">
        <v>24</v>
      </c>
      <c r="E501" s="2" t="s">
        <v>36</v>
      </c>
      <c r="F501" s="2" t="s">
        <v>52</v>
      </c>
      <c r="G501" s="2" t="s">
        <v>35</v>
      </c>
      <c r="H501" s="2">
        <v>34</v>
      </c>
      <c r="I501" s="7">
        <v>142.13999999999999</v>
      </c>
      <c r="J501" s="2">
        <v>0</v>
      </c>
      <c r="K501" s="7">
        <v>4832.76</v>
      </c>
      <c r="L501" s="2" t="s">
        <v>27</v>
      </c>
      <c r="M501" s="2" t="s">
        <v>2365</v>
      </c>
    </row>
    <row r="502" spans="1:13" x14ac:dyDescent="0.3">
      <c r="A502" s="2" t="s">
        <v>2297</v>
      </c>
      <c r="B502" s="5">
        <v>46065</v>
      </c>
      <c r="C502" s="2" t="s">
        <v>2298</v>
      </c>
      <c r="D502" s="2" t="s">
        <v>53</v>
      </c>
      <c r="E502" s="2" t="s">
        <v>134</v>
      </c>
      <c r="F502" s="2" t="s">
        <v>52</v>
      </c>
      <c r="G502" s="2" t="s">
        <v>35</v>
      </c>
      <c r="H502" s="2">
        <v>41</v>
      </c>
      <c r="I502" s="7">
        <v>119.25</v>
      </c>
      <c r="J502" s="2">
        <v>0</v>
      </c>
      <c r="K502" s="7">
        <v>4889.25</v>
      </c>
      <c r="L502" s="2" t="s">
        <v>49</v>
      </c>
      <c r="M502" s="2" t="s">
        <v>2365</v>
      </c>
    </row>
    <row r="503" spans="1:13" x14ac:dyDescent="0.3">
      <c r="A503" s="2" t="s">
        <v>2088</v>
      </c>
      <c r="B503" s="5">
        <v>45981</v>
      </c>
      <c r="C503" s="2" t="s">
        <v>2089</v>
      </c>
      <c r="D503" s="2" t="s">
        <v>16</v>
      </c>
      <c r="E503" s="2" t="s">
        <v>160</v>
      </c>
      <c r="F503" s="2" t="s">
        <v>52</v>
      </c>
      <c r="G503" s="2" t="s">
        <v>35</v>
      </c>
      <c r="H503" s="2">
        <v>45</v>
      </c>
      <c r="I503" s="7">
        <v>115.06</v>
      </c>
      <c r="J503" s="2">
        <v>0</v>
      </c>
      <c r="K503" s="7">
        <v>5177.7</v>
      </c>
      <c r="L503" s="2" t="s">
        <v>69</v>
      </c>
      <c r="M503" s="2" t="s">
        <v>2364</v>
      </c>
    </row>
    <row r="504" spans="1:13" x14ac:dyDescent="0.3">
      <c r="A504" s="2" t="s">
        <v>2164</v>
      </c>
      <c r="B504" s="5">
        <v>46212</v>
      </c>
      <c r="C504" s="2" t="s">
        <v>2165</v>
      </c>
      <c r="D504" s="2" t="s">
        <v>53</v>
      </c>
      <c r="E504" s="2" t="s">
        <v>170</v>
      </c>
      <c r="F504" s="2" t="s">
        <v>52</v>
      </c>
      <c r="G504" s="2" t="s">
        <v>35</v>
      </c>
      <c r="H504" s="2">
        <v>47</v>
      </c>
      <c r="I504" s="7">
        <v>123.31</v>
      </c>
      <c r="J504" s="2">
        <v>10</v>
      </c>
      <c r="K504" s="7">
        <v>5216.01</v>
      </c>
      <c r="L504" s="2" t="s">
        <v>31</v>
      </c>
      <c r="M504" s="2" t="s">
        <v>2365</v>
      </c>
    </row>
    <row r="505" spans="1:13" x14ac:dyDescent="0.3">
      <c r="A505" s="2" t="s">
        <v>1339</v>
      </c>
      <c r="B505" s="5">
        <v>45622</v>
      </c>
      <c r="C505" s="2" t="s">
        <v>1340</v>
      </c>
      <c r="D505" s="2" t="s">
        <v>24</v>
      </c>
      <c r="E505" s="2" t="s">
        <v>36</v>
      </c>
      <c r="F505" s="2" t="s">
        <v>52</v>
      </c>
      <c r="G505" s="2" t="s">
        <v>35</v>
      </c>
      <c r="H505" s="2">
        <v>35</v>
      </c>
      <c r="I505" s="7">
        <v>156.97999999999999</v>
      </c>
      <c r="J505" s="2">
        <v>5</v>
      </c>
      <c r="K505" s="7">
        <v>5219.58</v>
      </c>
      <c r="L505" s="2" t="s">
        <v>27</v>
      </c>
      <c r="M505" s="2" t="s">
        <v>2365</v>
      </c>
    </row>
    <row r="506" spans="1:13" x14ac:dyDescent="0.3">
      <c r="A506" s="2" t="s">
        <v>2063</v>
      </c>
      <c r="B506" s="5">
        <v>45943</v>
      </c>
      <c r="C506" s="2" t="s">
        <v>2064</v>
      </c>
      <c r="D506" s="2" t="s">
        <v>46</v>
      </c>
      <c r="E506" s="2" t="s">
        <v>47</v>
      </c>
      <c r="F506" s="2" t="s">
        <v>52</v>
      </c>
      <c r="G506" s="2" t="s">
        <v>35</v>
      </c>
      <c r="H506" s="2">
        <v>22</v>
      </c>
      <c r="I506" s="7">
        <v>264.98</v>
      </c>
      <c r="J506" s="2">
        <v>10</v>
      </c>
      <c r="K506" s="7">
        <v>5246.6</v>
      </c>
      <c r="L506" s="2" t="s">
        <v>31</v>
      </c>
      <c r="M506" s="2" t="s">
        <v>2364</v>
      </c>
    </row>
    <row r="507" spans="1:13" x14ac:dyDescent="0.3">
      <c r="A507" s="2" t="s">
        <v>2086</v>
      </c>
      <c r="B507" s="5">
        <v>45761</v>
      </c>
      <c r="C507" s="2" t="s">
        <v>2087</v>
      </c>
      <c r="D507" s="2" t="s">
        <v>46</v>
      </c>
      <c r="E507" s="2" t="s">
        <v>244</v>
      </c>
      <c r="F507" s="2" t="s">
        <v>52</v>
      </c>
      <c r="G507" s="2" t="s">
        <v>35</v>
      </c>
      <c r="H507" s="2">
        <v>18</v>
      </c>
      <c r="I507" s="7">
        <v>313.83999999999997</v>
      </c>
      <c r="J507" s="2">
        <v>5</v>
      </c>
      <c r="K507" s="7">
        <v>5366.66</v>
      </c>
      <c r="L507" s="2" t="s">
        <v>69</v>
      </c>
      <c r="M507" s="2" t="s">
        <v>2364</v>
      </c>
    </row>
    <row r="508" spans="1:13" x14ac:dyDescent="0.3">
      <c r="A508" s="2" t="s">
        <v>840</v>
      </c>
      <c r="B508" s="5">
        <v>45652</v>
      </c>
      <c r="C508" s="2" t="s">
        <v>841</v>
      </c>
      <c r="D508" s="2" t="s">
        <v>16</v>
      </c>
      <c r="E508" s="2" t="s">
        <v>160</v>
      </c>
      <c r="F508" s="2" t="s">
        <v>52</v>
      </c>
      <c r="G508" s="2" t="s">
        <v>35</v>
      </c>
      <c r="H508" s="2">
        <v>24</v>
      </c>
      <c r="I508" s="7">
        <v>230.19</v>
      </c>
      <c r="J508" s="2">
        <v>0</v>
      </c>
      <c r="K508" s="7">
        <v>5524.56</v>
      </c>
      <c r="L508" s="2" t="s">
        <v>69</v>
      </c>
      <c r="M508" s="2" t="s">
        <v>2364</v>
      </c>
    </row>
    <row r="509" spans="1:13" x14ac:dyDescent="0.3">
      <c r="A509" s="2" t="s">
        <v>632</v>
      </c>
      <c r="B509" s="5">
        <v>45740</v>
      </c>
      <c r="C509" s="2" t="s">
        <v>511</v>
      </c>
      <c r="D509" s="2" t="s">
        <v>16</v>
      </c>
      <c r="E509" s="2" t="s">
        <v>91</v>
      </c>
      <c r="F509" s="2" t="s">
        <v>52</v>
      </c>
      <c r="G509" s="2" t="s">
        <v>35</v>
      </c>
      <c r="H509" s="2">
        <v>24</v>
      </c>
      <c r="I509" s="7">
        <v>257.92</v>
      </c>
      <c r="J509" s="2">
        <v>10</v>
      </c>
      <c r="K509" s="7">
        <v>5571.07</v>
      </c>
      <c r="L509" s="2" t="s">
        <v>2347</v>
      </c>
      <c r="M509" s="2" t="s">
        <v>2365</v>
      </c>
    </row>
    <row r="510" spans="1:13" x14ac:dyDescent="0.3">
      <c r="A510" s="2" t="s">
        <v>1043</v>
      </c>
      <c r="B510" s="5">
        <v>45828</v>
      </c>
      <c r="C510" s="2" t="s">
        <v>1044</v>
      </c>
      <c r="D510" s="2" t="s">
        <v>16</v>
      </c>
      <c r="E510" s="2" t="s">
        <v>74</v>
      </c>
      <c r="F510" s="2" t="s">
        <v>52</v>
      </c>
      <c r="G510" s="2" t="s">
        <v>35</v>
      </c>
      <c r="H510" s="2">
        <v>46</v>
      </c>
      <c r="I510" s="7">
        <v>149.63999999999999</v>
      </c>
      <c r="J510" s="2">
        <v>15</v>
      </c>
      <c r="K510" s="7">
        <v>5850.92</v>
      </c>
      <c r="L510" s="2" t="s">
        <v>31</v>
      </c>
      <c r="M510" s="2" t="s">
        <v>2364</v>
      </c>
    </row>
    <row r="511" spans="1:13" x14ac:dyDescent="0.3">
      <c r="A511" s="2" t="s">
        <v>1433</v>
      </c>
      <c r="B511" s="5">
        <v>45619</v>
      </c>
      <c r="C511" s="2" t="s">
        <v>1434</v>
      </c>
      <c r="D511" s="2" t="s">
        <v>53</v>
      </c>
      <c r="E511" s="2" t="s">
        <v>134</v>
      </c>
      <c r="F511" s="2" t="s">
        <v>52</v>
      </c>
      <c r="G511" s="2" t="s">
        <v>35</v>
      </c>
      <c r="H511" s="2">
        <v>24</v>
      </c>
      <c r="I511" s="7">
        <v>296.8</v>
      </c>
      <c r="J511" s="2">
        <v>15</v>
      </c>
      <c r="K511" s="7">
        <v>6054.72</v>
      </c>
      <c r="L511" s="2" t="s">
        <v>31</v>
      </c>
      <c r="M511" s="2" t="s">
        <v>2364</v>
      </c>
    </row>
    <row r="512" spans="1:13" x14ac:dyDescent="0.3">
      <c r="A512" s="2" t="s">
        <v>934</v>
      </c>
      <c r="B512" s="5">
        <v>46020</v>
      </c>
      <c r="C512" s="2" t="s">
        <v>935</v>
      </c>
      <c r="D512" s="2" t="s">
        <v>53</v>
      </c>
      <c r="E512" s="2" t="s">
        <v>141</v>
      </c>
      <c r="F512" s="2" t="s">
        <v>52</v>
      </c>
      <c r="G512" s="2" t="s">
        <v>35</v>
      </c>
      <c r="H512" s="2">
        <v>30</v>
      </c>
      <c r="I512" s="7">
        <v>203.5</v>
      </c>
      <c r="J512" s="2">
        <v>0</v>
      </c>
      <c r="K512" s="7">
        <v>6105</v>
      </c>
      <c r="L512" s="2" t="s">
        <v>49</v>
      </c>
      <c r="M512" s="2" t="s">
        <v>2365</v>
      </c>
    </row>
    <row r="513" spans="1:13" x14ac:dyDescent="0.3">
      <c r="A513" s="2" t="s">
        <v>867</v>
      </c>
      <c r="B513" s="5">
        <v>46097</v>
      </c>
      <c r="C513" s="2" t="s">
        <v>868</v>
      </c>
      <c r="D513" s="2" t="s">
        <v>16</v>
      </c>
      <c r="E513" s="2" t="s">
        <v>160</v>
      </c>
      <c r="F513" s="2" t="s">
        <v>52</v>
      </c>
      <c r="G513" s="2" t="s">
        <v>35</v>
      </c>
      <c r="H513" s="2">
        <v>45</v>
      </c>
      <c r="I513" s="7">
        <v>137.80000000000001</v>
      </c>
      <c r="J513" s="2">
        <v>0</v>
      </c>
      <c r="K513" s="7">
        <v>6201</v>
      </c>
      <c r="L513" s="2" t="s">
        <v>49</v>
      </c>
      <c r="M513" s="2" t="s">
        <v>2364</v>
      </c>
    </row>
    <row r="514" spans="1:13" x14ac:dyDescent="0.3">
      <c r="A514" s="2" t="s">
        <v>985</v>
      </c>
      <c r="B514" s="5">
        <v>45619</v>
      </c>
      <c r="C514" s="2" t="s">
        <v>291</v>
      </c>
      <c r="D514" s="2" t="s">
        <v>24</v>
      </c>
      <c r="E514" s="2" t="s">
        <v>25</v>
      </c>
      <c r="F514" s="2" t="s">
        <v>52</v>
      </c>
      <c r="G514" s="2" t="s">
        <v>35</v>
      </c>
      <c r="H514" s="2">
        <v>44</v>
      </c>
      <c r="I514" s="7">
        <v>153.82</v>
      </c>
      <c r="J514" s="2">
        <v>5</v>
      </c>
      <c r="K514" s="7">
        <v>6429.68</v>
      </c>
      <c r="L514" s="2" t="s">
        <v>49</v>
      </c>
      <c r="M514" s="2" t="s">
        <v>2364</v>
      </c>
    </row>
    <row r="515" spans="1:13" x14ac:dyDescent="0.3">
      <c r="A515" s="2" t="s">
        <v>1459</v>
      </c>
      <c r="B515" s="5">
        <v>45917</v>
      </c>
      <c r="C515" s="2" t="s">
        <v>1420</v>
      </c>
      <c r="D515" s="2" t="s">
        <v>46</v>
      </c>
      <c r="E515" s="2" t="s">
        <v>78</v>
      </c>
      <c r="F515" s="2" t="s">
        <v>52</v>
      </c>
      <c r="G515" s="2" t="s">
        <v>35</v>
      </c>
      <c r="H515" s="2">
        <v>19</v>
      </c>
      <c r="I515" s="7">
        <v>372.87</v>
      </c>
      <c r="J515" s="2">
        <v>0</v>
      </c>
      <c r="K515" s="7">
        <v>7084.53</v>
      </c>
      <c r="L515" s="2" t="s">
        <v>2347</v>
      </c>
      <c r="M515" s="2" t="s">
        <v>2364</v>
      </c>
    </row>
    <row r="516" spans="1:13" x14ac:dyDescent="0.3">
      <c r="A516" s="2" t="s">
        <v>2209</v>
      </c>
      <c r="B516" s="5">
        <v>46294</v>
      </c>
      <c r="C516" s="2" t="s">
        <v>795</v>
      </c>
      <c r="D516" s="2" t="s">
        <v>53</v>
      </c>
      <c r="E516" s="2" t="s">
        <v>134</v>
      </c>
      <c r="F516" s="2" t="s">
        <v>52</v>
      </c>
      <c r="G516" s="2" t="s">
        <v>35</v>
      </c>
      <c r="H516" s="2">
        <v>38</v>
      </c>
      <c r="I516" s="7">
        <v>187.2</v>
      </c>
      <c r="J516" s="2">
        <v>0</v>
      </c>
      <c r="K516" s="7">
        <v>7113.6</v>
      </c>
      <c r="L516" s="2" t="s">
        <v>69</v>
      </c>
      <c r="M516" s="2" t="s">
        <v>2364</v>
      </c>
    </row>
    <row r="517" spans="1:13" x14ac:dyDescent="0.3">
      <c r="A517" s="2" t="s">
        <v>2016</v>
      </c>
      <c r="B517" s="5">
        <v>45662</v>
      </c>
      <c r="C517" s="2" t="s">
        <v>1257</v>
      </c>
      <c r="D517" s="2" t="s">
        <v>53</v>
      </c>
      <c r="E517" s="2" t="s">
        <v>54</v>
      </c>
      <c r="F517" s="2" t="s">
        <v>52</v>
      </c>
      <c r="G517" s="2" t="s">
        <v>35</v>
      </c>
      <c r="H517" s="2">
        <v>32</v>
      </c>
      <c r="I517" s="7">
        <v>272.98</v>
      </c>
      <c r="J517" s="2">
        <v>10</v>
      </c>
      <c r="K517" s="7">
        <v>7861.82</v>
      </c>
      <c r="L517" s="2" t="s">
        <v>69</v>
      </c>
      <c r="M517" s="2" t="s">
        <v>2364</v>
      </c>
    </row>
    <row r="518" spans="1:13" x14ac:dyDescent="0.3">
      <c r="A518" s="2" t="s">
        <v>1518</v>
      </c>
      <c r="B518" s="5">
        <v>45828</v>
      </c>
      <c r="C518" s="2" t="s">
        <v>1519</v>
      </c>
      <c r="D518" s="2" t="s">
        <v>24</v>
      </c>
      <c r="E518" s="2" t="s">
        <v>25</v>
      </c>
      <c r="F518" s="2" t="s">
        <v>52</v>
      </c>
      <c r="G518" s="2" t="s">
        <v>35</v>
      </c>
      <c r="H518" s="2">
        <v>41</v>
      </c>
      <c r="I518" s="7">
        <v>212.4</v>
      </c>
      <c r="J518" s="2">
        <v>5</v>
      </c>
      <c r="K518" s="7">
        <v>8272.98</v>
      </c>
      <c r="L518" s="2" t="s">
        <v>69</v>
      </c>
      <c r="M518" s="2" t="s">
        <v>2364</v>
      </c>
    </row>
    <row r="519" spans="1:13" x14ac:dyDescent="0.3">
      <c r="A519" s="2" t="s">
        <v>1025</v>
      </c>
      <c r="B519" s="5">
        <v>45894</v>
      </c>
      <c r="C519" s="2" t="s">
        <v>1026</v>
      </c>
      <c r="D519" s="2" t="s">
        <v>24</v>
      </c>
      <c r="E519" s="2" t="s">
        <v>36</v>
      </c>
      <c r="F519" s="2" t="s">
        <v>52</v>
      </c>
      <c r="G519" s="2" t="s">
        <v>35</v>
      </c>
      <c r="H519" s="2">
        <v>40</v>
      </c>
      <c r="I519" s="7">
        <v>218.18</v>
      </c>
      <c r="J519" s="2">
        <v>5</v>
      </c>
      <c r="K519" s="7">
        <v>8290.84</v>
      </c>
      <c r="L519" s="2" t="s">
        <v>27</v>
      </c>
      <c r="M519" s="2" t="s">
        <v>2365</v>
      </c>
    </row>
    <row r="520" spans="1:13" x14ac:dyDescent="0.3">
      <c r="A520" s="2" t="s">
        <v>2181</v>
      </c>
      <c r="B520" s="5">
        <v>45923</v>
      </c>
      <c r="C520" s="2" t="s">
        <v>339</v>
      </c>
      <c r="D520" s="2" t="s">
        <v>16</v>
      </c>
      <c r="E520" s="2" t="s">
        <v>74</v>
      </c>
      <c r="F520" s="2" t="s">
        <v>52</v>
      </c>
      <c r="G520" s="2" t="s">
        <v>35</v>
      </c>
      <c r="H520" s="2">
        <v>22</v>
      </c>
      <c r="I520" s="7">
        <v>383.53</v>
      </c>
      <c r="J520" s="2">
        <v>0</v>
      </c>
      <c r="K520" s="7">
        <v>8437.66</v>
      </c>
      <c r="L520" s="2" t="s">
        <v>31</v>
      </c>
      <c r="M520" s="2" t="s">
        <v>2364</v>
      </c>
    </row>
    <row r="521" spans="1:13" x14ac:dyDescent="0.3">
      <c r="A521" s="2" t="s">
        <v>1500</v>
      </c>
      <c r="B521" s="5">
        <v>45839</v>
      </c>
      <c r="C521" s="2" t="s">
        <v>1501</v>
      </c>
      <c r="D521" s="2" t="s">
        <v>46</v>
      </c>
      <c r="E521" s="2" t="s">
        <v>78</v>
      </c>
      <c r="F521" s="2" t="s">
        <v>52</v>
      </c>
      <c r="G521" s="2" t="s">
        <v>35</v>
      </c>
      <c r="H521" s="2">
        <v>25</v>
      </c>
      <c r="I521" s="7">
        <v>386.81</v>
      </c>
      <c r="J521" s="2">
        <v>10</v>
      </c>
      <c r="K521" s="7">
        <v>8703.23</v>
      </c>
      <c r="L521" s="2" t="s">
        <v>49</v>
      </c>
      <c r="M521" s="2" t="s">
        <v>2365</v>
      </c>
    </row>
    <row r="522" spans="1:13" x14ac:dyDescent="0.3">
      <c r="A522" s="2" t="s">
        <v>1176</v>
      </c>
      <c r="B522" s="5">
        <v>46080</v>
      </c>
      <c r="C522" s="2" t="s">
        <v>1177</v>
      </c>
      <c r="D522" s="2" t="s">
        <v>46</v>
      </c>
      <c r="E522" s="2" t="s">
        <v>83</v>
      </c>
      <c r="F522" s="2" t="s">
        <v>52</v>
      </c>
      <c r="G522" s="2" t="s">
        <v>35</v>
      </c>
      <c r="H522" s="2">
        <v>43</v>
      </c>
      <c r="I522" s="7">
        <v>255.52</v>
      </c>
      <c r="J522" s="2">
        <v>20</v>
      </c>
      <c r="K522" s="7">
        <v>8789.89</v>
      </c>
      <c r="L522" s="2" t="s">
        <v>49</v>
      </c>
      <c r="M522" s="2" t="s">
        <v>2364</v>
      </c>
    </row>
    <row r="523" spans="1:13" x14ac:dyDescent="0.3">
      <c r="A523" s="2" t="s">
        <v>1656</v>
      </c>
      <c r="B523" s="5">
        <v>46174</v>
      </c>
      <c r="C523" s="2" t="s">
        <v>1657</v>
      </c>
      <c r="D523" s="2" t="s">
        <v>46</v>
      </c>
      <c r="E523" s="2" t="s">
        <v>244</v>
      </c>
      <c r="F523" s="2" t="s">
        <v>52</v>
      </c>
      <c r="G523" s="2" t="s">
        <v>35</v>
      </c>
      <c r="H523" s="2">
        <v>42</v>
      </c>
      <c r="I523" s="7">
        <v>270.57</v>
      </c>
      <c r="J523" s="2">
        <v>20</v>
      </c>
      <c r="K523" s="7">
        <v>9091.15</v>
      </c>
      <c r="L523" s="2" t="s">
        <v>31</v>
      </c>
      <c r="M523" s="2" t="s">
        <v>2364</v>
      </c>
    </row>
    <row r="524" spans="1:13" x14ac:dyDescent="0.3">
      <c r="A524" s="2" t="s">
        <v>861</v>
      </c>
      <c r="B524" s="5">
        <v>46190</v>
      </c>
      <c r="C524" s="2" t="s">
        <v>862</v>
      </c>
      <c r="D524" s="2" t="s">
        <v>46</v>
      </c>
      <c r="E524" s="2" t="s">
        <v>78</v>
      </c>
      <c r="F524" s="2" t="s">
        <v>52</v>
      </c>
      <c r="G524" s="2" t="s">
        <v>35</v>
      </c>
      <c r="H524" s="2">
        <v>34</v>
      </c>
      <c r="I524" s="7">
        <v>271.64</v>
      </c>
      <c r="J524" s="2">
        <v>0</v>
      </c>
      <c r="K524" s="7">
        <v>9235.76</v>
      </c>
      <c r="L524" s="2" t="s">
        <v>69</v>
      </c>
      <c r="M524" s="2" t="s">
        <v>2365</v>
      </c>
    </row>
    <row r="525" spans="1:13" x14ac:dyDescent="0.3">
      <c r="A525" s="2" t="s">
        <v>1568</v>
      </c>
      <c r="B525" s="5">
        <v>46098</v>
      </c>
      <c r="C525" s="2" t="s">
        <v>1569</v>
      </c>
      <c r="D525" s="2" t="s">
        <v>16</v>
      </c>
      <c r="E525" s="2" t="s">
        <v>91</v>
      </c>
      <c r="F525" s="2" t="s">
        <v>52</v>
      </c>
      <c r="G525" s="2" t="s">
        <v>35</v>
      </c>
      <c r="H525" s="2">
        <v>43</v>
      </c>
      <c r="I525" s="7">
        <v>228.04</v>
      </c>
      <c r="J525" s="2">
        <v>5</v>
      </c>
      <c r="K525" s="7">
        <v>9315.43</v>
      </c>
      <c r="L525" s="2" t="s">
        <v>49</v>
      </c>
      <c r="M525" s="2" t="s">
        <v>2364</v>
      </c>
    </row>
    <row r="526" spans="1:13" x14ac:dyDescent="0.3">
      <c r="A526" s="2" t="s">
        <v>753</v>
      </c>
      <c r="B526" s="5">
        <v>45938</v>
      </c>
      <c r="C526" s="2" t="s">
        <v>754</v>
      </c>
      <c r="D526" s="2" t="s">
        <v>53</v>
      </c>
      <c r="E526" s="2" t="s">
        <v>170</v>
      </c>
      <c r="F526" s="2" t="s">
        <v>52</v>
      </c>
      <c r="G526" s="2" t="s">
        <v>35</v>
      </c>
      <c r="H526" s="2">
        <v>32</v>
      </c>
      <c r="I526" s="7">
        <v>293.62</v>
      </c>
      <c r="J526" s="2">
        <v>0</v>
      </c>
      <c r="K526" s="7">
        <v>9395.84</v>
      </c>
      <c r="L526" s="2" t="s">
        <v>49</v>
      </c>
      <c r="M526" s="2" t="s">
        <v>2364</v>
      </c>
    </row>
    <row r="527" spans="1:13" x14ac:dyDescent="0.3">
      <c r="A527" s="2" t="s">
        <v>1014</v>
      </c>
      <c r="B527" s="5">
        <v>45866</v>
      </c>
      <c r="C527" s="2" t="s">
        <v>1015</v>
      </c>
      <c r="D527" s="2" t="s">
        <v>16</v>
      </c>
      <c r="E527" s="2" t="s">
        <v>111</v>
      </c>
      <c r="F527" s="2" t="s">
        <v>52</v>
      </c>
      <c r="G527" s="2" t="s">
        <v>35</v>
      </c>
      <c r="H527" s="2">
        <v>26</v>
      </c>
      <c r="I527" s="7">
        <v>375.46</v>
      </c>
      <c r="J527" s="2">
        <v>0</v>
      </c>
      <c r="K527" s="7">
        <v>9761.9599999999991</v>
      </c>
      <c r="L527" s="2" t="s">
        <v>27</v>
      </c>
      <c r="M527" s="2" t="s">
        <v>2365</v>
      </c>
    </row>
    <row r="528" spans="1:13" x14ac:dyDescent="0.3">
      <c r="A528" s="2" t="s">
        <v>136</v>
      </c>
      <c r="B528" s="5">
        <v>45745</v>
      </c>
      <c r="C528" s="2" t="s">
        <v>137</v>
      </c>
      <c r="D528" s="2" t="s">
        <v>46</v>
      </c>
      <c r="E528" s="2" t="s">
        <v>124</v>
      </c>
      <c r="F528" s="2" t="s">
        <v>52</v>
      </c>
      <c r="G528" s="2" t="s">
        <v>35</v>
      </c>
      <c r="H528" s="2">
        <v>39</v>
      </c>
      <c r="I528" s="7">
        <v>290.32</v>
      </c>
      <c r="J528" s="2">
        <v>10</v>
      </c>
      <c r="K528" s="7">
        <v>10190.23</v>
      </c>
      <c r="L528" s="2" t="s">
        <v>2347</v>
      </c>
      <c r="M528" s="2" t="s">
        <v>2364</v>
      </c>
    </row>
    <row r="529" spans="1:13" x14ac:dyDescent="0.3">
      <c r="A529" s="2" t="s">
        <v>1629</v>
      </c>
      <c r="B529" s="5">
        <v>46246</v>
      </c>
      <c r="C529" s="2" t="s">
        <v>1630</v>
      </c>
      <c r="D529" s="2" t="s">
        <v>46</v>
      </c>
      <c r="E529" s="2" t="s">
        <v>83</v>
      </c>
      <c r="F529" s="2" t="s">
        <v>52</v>
      </c>
      <c r="G529" s="2" t="s">
        <v>35</v>
      </c>
      <c r="H529" s="2">
        <v>50</v>
      </c>
      <c r="I529" s="7">
        <v>277.97000000000003</v>
      </c>
      <c r="J529" s="2">
        <v>20</v>
      </c>
      <c r="K529" s="7">
        <v>11118.8</v>
      </c>
      <c r="L529" s="2" t="s">
        <v>49</v>
      </c>
      <c r="M529" s="2" t="s">
        <v>2365</v>
      </c>
    </row>
    <row r="530" spans="1:13" x14ac:dyDescent="0.3">
      <c r="A530" s="2" t="s">
        <v>434</v>
      </c>
      <c r="B530" s="5">
        <v>45714</v>
      </c>
      <c r="C530" s="2" t="s">
        <v>435</v>
      </c>
      <c r="D530" s="2" t="s">
        <v>53</v>
      </c>
      <c r="E530" s="2" t="s">
        <v>170</v>
      </c>
      <c r="F530" s="2" t="s">
        <v>52</v>
      </c>
      <c r="G530" s="2" t="s">
        <v>35</v>
      </c>
      <c r="H530" s="2">
        <v>36</v>
      </c>
      <c r="I530" s="7">
        <v>327.82</v>
      </c>
      <c r="J530" s="2">
        <v>5</v>
      </c>
      <c r="K530" s="7">
        <v>11211.44</v>
      </c>
      <c r="L530" s="2" t="s">
        <v>27</v>
      </c>
      <c r="M530" s="2" t="s">
        <v>2364</v>
      </c>
    </row>
    <row r="531" spans="1:13" x14ac:dyDescent="0.3">
      <c r="A531" s="2" t="s">
        <v>1649</v>
      </c>
      <c r="B531" s="5">
        <v>45935</v>
      </c>
      <c r="C531" s="2" t="s">
        <v>700</v>
      </c>
      <c r="D531" s="2" t="s">
        <v>53</v>
      </c>
      <c r="E531" s="2" t="s">
        <v>67</v>
      </c>
      <c r="F531" s="2" t="s">
        <v>52</v>
      </c>
      <c r="G531" s="2" t="s">
        <v>35</v>
      </c>
      <c r="H531" s="2">
        <v>44</v>
      </c>
      <c r="I531" s="7">
        <v>302.27999999999997</v>
      </c>
      <c r="J531" s="2">
        <v>15</v>
      </c>
      <c r="K531" s="7">
        <v>11305.27</v>
      </c>
      <c r="L531" s="2" t="s">
        <v>31</v>
      </c>
      <c r="M531" s="2" t="s">
        <v>2365</v>
      </c>
    </row>
    <row r="532" spans="1:13" x14ac:dyDescent="0.3">
      <c r="A532" s="2" t="s">
        <v>1300</v>
      </c>
      <c r="B532" s="5">
        <v>45820</v>
      </c>
      <c r="C532" s="2" t="s">
        <v>517</v>
      </c>
      <c r="D532" s="2" t="s">
        <v>24</v>
      </c>
      <c r="E532" s="2" t="s">
        <v>59</v>
      </c>
      <c r="F532" s="2" t="s">
        <v>52</v>
      </c>
      <c r="G532" s="2" t="s">
        <v>35</v>
      </c>
      <c r="H532" s="2">
        <v>38</v>
      </c>
      <c r="I532" s="7">
        <v>299.82</v>
      </c>
      <c r="J532" s="2">
        <v>0</v>
      </c>
      <c r="K532" s="7">
        <v>11393.16</v>
      </c>
      <c r="L532" s="2" t="s">
        <v>27</v>
      </c>
      <c r="M532" s="2" t="s">
        <v>2365</v>
      </c>
    </row>
    <row r="533" spans="1:13" x14ac:dyDescent="0.3">
      <c r="A533" s="2" t="s">
        <v>1435</v>
      </c>
      <c r="B533" s="5">
        <v>45633</v>
      </c>
      <c r="C533" s="2" t="s">
        <v>1436</v>
      </c>
      <c r="D533" s="2" t="s">
        <v>16</v>
      </c>
      <c r="E533" s="2" t="s">
        <v>17</v>
      </c>
      <c r="F533" s="2" t="s">
        <v>52</v>
      </c>
      <c r="G533" s="2" t="s">
        <v>35</v>
      </c>
      <c r="H533" s="2">
        <v>34</v>
      </c>
      <c r="I533" s="7">
        <v>363.67</v>
      </c>
      <c r="J533" s="2">
        <v>5</v>
      </c>
      <c r="K533" s="7">
        <v>11746.54</v>
      </c>
      <c r="L533" s="2" t="s">
        <v>31</v>
      </c>
      <c r="M533" s="2" t="s">
        <v>2364</v>
      </c>
    </row>
    <row r="534" spans="1:13" x14ac:dyDescent="0.3">
      <c r="A534" s="2" t="s">
        <v>1437</v>
      </c>
      <c r="B534" s="5">
        <v>45700</v>
      </c>
      <c r="C534" s="2" t="s">
        <v>423</v>
      </c>
      <c r="D534" s="2" t="s">
        <v>24</v>
      </c>
      <c r="E534" s="2" t="s">
        <v>104</v>
      </c>
      <c r="F534" s="2" t="s">
        <v>52</v>
      </c>
      <c r="G534" s="2" t="s">
        <v>35</v>
      </c>
      <c r="H534" s="2">
        <v>38</v>
      </c>
      <c r="I534" s="7">
        <v>311.33</v>
      </c>
      <c r="J534" s="2">
        <v>0</v>
      </c>
      <c r="K534" s="7">
        <v>11830.54</v>
      </c>
      <c r="L534" s="2" t="s">
        <v>49</v>
      </c>
      <c r="M534" s="2" t="s">
        <v>2364</v>
      </c>
    </row>
    <row r="535" spans="1:13" x14ac:dyDescent="0.3">
      <c r="A535" s="2" t="s">
        <v>1049</v>
      </c>
      <c r="B535" s="5">
        <v>45670</v>
      </c>
      <c r="C535" s="2" t="s">
        <v>731</v>
      </c>
      <c r="D535" s="2" t="s">
        <v>46</v>
      </c>
      <c r="E535" s="2" t="s">
        <v>83</v>
      </c>
      <c r="F535" s="2" t="s">
        <v>52</v>
      </c>
      <c r="G535" s="2" t="s">
        <v>35</v>
      </c>
      <c r="H535" s="2">
        <v>45</v>
      </c>
      <c r="I535" s="7">
        <v>297.45999999999998</v>
      </c>
      <c r="J535" s="2">
        <v>10</v>
      </c>
      <c r="K535" s="7">
        <v>12047.13</v>
      </c>
      <c r="L535" s="2" t="s">
        <v>27</v>
      </c>
      <c r="M535" s="2" t="s">
        <v>2364</v>
      </c>
    </row>
    <row r="536" spans="1:13" x14ac:dyDescent="0.3">
      <c r="A536" s="2" t="s">
        <v>1585</v>
      </c>
      <c r="B536" s="5">
        <v>46292</v>
      </c>
      <c r="C536" s="2" t="s">
        <v>1168</v>
      </c>
      <c r="D536" s="2" t="s">
        <v>16</v>
      </c>
      <c r="E536" s="2" t="s">
        <v>17</v>
      </c>
      <c r="F536" s="2" t="s">
        <v>52</v>
      </c>
      <c r="G536" s="2" t="s">
        <v>35</v>
      </c>
      <c r="H536" s="2">
        <v>45</v>
      </c>
      <c r="I536" s="7">
        <v>283.91000000000003</v>
      </c>
      <c r="J536" s="2">
        <v>5</v>
      </c>
      <c r="K536" s="7">
        <v>12137.15</v>
      </c>
      <c r="L536" s="2" t="s">
        <v>69</v>
      </c>
      <c r="M536" s="2" t="s">
        <v>2364</v>
      </c>
    </row>
    <row r="537" spans="1:13" x14ac:dyDescent="0.3">
      <c r="A537" s="2" t="s">
        <v>1794</v>
      </c>
      <c r="B537" s="5">
        <v>45942</v>
      </c>
      <c r="C537" s="2" t="s">
        <v>707</v>
      </c>
      <c r="D537" s="2" t="s">
        <v>24</v>
      </c>
      <c r="E537" s="2" t="s">
        <v>41</v>
      </c>
      <c r="F537" s="2" t="s">
        <v>52</v>
      </c>
      <c r="G537" s="2" t="s">
        <v>35</v>
      </c>
      <c r="H537" s="2">
        <v>47</v>
      </c>
      <c r="I537" s="7">
        <v>309.42</v>
      </c>
      <c r="J537" s="2">
        <v>15</v>
      </c>
      <c r="K537" s="7">
        <v>12361.33</v>
      </c>
      <c r="L537" s="2" t="s">
        <v>31</v>
      </c>
      <c r="M537" s="2" t="s">
        <v>2364</v>
      </c>
    </row>
    <row r="538" spans="1:13" x14ac:dyDescent="0.3">
      <c r="A538" s="2" t="s">
        <v>718</v>
      </c>
      <c r="B538" s="5">
        <v>45659</v>
      </c>
      <c r="C538" s="2" t="s">
        <v>719</v>
      </c>
      <c r="D538" s="2" t="s">
        <v>16</v>
      </c>
      <c r="E538" s="2" t="s">
        <v>17</v>
      </c>
      <c r="F538" s="2" t="s">
        <v>52</v>
      </c>
      <c r="G538" s="2" t="s">
        <v>35</v>
      </c>
      <c r="H538" s="2">
        <v>42</v>
      </c>
      <c r="I538" s="7">
        <v>327.45</v>
      </c>
      <c r="J538" s="2">
        <v>10</v>
      </c>
      <c r="K538" s="7">
        <v>12377.61</v>
      </c>
      <c r="L538" s="2" t="s">
        <v>69</v>
      </c>
      <c r="M538" s="2" t="s">
        <v>2364</v>
      </c>
    </row>
    <row r="539" spans="1:13" x14ac:dyDescent="0.3">
      <c r="A539" s="2" t="s">
        <v>1697</v>
      </c>
      <c r="B539" s="5">
        <v>46054</v>
      </c>
      <c r="C539" s="2" t="s">
        <v>169</v>
      </c>
      <c r="D539" s="2" t="s">
        <v>24</v>
      </c>
      <c r="E539" s="2" t="s">
        <v>41</v>
      </c>
      <c r="F539" s="2" t="s">
        <v>52</v>
      </c>
      <c r="G539" s="2" t="s">
        <v>35</v>
      </c>
      <c r="H539" s="2">
        <v>49</v>
      </c>
      <c r="I539" s="7">
        <v>255.24</v>
      </c>
      <c r="J539" s="2">
        <v>0</v>
      </c>
      <c r="K539" s="7">
        <v>12506.76</v>
      </c>
      <c r="L539" s="2" t="s">
        <v>31</v>
      </c>
      <c r="M539" s="2" t="s">
        <v>2364</v>
      </c>
    </row>
    <row r="540" spans="1:13" x14ac:dyDescent="0.3">
      <c r="A540" s="2" t="s">
        <v>1907</v>
      </c>
      <c r="B540" s="5">
        <v>46009</v>
      </c>
      <c r="C540" s="2" t="s">
        <v>1908</v>
      </c>
      <c r="D540" s="2" t="s">
        <v>16</v>
      </c>
      <c r="E540" s="2" t="s">
        <v>74</v>
      </c>
      <c r="F540" s="2" t="s">
        <v>52</v>
      </c>
      <c r="G540" s="2" t="s">
        <v>35</v>
      </c>
      <c r="H540" s="2">
        <v>42</v>
      </c>
      <c r="I540" s="7">
        <v>334.82</v>
      </c>
      <c r="J540" s="2">
        <v>5</v>
      </c>
      <c r="K540" s="7">
        <v>13359.32</v>
      </c>
      <c r="L540" s="2" t="s">
        <v>49</v>
      </c>
      <c r="M540" s="2" t="s">
        <v>2364</v>
      </c>
    </row>
    <row r="541" spans="1:13" x14ac:dyDescent="0.3">
      <c r="A541" s="2" t="s">
        <v>1284</v>
      </c>
      <c r="B541" s="5">
        <v>46152</v>
      </c>
      <c r="C541" s="2" t="s">
        <v>1285</v>
      </c>
      <c r="D541" s="2" t="s">
        <v>53</v>
      </c>
      <c r="E541" s="2" t="s">
        <v>170</v>
      </c>
      <c r="F541" s="2" t="s">
        <v>52</v>
      </c>
      <c r="G541" s="2" t="s">
        <v>35</v>
      </c>
      <c r="H541" s="2">
        <v>42</v>
      </c>
      <c r="I541" s="7">
        <v>356.62</v>
      </c>
      <c r="J541" s="2">
        <v>5</v>
      </c>
      <c r="K541" s="7">
        <v>14229.14</v>
      </c>
      <c r="L541" s="2" t="s">
        <v>31</v>
      </c>
      <c r="M541" s="2" t="s">
        <v>2364</v>
      </c>
    </row>
    <row r="542" spans="1:13" x14ac:dyDescent="0.3">
      <c r="A542" s="2" t="s">
        <v>1673</v>
      </c>
      <c r="B542" s="5">
        <v>45632</v>
      </c>
      <c r="C542" s="2" t="s">
        <v>1674</v>
      </c>
      <c r="D542" s="2" t="s">
        <v>24</v>
      </c>
      <c r="E542" s="2" t="s">
        <v>104</v>
      </c>
      <c r="F542" s="2" t="s">
        <v>52</v>
      </c>
      <c r="G542" s="2" t="s">
        <v>35</v>
      </c>
      <c r="H542" s="2">
        <v>42</v>
      </c>
      <c r="I542" s="7">
        <v>381.24</v>
      </c>
      <c r="J542" s="2">
        <v>5</v>
      </c>
      <c r="K542" s="7">
        <v>15211.48</v>
      </c>
      <c r="L542" s="2" t="s">
        <v>2347</v>
      </c>
      <c r="M542" s="2" t="s">
        <v>2364</v>
      </c>
    </row>
    <row r="543" spans="1:13" x14ac:dyDescent="0.3">
      <c r="A543" s="2" t="s">
        <v>2299</v>
      </c>
      <c r="B543" s="5">
        <v>46274</v>
      </c>
      <c r="C543" s="2" t="s">
        <v>225</v>
      </c>
      <c r="D543" s="2" t="s">
        <v>53</v>
      </c>
      <c r="E543" s="2" t="s">
        <v>170</v>
      </c>
      <c r="F543" s="2" t="s">
        <v>52</v>
      </c>
      <c r="G543" s="2" t="s">
        <v>35</v>
      </c>
      <c r="H543" s="2">
        <v>43</v>
      </c>
      <c r="I543" s="7">
        <v>384.24</v>
      </c>
      <c r="J543" s="2">
        <v>5</v>
      </c>
      <c r="K543" s="7">
        <v>15696.2</v>
      </c>
      <c r="L543" s="2" t="s">
        <v>31</v>
      </c>
      <c r="M543" s="2" t="s">
        <v>2365</v>
      </c>
    </row>
    <row r="544" spans="1:13" x14ac:dyDescent="0.3">
      <c r="A544" s="2" t="s">
        <v>1256</v>
      </c>
      <c r="B544" s="5">
        <v>46076</v>
      </c>
      <c r="C544" s="2" t="s">
        <v>1257</v>
      </c>
      <c r="D544" s="2" t="s">
        <v>16</v>
      </c>
      <c r="E544" s="2" t="s">
        <v>91</v>
      </c>
      <c r="F544" s="2" t="s">
        <v>34</v>
      </c>
      <c r="G544" s="2" t="s">
        <v>35</v>
      </c>
      <c r="H544" s="2">
        <v>1</v>
      </c>
      <c r="I544" s="7">
        <v>749.45</v>
      </c>
      <c r="J544" s="2">
        <v>20</v>
      </c>
      <c r="K544" s="7">
        <v>599.55999999999995</v>
      </c>
      <c r="L544" s="2" t="s">
        <v>69</v>
      </c>
      <c r="M544" s="2" t="s">
        <v>2364</v>
      </c>
    </row>
    <row r="545" spans="1:13" x14ac:dyDescent="0.3">
      <c r="A545" s="2" t="s">
        <v>1363</v>
      </c>
      <c r="B545" s="5">
        <v>45751</v>
      </c>
      <c r="C545" s="2" t="s">
        <v>1364</v>
      </c>
      <c r="D545" s="2" t="s">
        <v>16</v>
      </c>
      <c r="E545" s="2" t="s">
        <v>17</v>
      </c>
      <c r="F545" s="2" t="s">
        <v>34</v>
      </c>
      <c r="G545" s="2" t="s">
        <v>35</v>
      </c>
      <c r="H545" s="2">
        <v>1</v>
      </c>
      <c r="I545" s="7">
        <v>634.61</v>
      </c>
      <c r="J545" s="2">
        <v>5</v>
      </c>
      <c r="K545" s="7">
        <v>602.88</v>
      </c>
      <c r="L545" s="2" t="s">
        <v>2347</v>
      </c>
      <c r="M545" s="2" t="s">
        <v>2365</v>
      </c>
    </row>
    <row r="546" spans="1:13" x14ac:dyDescent="0.3">
      <c r="A546" s="2" t="s">
        <v>1185</v>
      </c>
      <c r="B546" s="5">
        <v>45978</v>
      </c>
      <c r="C546" s="2" t="s">
        <v>1186</v>
      </c>
      <c r="D546" s="2" t="s">
        <v>16</v>
      </c>
      <c r="E546" s="2" t="s">
        <v>17</v>
      </c>
      <c r="F546" s="2" t="s">
        <v>34</v>
      </c>
      <c r="G546" s="2" t="s">
        <v>35</v>
      </c>
      <c r="H546" s="2">
        <v>2</v>
      </c>
      <c r="I546" s="7">
        <v>687.12</v>
      </c>
      <c r="J546" s="2">
        <v>0</v>
      </c>
      <c r="K546" s="7">
        <v>1374.24</v>
      </c>
      <c r="L546" s="2" t="s">
        <v>2347</v>
      </c>
      <c r="M546" s="2" t="s">
        <v>2364</v>
      </c>
    </row>
    <row r="547" spans="1:13" x14ac:dyDescent="0.3">
      <c r="A547" s="2" t="s">
        <v>263</v>
      </c>
      <c r="B547" s="5">
        <v>46005</v>
      </c>
      <c r="C547" s="2" t="s">
        <v>264</v>
      </c>
      <c r="D547" s="2" t="s">
        <v>46</v>
      </c>
      <c r="E547" s="2" t="s">
        <v>244</v>
      </c>
      <c r="F547" s="2" t="s">
        <v>34</v>
      </c>
      <c r="G547" s="2" t="s">
        <v>35</v>
      </c>
      <c r="H547" s="2">
        <v>4</v>
      </c>
      <c r="I547" s="7">
        <v>492.26</v>
      </c>
      <c r="J547" s="2">
        <v>10</v>
      </c>
      <c r="K547" s="7">
        <v>1772.14</v>
      </c>
      <c r="L547" s="2" t="s">
        <v>27</v>
      </c>
      <c r="M547" s="2" t="s">
        <v>2364</v>
      </c>
    </row>
    <row r="548" spans="1:13" x14ac:dyDescent="0.3">
      <c r="A548" s="2" t="s">
        <v>2315</v>
      </c>
      <c r="B548" s="5">
        <v>45910</v>
      </c>
      <c r="C548" s="2" t="s">
        <v>2316</v>
      </c>
      <c r="D548" s="2" t="s">
        <v>46</v>
      </c>
      <c r="E548" s="2" t="s">
        <v>244</v>
      </c>
      <c r="F548" s="2" t="s">
        <v>34</v>
      </c>
      <c r="G548" s="2" t="s">
        <v>35</v>
      </c>
      <c r="H548" s="2">
        <v>5</v>
      </c>
      <c r="I548" s="7">
        <v>508.66</v>
      </c>
      <c r="J548" s="2">
        <v>15</v>
      </c>
      <c r="K548" s="7">
        <v>2161.81</v>
      </c>
      <c r="L548" s="2" t="s">
        <v>31</v>
      </c>
      <c r="M548" s="2" t="s">
        <v>2364</v>
      </c>
    </row>
    <row r="549" spans="1:13" x14ac:dyDescent="0.3">
      <c r="A549" s="2" t="s">
        <v>396</v>
      </c>
      <c r="B549" s="5">
        <v>46242</v>
      </c>
      <c r="C549" s="2" t="s">
        <v>397</v>
      </c>
      <c r="D549" s="2" t="s">
        <v>24</v>
      </c>
      <c r="E549" s="2" t="s">
        <v>104</v>
      </c>
      <c r="F549" s="2" t="s">
        <v>34</v>
      </c>
      <c r="G549" s="2" t="s">
        <v>35</v>
      </c>
      <c r="H549" s="2">
        <v>4</v>
      </c>
      <c r="I549" s="7">
        <v>579.55999999999995</v>
      </c>
      <c r="J549" s="2">
        <v>5</v>
      </c>
      <c r="K549" s="7">
        <v>2202.33</v>
      </c>
      <c r="L549" s="2" t="s">
        <v>69</v>
      </c>
      <c r="M549" s="2" t="s">
        <v>2365</v>
      </c>
    </row>
    <row r="550" spans="1:13" x14ac:dyDescent="0.3">
      <c r="A550" s="2" t="s">
        <v>866</v>
      </c>
      <c r="B550" s="5">
        <v>45912</v>
      </c>
      <c r="C550" s="2" t="s">
        <v>153</v>
      </c>
      <c r="D550" s="2" t="s">
        <v>53</v>
      </c>
      <c r="E550" s="2" t="s">
        <v>141</v>
      </c>
      <c r="F550" s="2" t="s">
        <v>34</v>
      </c>
      <c r="G550" s="2" t="s">
        <v>35</v>
      </c>
      <c r="H550" s="2">
        <v>4</v>
      </c>
      <c r="I550" s="7">
        <v>801.65</v>
      </c>
      <c r="J550" s="2">
        <v>10</v>
      </c>
      <c r="K550" s="7">
        <v>2885.94</v>
      </c>
      <c r="L550" s="2" t="s">
        <v>27</v>
      </c>
      <c r="M550" s="2" t="s">
        <v>2364</v>
      </c>
    </row>
    <row r="551" spans="1:13" x14ac:dyDescent="0.3">
      <c r="A551" s="2" t="s">
        <v>554</v>
      </c>
      <c r="B551" s="5">
        <v>45716</v>
      </c>
      <c r="C551" s="2" t="s">
        <v>555</v>
      </c>
      <c r="D551" s="2" t="s">
        <v>16</v>
      </c>
      <c r="E551" s="2" t="s">
        <v>74</v>
      </c>
      <c r="F551" s="2" t="s">
        <v>34</v>
      </c>
      <c r="G551" s="2" t="s">
        <v>35</v>
      </c>
      <c r="H551" s="2">
        <v>4</v>
      </c>
      <c r="I551" s="7">
        <v>750.93</v>
      </c>
      <c r="J551" s="2">
        <v>0</v>
      </c>
      <c r="K551" s="7">
        <v>3003.72</v>
      </c>
      <c r="L551" s="2" t="s">
        <v>2347</v>
      </c>
      <c r="M551" s="2" t="s">
        <v>2364</v>
      </c>
    </row>
    <row r="552" spans="1:13" x14ac:dyDescent="0.3">
      <c r="A552" s="2" t="s">
        <v>1801</v>
      </c>
      <c r="B552" s="5">
        <v>45778</v>
      </c>
      <c r="C552" s="2" t="s">
        <v>1802</v>
      </c>
      <c r="D552" s="2" t="s">
        <v>24</v>
      </c>
      <c r="E552" s="2" t="s">
        <v>41</v>
      </c>
      <c r="F552" s="2" t="s">
        <v>34</v>
      </c>
      <c r="G552" s="2" t="s">
        <v>35</v>
      </c>
      <c r="H552" s="2">
        <v>5</v>
      </c>
      <c r="I552" s="7">
        <v>727.36</v>
      </c>
      <c r="J552" s="2">
        <v>15</v>
      </c>
      <c r="K552" s="7">
        <v>3091.28</v>
      </c>
      <c r="L552" s="2" t="s">
        <v>2347</v>
      </c>
      <c r="M552" s="2" t="s">
        <v>2364</v>
      </c>
    </row>
    <row r="553" spans="1:13" x14ac:dyDescent="0.3">
      <c r="A553" s="2" t="s">
        <v>224</v>
      </c>
      <c r="B553" s="5">
        <v>45583</v>
      </c>
      <c r="C553" s="2" t="s">
        <v>225</v>
      </c>
      <c r="D553" s="2" t="s">
        <v>16</v>
      </c>
      <c r="E553" s="2" t="s">
        <v>74</v>
      </c>
      <c r="F553" s="2" t="s">
        <v>34</v>
      </c>
      <c r="G553" s="2" t="s">
        <v>35</v>
      </c>
      <c r="H553" s="2">
        <v>5</v>
      </c>
      <c r="I553" s="7">
        <v>669.77</v>
      </c>
      <c r="J553" s="2">
        <v>0</v>
      </c>
      <c r="K553" s="7">
        <v>3348.85</v>
      </c>
      <c r="L553" s="2" t="s">
        <v>2347</v>
      </c>
      <c r="M553" s="2" t="s">
        <v>2365</v>
      </c>
    </row>
    <row r="554" spans="1:13" x14ac:dyDescent="0.3">
      <c r="A554" s="2" t="s">
        <v>709</v>
      </c>
      <c r="B554" s="5">
        <v>45830</v>
      </c>
      <c r="C554" s="2" t="s">
        <v>710</v>
      </c>
      <c r="D554" s="2" t="s">
        <v>16</v>
      </c>
      <c r="E554" s="2" t="s">
        <v>91</v>
      </c>
      <c r="F554" s="2" t="s">
        <v>34</v>
      </c>
      <c r="G554" s="2" t="s">
        <v>35</v>
      </c>
      <c r="H554" s="2">
        <v>5</v>
      </c>
      <c r="I554" s="7">
        <v>726.08</v>
      </c>
      <c r="J554" s="2">
        <v>5</v>
      </c>
      <c r="K554" s="7">
        <v>3448.88</v>
      </c>
      <c r="L554" s="2" t="s">
        <v>49</v>
      </c>
      <c r="M554" s="2" t="s">
        <v>2364</v>
      </c>
    </row>
    <row r="555" spans="1:13" x14ac:dyDescent="0.3">
      <c r="A555" s="2" t="s">
        <v>930</v>
      </c>
      <c r="B555" s="5">
        <v>45752</v>
      </c>
      <c r="C555" s="2" t="s">
        <v>150</v>
      </c>
      <c r="D555" s="2" t="s">
        <v>16</v>
      </c>
      <c r="E555" s="2" t="s">
        <v>160</v>
      </c>
      <c r="F555" s="2" t="s">
        <v>34</v>
      </c>
      <c r="G555" s="2" t="s">
        <v>35</v>
      </c>
      <c r="H555" s="2">
        <v>9</v>
      </c>
      <c r="I555" s="7">
        <v>426.04</v>
      </c>
      <c r="J555" s="2">
        <v>0</v>
      </c>
      <c r="K555" s="7">
        <v>3834.36</v>
      </c>
      <c r="L555" s="2" t="s">
        <v>69</v>
      </c>
      <c r="M555" s="2" t="s">
        <v>2364</v>
      </c>
    </row>
    <row r="556" spans="1:13" x14ac:dyDescent="0.3">
      <c r="A556" s="2" t="s">
        <v>1935</v>
      </c>
      <c r="B556" s="5">
        <v>45698</v>
      </c>
      <c r="C556" s="2" t="s">
        <v>1936</v>
      </c>
      <c r="D556" s="2" t="s">
        <v>53</v>
      </c>
      <c r="E556" s="2" t="s">
        <v>67</v>
      </c>
      <c r="F556" s="2" t="s">
        <v>34</v>
      </c>
      <c r="G556" s="2" t="s">
        <v>35</v>
      </c>
      <c r="H556" s="2">
        <v>5</v>
      </c>
      <c r="I556" s="7">
        <v>818.45</v>
      </c>
      <c r="J556" s="2">
        <v>5</v>
      </c>
      <c r="K556" s="7">
        <v>3887.64</v>
      </c>
      <c r="L556" s="2" t="s">
        <v>49</v>
      </c>
      <c r="M556" s="2" t="s">
        <v>2364</v>
      </c>
    </row>
    <row r="557" spans="1:13" x14ac:dyDescent="0.3">
      <c r="A557" s="2" t="s">
        <v>1675</v>
      </c>
      <c r="B557" s="5">
        <v>46016</v>
      </c>
      <c r="C557" s="2" t="s">
        <v>1676</v>
      </c>
      <c r="D557" s="2" t="s">
        <v>24</v>
      </c>
      <c r="E557" s="2" t="s">
        <v>104</v>
      </c>
      <c r="F557" s="2" t="s">
        <v>34</v>
      </c>
      <c r="G557" s="2" t="s">
        <v>35</v>
      </c>
      <c r="H557" s="2">
        <v>10</v>
      </c>
      <c r="I557" s="7">
        <v>461.84</v>
      </c>
      <c r="J557" s="2">
        <v>10</v>
      </c>
      <c r="K557" s="7">
        <v>4156.5600000000004</v>
      </c>
      <c r="L557" s="2" t="s">
        <v>31</v>
      </c>
      <c r="M557" s="2" t="s">
        <v>2364</v>
      </c>
    </row>
    <row r="558" spans="1:13" x14ac:dyDescent="0.3">
      <c r="A558" s="2" t="s">
        <v>767</v>
      </c>
      <c r="B558" s="5">
        <v>45858</v>
      </c>
      <c r="C558" s="2" t="s">
        <v>768</v>
      </c>
      <c r="D558" s="2" t="s">
        <v>46</v>
      </c>
      <c r="E558" s="2" t="s">
        <v>124</v>
      </c>
      <c r="F558" s="2" t="s">
        <v>34</v>
      </c>
      <c r="G558" s="2" t="s">
        <v>35</v>
      </c>
      <c r="H558" s="2">
        <v>7</v>
      </c>
      <c r="I558" s="7">
        <v>610.32000000000005</v>
      </c>
      <c r="J558" s="2">
        <v>0</v>
      </c>
      <c r="K558" s="7">
        <v>4272.24</v>
      </c>
      <c r="L558" s="2" t="s">
        <v>2347</v>
      </c>
      <c r="M558" s="2" t="s">
        <v>2364</v>
      </c>
    </row>
    <row r="559" spans="1:13" x14ac:dyDescent="0.3">
      <c r="A559" s="2" t="s">
        <v>2180</v>
      </c>
      <c r="B559" s="5">
        <v>45635</v>
      </c>
      <c r="C559" s="2" t="s">
        <v>373</v>
      </c>
      <c r="D559" s="2" t="s">
        <v>16</v>
      </c>
      <c r="E559" s="2" t="s">
        <v>74</v>
      </c>
      <c r="F559" s="2" t="s">
        <v>34</v>
      </c>
      <c r="G559" s="2" t="s">
        <v>35</v>
      </c>
      <c r="H559" s="2">
        <v>7</v>
      </c>
      <c r="I559" s="7">
        <v>622.66</v>
      </c>
      <c r="J559" s="2">
        <v>0</v>
      </c>
      <c r="K559" s="7">
        <v>4358.62</v>
      </c>
      <c r="L559" s="2" t="s">
        <v>49</v>
      </c>
      <c r="M559" s="2" t="s">
        <v>2364</v>
      </c>
    </row>
    <row r="560" spans="1:13" x14ac:dyDescent="0.3">
      <c r="A560" s="2" t="s">
        <v>1545</v>
      </c>
      <c r="B560" s="5">
        <v>45896</v>
      </c>
      <c r="C560" s="2" t="s">
        <v>371</v>
      </c>
      <c r="D560" s="2" t="s">
        <v>24</v>
      </c>
      <c r="E560" s="2" t="s">
        <v>36</v>
      </c>
      <c r="F560" s="2" t="s">
        <v>34</v>
      </c>
      <c r="G560" s="2" t="s">
        <v>35</v>
      </c>
      <c r="H560" s="2">
        <v>11</v>
      </c>
      <c r="I560" s="7">
        <v>446.12</v>
      </c>
      <c r="J560" s="2">
        <v>5</v>
      </c>
      <c r="K560" s="7">
        <v>4661.95</v>
      </c>
      <c r="L560" s="2" t="s">
        <v>69</v>
      </c>
      <c r="M560" s="2" t="s">
        <v>2365</v>
      </c>
    </row>
    <row r="561" spans="1:13" x14ac:dyDescent="0.3">
      <c r="A561" s="2" t="s">
        <v>1619</v>
      </c>
      <c r="B561" s="5">
        <v>46101</v>
      </c>
      <c r="C561" s="2" t="s">
        <v>1620</v>
      </c>
      <c r="D561" s="2" t="s">
        <v>46</v>
      </c>
      <c r="E561" s="2" t="s">
        <v>78</v>
      </c>
      <c r="F561" s="2" t="s">
        <v>34</v>
      </c>
      <c r="G561" s="2" t="s">
        <v>35</v>
      </c>
      <c r="H561" s="2">
        <v>6</v>
      </c>
      <c r="I561" s="7">
        <v>803.02</v>
      </c>
      <c r="J561" s="2">
        <v>0</v>
      </c>
      <c r="K561" s="7">
        <v>4818.12</v>
      </c>
      <c r="L561" s="2" t="s">
        <v>69</v>
      </c>
      <c r="M561" s="2" t="s">
        <v>2364</v>
      </c>
    </row>
    <row r="562" spans="1:13" x14ac:dyDescent="0.3">
      <c r="A562" s="2" t="s">
        <v>987</v>
      </c>
      <c r="B562" s="5">
        <v>46257</v>
      </c>
      <c r="C562" s="2" t="s">
        <v>988</v>
      </c>
      <c r="D562" s="2" t="s">
        <v>46</v>
      </c>
      <c r="E562" s="2" t="s">
        <v>78</v>
      </c>
      <c r="F562" s="2" t="s">
        <v>34</v>
      </c>
      <c r="G562" s="2" t="s">
        <v>35</v>
      </c>
      <c r="H562" s="2">
        <v>8</v>
      </c>
      <c r="I562" s="7">
        <v>773.86</v>
      </c>
      <c r="J562" s="2">
        <v>20</v>
      </c>
      <c r="K562" s="7">
        <v>4952.7</v>
      </c>
      <c r="L562" s="2" t="s">
        <v>49</v>
      </c>
      <c r="M562" s="2" t="s">
        <v>2365</v>
      </c>
    </row>
    <row r="563" spans="1:13" x14ac:dyDescent="0.3">
      <c r="A563" s="2" t="s">
        <v>1239</v>
      </c>
      <c r="B563" s="5">
        <v>45989</v>
      </c>
      <c r="C563" s="2" t="s">
        <v>1240</v>
      </c>
      <c r="D563" s="2" t="s">
        <v>24</v>
      </c>
      <c r="E563" s="2" t="s">
        <v>36</v>
      </c>
      <c r="F563" s="2" t="s">
        <v>34</v>
      </c>
      <c r="G563" s="2" t="s">
        <v>35</v>
      </c>
      <c r="H563" s="2">
        <v>12</v>
      </c>
      <c r="I563" s="7">
        <v>430.14</v>
      </c>
      <c r="J563" s="2">
        <v>0</v>
      </c>
      <c r="K563" s="7">
        <v>5161.68</v>
      </c>
      <c r="L563" s="2" t="s">
        <v>27</v>
      </c>
      <c r="M563" s="2" t="s">
        <v>2365</v>
      </c>
    </row>
    <row r="564" spans="1:13" x14ac:dyDescent="0.3">
      <c r="A564" s="2" t="s">
        <v>1554</v>
      </c>
      <c r="B564" s="5">
        <v>45832</v>
      </c>
      <c r="C564" s="2" t="s">
        <v>1555</v>
      </c>
      <c r="D564" s="2" t="s">
        <v>16</v>
      </c>
      <c r="E564" s="2" t="s">
        <v>111</v>
      </c>
      <c r="F564" s="2" t="s">
        <v>34</v>
      </c>
      <c r="G564" s="2" t="s">
        <v>35</v>
      </c>
      <c r="H564" s="2">
        <v>9</v>
      </c>
      <c r="I564" s="7">
        <v>609.84</v>
      </c>
      <c r="J564" s="2">
        <v>0</v>
      </c>
      <c r="K564" s="7">
        <v>5488.56</v>
      </c>
      <c r="L564" s="2" t="s">
        <v>69</v>
      </c>
      <c r="M564" s="2" t="s">
        <v>2364</v>
      </c>
    </row>
    <row r="565" spans="1:13" x14ac:dyDescent="0.3">
      <c r="A565" s="2" t="s">
        <v>2199</v>
      </c>
      <c r="B565" s="5">
        <v>45888</v>
      </c>
      <c r="C565" s="2" t="s">
        <v>2200</v>
      </c>
      <c r="D565" s="2" t="s">
        <v>46</v>
      </c>
      <c r="E565" s="2" t="s">
        <v>83</v>
      </c>
      <c r="F565" s="2" t="s">
        <v>34</v>
      </c>
      <c r="G565" s="2" t="s">
        <v>35</v>
      </c>
      <c r="H565" s="2">
        <v>16</v>
      </c>
      <c r="I565" s="7">
        <v>436.69</v>
      </c>
      <c r="J565" s="2">
        <v>0</v>
      </c>
      <c r="K565" s="7">
        <v>6987.04</v>
      </c>
      <c r="L565" s="2" t="s">
        <v>27</v>
      </c>
      <c r="M565" s="2" t="s">
        <v>2364</v>
      </c>
    </row>
    <row r="566" spans="1:13" x14ac:dyDescent="0.3">
      <c r="A566" s="2" t="s">
        <v>661</v>
      </c>
      <c r="B566" s="5">
        <v>46249</v>
      </c>
      <c r="C566" s="2" t="s">
        <v>662</v>
      </c>
      <c r="D566" s="2" t="s">
        <v>24</v>
      </c>
      <c r="E566" s="2" t="s">
        <v>59</v>
      </c>
      <c r="F566" s="2" t="s">
        <v>34</v>
      </c>
      <c r="G566" s="2" t="s">
        <v>35</v>
      </c>
      <c r="H566" s="2">
        <v>16</v>
      </c>
      <c r="I566" s="7">
        <v>509.05</v>
      </c>
      <c r="J566" s="2">
        <v>5</v>
      </c>
      <c r="K566" s="7">
        <v>7737.56</v>
      </c>
      <c r="L566" s="2" t="s">
        <v>69</v>
      </c>
      <c r="M566" s="2" t="s">
        <v>2364</v>
      </c>
    </row>
    <row r="567" spans="1:13" x14ac:dyDescent="0.3">
      <c r="A567" s="2" t="s">
        <v>2333</v>
      </c>
      <c r="B567" s="5">
        <v>45613</v>
      </c>
      <c r="C567" s="2" t="s">
        <v>2334</v>
      </c>
      <c r="D567" s="2" t="s">
        <v>53</v>
      </c>
      <c r="E567" s="2" t="s">
        <v>170</v>
      </c>
      <c r="F567" s="2" t="s">
        <v>34</v>
      </c>
      <c r="G567" s="2" t="s">
        <v>35</v>
      </c>
      <c r="H567" s="2">
        <v>15</v>
      </c>
      <c r="I567" s="7">
        <v>664.82</v>
      </c>
      <c r="J567" s="2">
        <v>10</v>
      </c>
      <c r="K567" s="7">
        <v>8975.07</v>
      </c>
      <c r="L567" s="2" t="s">
        <v>2347</v>
      </c>
      <c r="M567" s="2" t="s">
        <v>2364</v>
      </c>
    </row>
    <row r="568" spans="1:13" x14ac:dyDescent="0.3">
      <c r="A568" s="2" t="s">
        <v>1107</v>
      </c>
      <c r="B568" s="5">
        <v>45860</v>
      </c>
      <c r="C568" s="2" t="s">
        <v>1108</v>
      </c>
      <c r="D568" s="2" t="s">
        <v>24</v>
      </c>
      <c r="E568" s="2" t="s">
        <v>59</v>
      </c>
      <c r="F568" s="2" t="s">
        <v>34</v>
      </c>
      <c r="G568" s="2" t="s">
        <v>35</v>
      </c>
      <c r="H568" s="2">
        <v>20</v>
      </c>
      <c r="I568" s="7">
        <v>454.84</v>
      </c>
      <c r="J568" s="2">
        <v>0</v>
      </c>
      <c r="K568" s="7">
        <v>9096.7999999999993</v>
      </c>
      <c r="L568" s="2" t="s">
        <v>2347</v>
      </c>
      <c r="M568" s="2" t="s">
        <v>2364</v>
      </c>
    </row>
    <row r="569" spans="1:13" x14ac:dyDescent="0.3">
      <c r="A569" s="2" t="s">
        <v>2295</v>
      </c>
      <c r="B569" s="5">
        <v>45615</v>
      </c>
      <c r="C569" s="2" t="s">
        <v>2296</v>
      </c>
      <c r="D569" s="2" t="s">
        <v>24</v>
      </c>
      <c r="E569" s="2" t="s">
        <v>36</v>
      </c>
      <c r="F569" s="2" t="s">
        <v>34</v>
      </c>
      <c r="G569" s="2" t="s">
        <v>35</v>
      </c>
      <c r="H569" s="2">
        <v>19</v>
      </c>
      <c r="I569" s="7">
        <v>569.79</v>
      </c>
      <c r="J569" s="2">
        <v>15</v>
      </c>
      <c r="K569" s="7">
        <v>9202.11</v>
      </c>
      <c r="L569" s="2" t="s">
        <v>27</v>
      </c>
      <c r="M569" s="2" t="s">
        <v>2365</v>
      </c>
    </row>
    <row r="570" spans="1:13" x14ac:dyDescent="0.3">
      <c r="A570" s="2" t="s">
        <v>800</v>
      </c>
      <c r="B570" s="5">
        <v>45965</v>
      </c>
      <c r="C570" s="2" t="s">
        <v>801</v>
      </c>
      <c r="D570" s="2" t="s">
        <v>53</v>
      </c>
      <c r="E570" s="2" t="s">
        <v>170</v>
      </c>
      <c r="F570" s="2" t="s">
        <v>34</v>
      </c>
      <c r="G570" s="2" t="s">
        <v>35</v>
      </c>
      <c r="H570" s="2">
        <v>15</v>
      </c>
      <c r="I570" s="7">
        <v>727.01</v>
      </c>
      <c r="J570" s="2">
        <v>15</v>
      </c>
      <c r="K570" s="7">
        <v>9269.3799999999992</v>
      </c>
      <c r="L570" s="2" t="s">
        <v>31</v>
      </c>
      <c r="M570" s="2" t="s">
        <v>2365</v>
      </c>
    </row>
    <row r="571" spans="1:13" x14ac:dyDescent="0.3">
      <c r="A571" s="2" t="s">
        <v>2258</v>
      </c>
      <c r="B571" s="5">
        <v>45819</v>
      </c>
      <c r="C571" s="2" t="s">
        <v>1303</v>
      </c>
      <c r="D571" s="2" t="s">
        <v>53</v>
      </c>
      <c r="E571" s="2" t="s">
        <v>141</v>
      </c>
      <c r="F571" s="2" t="s">
        <v>34</v>
      </c>
      <c r="G571" s="2" t="s">
        <v>35</v>
      </c>
      <c r="H571" s="2">
        <v>15</v>
      </c>
      <c r="I571" s="7">
        <v>793.92</v>
      </c>
      <c r="J571" s="2">
        <v>15</v>
      </c>
      <c r="K571" s="7">
        <v>10122.48</v>
      </c>
      <c r="L571" s="2" t="s">
        <v>31</v>
      </c>
      <c r="M571" s="2" t="s">
        <v>2364</v>
      </c>
    </row>
    <row r="572" spans="1:13" x14ac:dyDescent="0.3">
      <c r="A572" s="2" t="s">
        <v>1751</v>
      </c>
      <c r="B572" s="5">
        <v>46135</v>
      </c>
      <c r="C572" s="2" t="s">
        <v>1752</v>
      </c>
      <c r="D572" s="2" t="s">
        <v>53</v>
      </c>
      <c r="E572" s="2" t="s">
        <v>54</v>
      </c>
      <c r="F572" s="2" t="s">
        <v>34</v>
      </c>
      <c r="G572" s="2" t="s">
        <v>35</v>
      </c>
      <c r="H572" s="2">
        <v>26</v>
      </c>
      <c r="I572" s="7">
        <v>426.52</v>
      </c>
      <c r="J572" s="2">
        <v>0</v>
      </c>
      <c r="K572" s="7">
        <v>11089.52</v>
      </c>
      <c r="L572" s="2" t="s">
        <v>49</v>
      </c>
      <c r="M572" s="2" t="s">
        <v>2364</v>
      </c>
    </row>
    <row r="573" spans="1:13" x14ac:dyDescent="0.3">
      <c r="A573" s="2" t="s">
        <v>1254</v>
      </c>
      <c r="B573" s="5">
        <v>45995</v>
      </c>
      <c r="C573" s="2" t="s">
        <v>1255</v>
      </c>
      <c r="D573" s="2" t="s">
        <v>46</v>
      </c>
      <c r="E573" s="2" t="s">
        <v>47</v>
      </c>
      <c r="F573" s="2" t="s">
        <v>34</v>
      </c>
      <c r="G573" s="2" t="s">
        <v>35</v>
      </c>
      <c r="H573" s="2">
        <v>16</v>
      </c>
      <c r="I573" s="7">
        <v>719.42</v>
      </c>
      <c r="J573" s="2">
        <v>0</v>
      </c>
      <c r="K573" s="7">
        <v>11510.72</v>
      </c>
      <c r="L573" s="2" t="s">
        <v>2347</v>
      </c>
      <c r="M573" s="2" t="s">
        <v>2364</v>
      </c>
    </row>
    <row r="574" spans="1:13" x14ac:dyDescent="0.3">
      <c r="A574" s="2" t="s">
        <v>1931</v>
      </c>
      <c r="B574" s="5">
        <v>45767</v>
      </c>
      <c r="C574" s="2" t="s">
        <v>1492</v>
      </c>
      <c r="D574" s="2" t="s">
        <v>46</v>
      </c>
      <c r="E574" s="2" t="s">
        <v>78</v>
      </c>
      <c r="F574" s="2" t="s">
        <v>34</v>
      </c>
      <c r="G574" s="2" t="s">
        <v>35</v>
      </c>
      <c r="H574" s="2">
        <v>20</v>
      </c>
      <c r="I574" s="7">
        <v>628.82000000000005</v>
      </c>
      <c r="J574" s="2">
        <v>5</v>
      </c>
      <c r="K574" s="7">
        <v>11947.58</v>
      </c>
      <c r="L574" s="2" t="s">
        <v>69</v>
      </c>
      <c r="M574" s="2" t="s">
        <v>2365</v>
      </c>
    </row>
    <row r="575" spans="1:13" x14ac:dyDescent="0.3">
      <c r="A575" s="2" t="s">
        <v>143</v>
      </c>
      <c r="B575" s="5">
        <v>45744</v>
      </c>
      <c r="C575" s="2" t="s">
        <v>144</v>
      </c>
      <c r="D575" s="2" t="s">
        <v>16</v>
      </c>
      <c r="E575" s="2" t="s">
        <v>111</v>
      </c>
      <c r="F575" s="2" t="s">
        <v>34</v>
      </c>
      <c r="G575" s="2" t="s">
        <v>35</v>
      </c>
      <c r="H575" s="2">
        <v>19</v>
      </c>
      <c r="I575" s="7">
        <v>648.41</v>
      </c>
      <c r="J575" s="2">
        <v>0</v>
      </c>
      <c r="K575" s="7">
        <v>12319.79</v>
      </c>
      <c r="L575" s="2" t="s">
        <v>2347</v>
      </c>
      <c r="M575" s="2" t="s">
        <v>2365</v>
      </c>
    </row>
    <row r="576" spans="1:13" x14ac:dyDescent="0.3">
      <c r="A576" s="2" t="s">
        <v>2144</v>
      </c>
      <c r="B576" s="5">
        <v>46129</v>
      </c>
      <c r="C576" s="2" t="s">
        <v>2130</v>
      </c>
      <c r="D576" s="2" t="s">
        <v>16</v>
      </c>
      <c r="E576" s="2" t="s">
        <v>111</v>
      </c>
      <c r="F576" s="2" t="s">
        <v>34</v>
      </c>
      <c r="G576" s="2" t="s">
        <v>35</v>
      </c>
      <c r="H576" s="2">
        <v>24</v>
      </c>
      <c r="I576" s="7">
        <v>615.19000000000005</v>
      </c>
      <c r="J576" s="2">
        <v>0</v>
      </c>
      <c r="K576" s="7">
        <v>14764.56</v>
      </c>
      <c r="L576" s="2" t="s">
        <v>69</v>
      </c>
      <c r="M576" s="2" t="s">
        <v>2364</v>
      </c>
    </row>
    <row r="577" spans="1:13" x14ac:dyDescent="0.3">
      <c r="A577" s="2" t="s">
        <v>1765</v>
      </c>
      <c r="B577" s="5">
        <v>45612</v>
      </c>
      <c r="C577" s="2" t="s">
        <v>1056</v>
      </c>
      <c r="D577" s="2" t="s">
        <v>24</v>
      </c>
      <c r="E577" s="2" t="s">
        <v>25</v>
      </c>
      <c r="F577" s="2" t="s">
        <v>34</v>
      </c>
      <c r="G577" s="2" t="s">
        <v>35</v>
      </c>
      <c r="H577" s="2">
        <v>26</v>
      </c>
      <c r="I577" s="7">
        <v>587.47</v>
      </c>
      <c r="J577" s="2">
        <v>0</v>
      </c>
      <c r="K577" s="7">
        <v>15274.22</v>
      </c>
      <c r="L577" s="2" t="s">
        <v>2347</v>
      </c>
      <c r="M577" s="2" t="s">
        <v>2364</v>
      </c>
    </row>
    <row r="578" spans="1:13" x14ac:dyDescent="0.3">
      <c r="A578" s="2" t="s">
        <v>216</v>
      </c>
      <c r="B578" s="5">
        <v>45733</v>
      </c>
      <c r="C578" s="2" t="s">
        <v>217</v>
      </c>
      <c r="D578" s="2" t="s">
        <v>24</v>
      </c>
      <c r="E578" s="2" t="s">
        <v>41</v>
      </c>
      <c r="F578" s="2" t="s">
        <v>34</v>
      </c>
      <c r="G578" s="2" t="s">
        <v>35</v>
      </c>
      <c r="H578" s="2">
        <v>23</v>
      </c>
      <c r="I578" s="7">
        <v>846.66</v>
      </c>
      <c r="J578" s="2">
        <v>15</v>
      </c>
      <c r="K578" s="7">
        <v>16552.2</v>
      </c>
      <c r="L578" s="2" t="s">
        <v>69</v>
      </c>
      <c r="M578" s="2" t="s">
        <v>2365</v>
      </c>
    </row>
    <row r="579" spans="1:13" x14ac:dyDescent="0.3">
      <c r="A579" s="2" t="s">
        <v>1527</v>
      </c>
      <c r="B579" s="5">
        <v>45719</v>
      </c>
      <c r="C579" s="2" t="s">
        <v>1528</v>
      </c>
      <c r="D579" s="2" t="s">
        <v>24</v>
      </c>
      <c r="E579" s="2" t="s">
        <v>25</v>
      </c>
      <c r="F579" s="2" t="s">
        <v>34</v>
      </c>
      <c r="G579" s="2" t="s">
        <v>35</v>
      </c>
      <c r="H579" s="2">
        <v>20</v>
      </c>
      <c r="I579" s="7">
        <v>871.75</v>
      </c>
      <c r="J579" s="2">
        <v>5</v>
      </c>
      <c r="K579" s="7">
        <v>16563.25</v>
      </c>
      <c r="L579" s="2" t="s">
        <v>31</v>
      </c>
      <c r="M579" s="2" t="s">
        <v>2364</v>
      </c>
    </row>
    <row r="580" spans="1:13" x14ac:dyDescent="0.3">
      <c r="A580" s="2" t="s">
        <v>1839</v>
      </c>
      <c r="B580" s="5">
        <v>45626</v>
      </c>
      <c r="C580" s="2" t="s">
        <v>1840</v>
      </c>
      <c r="D580" s="2" t="s">
        <v>46</v>
      </c>
      <c r="E580" s="2" t="s">
        <v>124</v>
      </c>
      <c r="F580" s="2" t="s">
        <v>34</v>
      </c>
      <c r="G580" s="2" t="s">
        <v>35</v>
      </c>
      <c r="H580" s="2">
        <v>38</v>
      </c>
      <c r="I580" s="7">
        <v>489.12</v>
      </c>
      <c r="J580" s="2">
        <v>10</v>
      </c>
      <c r="K580" s="7">
        <v>16727.900000000001</v>
      </c>
      <c r="L580" s="2" t="s">
        <v>49</v>
      </c>
      <c r="M580" s="2" t="s">
        <v>2364</v>
      </c>
    </row>
    <row r="581" spans="1:13" x14ac:dyDescent="0.3">
      <c r="A581" s="2" t="s">
        <v>232</v>
      </c>
      <c r="B581" s="5">
        <v>46169</v>
      </c>
      <c r="C581" s="2" t="s">
        <v>233</v>
      </c>
      <c r="D581" s="2" t="s">
        <v>53</v>
      </c>
      <c r="E581" s="2" t="s">
        <v>134</v>
      </c>
      <c r="F581" s="2" t="s">
        <v>34</v>
      </c>
      <c r="G581" s="2" t="s">
        <v>35</v>
      </c>
      <c r="H581" s="2">
        <v>26</v>
      </c>
      <c r="I581" s="7">
        <v>658.35</v>
      </c>
      <c r="J581" s="2">
        <v>0</v>
      </c>
      <c r="K581" s="7">
        <v>17117.099999999999</v>
      </c>
      <c r="L581" s="2" t="s">
        <v>27</v>
      </c>
      <c r="M581" s="2" t="s">
        <v>2364</v>
      </c>
    </row>
    <row r="582" spans="1:13" x14ac:dyDescent="0.3">
      <c r="A582" s="2" t="s">
        <v>32</v>
      </c>
      <c r="B582" s="5">
        <v>46263</v>
      </c>
      <c r="C582" s="2" t="s">
        <v>33</v>
      </c>
      <c r="D582" s="2" t="s">
        <v>24</v>
      </c>
      <c r="E582" s="2" t="s">
        <v>36</v>
      </c>
      <c r="F582" s="2" t="s">
        <v>34</v>
      </c>
      <c r="G582" s="2" t="s">
        <v>35</v>
      </c>
      <c r="H582" s="2">
        <v>44</v>
      </c>
      <c r="I582" s="7">
        <v>430.93</v>
      </c>
      <c r="J582" s="2">
        <v>5</v>
      </c>
      <c r="K582" s="7">
        <v>18012.87</v>
      </c>
      <c r="L582" s="2" t="s">
        <v>27</v>
      </c>
      <c r="M582" s="2" t="s">
        <v>2364</v>
      </c>
    </row>
    <row r="583" spans="1:13" x14ac:dyDescent="0.3">
      <c r="A583" s="2" t="s">
        <v>2286</v>
      </c>
      <c r="B583" s="5">
        <v>45775</v>
      </c>
      <c r="C583" s="2" t="s">
        <v>2287</v>
      </c>
      <c r="D583" s="2" t="s">
        <v>24</v>
      </c>
      <c r="E583" s="2" t="s">
        <v>59</v>
      </c>
      <c r="F583" s="2" t="s">
        <v>34</v>
      </c>
      <c r="G583" s="2" t="s">
        <v>35</v>
      </c>
      <c r="H583" s="2">
        <v>42</v>
      </c>
      <c r="I583" s="7">
        <v>482.61</v>
      </c>
      <c r="J583" s="2">
        <v>10</v>
      </c>
      <c r="K583" s="7">
        <v>18242.66</v>
      </c>
      <c r="L583" s="2" t="s">
        <v>49</v>
      </c>
      <c r="M583" s="2" t="s">
        <v>2365</v>
      </c>
    </row>
    <row r="584" spans="1:13" x14ac:dyDescent="0.3">
      <c r="A584" s="2" t="s">
        <v>2167</v>
      </c>
      <c r="B584" s="5">
        <v>45995</v>
      </c>
      <c r="C584" s="2" t="s">
        <v>1114</v>
      </c>
      <c r="D584" s="2" t="s">
        <v>16</v>
      </c>
      <c r="E584" s="2" t="s">
        <v>91</v>
      </c>
      <c r="F584" s="2" t="s">
        <v>34</v>
      </c>
      <c r="G584" s="2" t="s">
        <v>35</v>
      </c>
      <c r="H584" s="2">
        <v>45</v>
      </c>
      <c r="I584" s="7">
        <v>491.49</v>
      </c>
      <c r="J584" s="2">
        <v>5</v>
      </c>
      <c r="K584" s="7">
        <v>21011.200000000001</v>
      </c>
      <c r="L584" s="2" t="s">
        <v>31</v>
      </c>
      <c r="M584" s="2" t="s">
        <v>2365</v>
      </c>
    </row>
    <row r="585" spans="1:13" x14ac:dyDescent="0.3">
      <c r="A585" s="2" t="s">
        <v>1105</v>
      </c>
      <c r="B585" s="5">
        <v>45865</v>
      </c>
      <c r="C585" s="2" t="s">
        <v>470</v>
      </c>
      <c r="D585" s="2" t="s">
        <v>53</v>
      </c>
      <c r="E585" s="2" t="s">
        <v>67</v>
      </c>
      <c r="F585" s="2" t="s">
        <v>34</v>
      </c>
      <c r="G585" s="2" t="s">
        <v>35</v>
      </c>
      <c r="H585" s="2">
        <v>45</v>
      </c>
      <c r="I585" s="7">
        <v>575.54999999999995</v>
      </c>
      <c r="J585" s="2">
        <v>15</v>
      </c>
      <c r="K585" s="7">
        <v>22014.79</v>
      </c>
      <c r="L585" s="2" t="s">
        <v>2347</v>
      </c>
      <c r="M585" s="2" t="s">
        <v>2364</v>
      </c>
    </row>
    <row r="586" spans="1:13" x14ac:dyDescent="0.3">
      <c r="A586" s="2" t="s">
        <v>1198</v>
      </c>
      <c r="B586" s="5">
        <v>45921</v>
      </c>
      <c r="C586" s="2" t="s">
        <v>1199</v>
      </c>
      <c r="D586" s="2" t="s">
        <v>24</v>
      </c>
      <c r="E586" s="2" t="s">
        <v>59</v>
      </c>
      <c r="F586" s="2" t="s">
        <v>34</v>
      </c>
      <c r="G586" s="2" t="s">
        <v>35</v>
      </c>
      <c r="H586" s="2">
        <v>47</v>
      </c>
      <c r="I586" s="7">
        <v>588.85</v>
      </c>
      <c r="J586" s="2">
        <v>20</v>
      </c>
      <c r="K586" s="7">
        <v>22140.76</v>
      </c>
      <c r="L586" s="2" t="s">
        <v>69</v>
      </c>
      <c r="M586" s="2" t="s">
        <v>2364</v>
      </c>
    </row>
    <row r="587" spans="1:13" x14ac:dyDescent="0.3">
      <c r="A587" s="2" t="s">
        <v>1749</v>
      </c>
      <c r="B587" s="5">
        <v>46079</v>
      </c>
      <c r="C587" s="2" t="s">
        <v>1750</v>
      </c>
      <c r="D587" s="2" t="s">
        <v>16</v>
      </c>
      <c r="E587" s="2" t="s">
        <v>74</v>
      </c>
      <c r="F587" s="2" t="s">
        <v>34</v>
      </c>
      <c r="G587" s="2" t="s">
        <v>35</v>
      </c>
      <c r="H587" s="2">
        <v>46</v>
      </c>
      <c r="I587" s="7">
        <v>608.76</v>
      </c>
      <c r="J587" s="2">
        <v>20</v>
      </c>
      <c r="K587" s="7">
        <v>22402.37</v>
      </c>
      <c r="L587" s="2" t="s">
        <v>69</v>
      </c>
      <c r="M587" s="2" t="s">
        <v>2364</v>
      </c>
    </row>
    <row r="588" spans="1:13" x14ac:dyDescent="0.3">
      <c r="A588" s="2" t="s">
        <v>2079</v>
      </c>
      <c r="B588" s="5">
        <v>46265</v>
      </c>
      <c r="C588" s="2" t="s">
        <v>1457</v>
      </c>
      <c r="D588" s="2" t="s">
        <v>46</v>
      </c>
      <c r="E588" s="2" t="s">
        <v>83</v>
      </c>
      <c r="F588" s="2" t="s">
        <v>34</v>
      </c>
      <c r="G588" s="2" t="s">
        <v>35</v>
      </c>
      <c r="H588" s="2">
        <v>28</v>
      </c>
      <c r="I588" s="7">
        <v>866.08</v>
      </c>
      <c r="J588" s="2">
        <v>5</v>
      </c>
      <c r="K588" s="7">
        <v>23037.73</v>
      </c>
      <c r="L588" s="2" t="s">
        <v>31</v>
      </c>
      <c r="M588" s="2" t="s">
        <v>2364</v>
      </c>
    </row>
    <row r="589" spans="1:13" x14ac:dyDescent="0.3">
      <c r="A589" s="2" t="s">
        <v>2070</v>
      </c>
      <c r="B589" s="5">
        <v>45723</v>
      </c>
      <c r="C589" s="2" t="s">
        <v>2071</v>
      </c>
      <c r="D589" s="2" t="s">
        <v>16</v>
      </c>
      <c r="E589" s="2" t="s">
        <v>91</v>
      </c>
      <c r="F589" s="2" t="s">
        <v>34</v>
      </c>
      <c r="G589" s="2" t="s">
        <v>35</v>
      </c>
      <c r="H589" s="2">
        <v>33</v>
      </c>
      <c r="I589" s="7">
        <v>822.48</v>
      </c>
      <c r="J589" s="2">
        <v>15</v>
      </c>
      <c r="K589" s="7">
        <v>23070.560000000001</v>
      </c>
      <c r="L589" s="2" t="s">
        <v>69</v>
      </c>
      <c r="M589" s="2" t="s">
        <v>2365</v>
      </c>
    </row>
    <row r="590" spans="1:13" x14ac:dyDescent="0.3">
      <c r="A590" s="2" t="s">
        <v>1570</v>
      </c>
      <c r="B590" s="5">
        <v>45988</v>
      </c>
      <c r="C590" s="2" t="s">
        <v>1571</v>
      </c>
      <c r="D590" s="2" t="s">
        <v>53</v>
      </c>
      <c r="E590" s="2" t="s">
        <v>67</v>
      </c>
      <c r="F590" s="2" t="s">
        <v>34</v>
      </c>
      <c r="G590" s="2" t="s">
        <v>35</v>
      </c>
      <c r="H590" s="2">
        <v>31</v>
      </c>
      <c r="I590" s="7">
        <v>747.63</v>
      </c>
      <c r="J590" s="2">
        <v>0</v>
      </c>
      <c r="K590" s="7">
        <v>23176.53</v>
      </c>
      <c r="L590" s="2" t="s">
        <v>2347</v>
      </c>
      <c r="M590" s="2" t="s">
        <v>2364</v>
      </c>
    </row>
    <row r="591" spans="1:13" x14ac:dyDescent="0.3">
      <c r="A591" s="2" t="s">
        <v>1334</v>
      </c>
      <c r="B591" s="5">
        <v>45778</v>
      </c>
      <c r="C591" s="2" t="s">
        <v>411</v>
      </c>
      <c r="D591" s="2" t="s">
        <v>16</v>
      </c>
      <c r="E591" s="2" t="s">
        <v>111</v>
      </c>
      <c r="F591" s="2" t="s">
        <v>34</v>
      </c>
      <c r="G591" s="2" t="s">
        <v>35</v>
      </c>
      <c r="H591" s="2">
        <v>44</v>
      </c>
      <c r="I591" s="7">
        <v>531.12</v>
      </c>
      <c r="J591" s="2">
        <v>0</v>
      </c>
      <c r="K591" s="7">
        <v>23369.279999999999</v>
      </c>
      <c r="L591" s="2" t="s">
        <v>2347</v>
      </c>
      <c r="M591" s="2" t="s">
        <v>2365</v>
      </c>
    </row>
    <row r="592" spans="1:13" x14ac:dyDescent="0.3">
      <c r="A592" s="2" t="s">
        <v>1158</v>
      </c>
      <c r="B592" s="5">
        <v>45760</v>
      </c>
      <c r="C592" s="2" t="s">
        <v>1159</v>
      </c>
      <c r="D592" s="2" t="s">
        <v>53</v>
      </c>
      <c r="E592" s="2" t="s">
        <v>170</v>
      </c>
      <c r="F592" s="2" t="s">
        <v>34</v>
      </c>
      <c r="G592" s="2" t="s">
        <v>35</v>
      </c>
      <c r="H592" s="2">
        <v>31</v>
      </c>
      <c r="I592" s="7">
        <v>813.05</v>
      </c>
      <c r="J592" s="2">
        <v>5</v>
      </c>
      <c r="K592" s="7">
        <v>23944.32</v>
      </c>
      <c r="L592" s="2" t="s">
        <v>49</v>
      </c>
      <c r="M592" s="2" t="s">
        <v>2364</v>
      </c>
    </row>
    <row r="593" spans="1:13" x14ac:dyDescent="0.3">
      <c r="A593" s="2" t="s">
        <v>1920</v>
      </c>
      <c r="B593" s="5">
        <v>46219</v>
      </c>
      <c r="C593" s="2" t="s">
        <v>1921</v>
      </c>
      <c r="D593" s="2" t="s">
        <v>46</v>
      </c>
      <c r="E593" s="2" t="s">
        <v>78</v>
      </c>
      <c r="F593" s="2" t="s">
        <v>34</v>
      </c>
      <c r="G593" s="2" t="s">
        <v>35</v>
      </c>
      <c r="H593" s="2">
        <v>42</v>
      </c>
      <c r="I593" s="7">
        <v>571.84</v>
      </c>
      <c r="J593" s="2">
        <v>0</v>
      </c>
      <c r="K593" s="7">
        <v>24017.279999999999</v>
      </c>
      <c r="L593" s="2" t="s">
        <v>69</v>
      </c>
      <c r="M593" s="2" t="s">
        <v>2365</v>
      </c>
    </row>
    <row r="594" spans="1:13" x14ac:dyDescent="0.3">
      <c r="A594" s="2" t="s">
        <v>1977</v>
      </c>
      <c r="B594" s="5">
        <v>45616</v>
      </c>
      <c r="C594" s="2" t="s">
        <v>1978</v>
      </c>
      <c r="D594" s="2" t="s">
        <v>24</v>
      </c>
      <c r="E594" s="2" t="s">
        <v>59</v>
      </c>
      <c r="F594" s="2" t="s">
        <v>34</v>
      </c>
      <c r="G594" s="2" t="s">
        <v>35</v>
      </c>
      <c r="H594" s="2">
        <v>45</v>
      </c>
      <c r="I594" s="7">
        <v>536.63</v>
      </c>
      <c r="J594" s="2">
        <v>0</v>
      </c>
      <c r="K594" s="7">
        <v>24148.35</v>
      </c>
      <c r="L594" s="2" t="s">
        <v>2347</v>
      </c>
      <c r="M594" s="2" t="s">
        <v>2364</v>
      </c>
    </row>
    <row r="595" spans="1:13" x14ac:dyDescent="0.3">
      <c r="A595" s="2" t="s">
        <v>516</v>
      </c>
      <c r="B595" s="5">
        <v>45859</v>
      </c>
      <c r="C595" s="2" t="s">
        <v>517</v>
      </c>
      <c r="D595" s="2" t="s">
        <v>46</v>
      </c>
      <c r="E595" s="2" t="s">
        <v>244</v>
      </c>
      <c r="F595" s="2" t="s">
        <v>34</v>
      </c>
      <c r="G595" s="2" t="s">
        <v>35</v>
      </c>
      <c r="H595" s="2">
        <v>32</v>
      </c>
      <c r="I595" s="7">
        <v>851.27</v>
      </c>
      <c r="J595" s="2">
        <v>10</v>
      </c>
      <c r="K595" s="7">
        <v>24516.58</v>
      </c>
      <c r="L595" s="2" t="s">
        <v>31</v>
      </c>
      <c r="M595" s="2" t="s">
        <v>2364</v>
      </c>
    </row>
    <row r="596" spans="1:13" x14ac:dyDescent="0.3">
      <c r="A596" s="2" t="s">
        <v>1027</v>
      </c>
      <c r="B596" s="5">
        <v>45719</v>
      </c>
      <c r="C596" s="2" t="s">
        <v>522</v>
      </c>
      <c r="D596" s="2" t="s">
        <v>24</v>
      </c>
      <c r="E596" s="2" t="s">
        <v>104</v>
      </c>
      <c r="F596" s="2" t="s">
        <v>34</v>
      </c>
      <c r="G596" s="2" t="s">
        <v>35</v>
      </c>
      <c r="H596" s="2">
        <v>35</v>
      </c>
      <c r="I596" s="7">
        <v>703.93</v>
      </c>
      <c r="J596" s="2">
        <v>0</v>
      </c>
      <c r="K596" s="7">
        <v>24637.55</v>
      </c>
      <c r="L596" s="2" t="s">
        <v>27</v>
      </c>
      <c r="M596" s="2" t="s">
        <v>2364</v>
      </c>
    </row>
    <row r="597" spans="1:13" x14ac:dyDescent="0.3">
      <c r="A597" s="2" t="s">
        <v>1806</v>
      </c>
      <c r="B597" s="5">
        <v>46162</v>
      </c>
      <c r="C597" s="2" t="s">
        <v>1807</v>
      </c>
      <c r="D597" s="2" t="s">
        <v>16</v>
      </c>
      <c r="E597" s="2" t="s">
        <v>17</v>
      </c>
      <c r="F597" s="2" t="s">
        <v>34</v>
      </c>
      <c r="G597" s="2" t="s">
        <v>35</v>
      </c>
      <c r="H597" s="2">
        <v>44</v>
      </c>
      <c r="I597" s="7">
        <v>668.31</v>
      </c>
      <c r="J597" s="2">
        <v>15</v>
      </c>
      <c r="K597" s="7">
        <v>24994.79</v>
      </c>
      <c r="L597" s="2" t="s">
        <v>31</v>
      </c>
      <c r="M597" s="2" t="s">
        <v>2364</v>
      </c>
    </row>
    <row r="598" spans="1:13" x14ac:dyDescent="0.3">
      <c r="A598" s="2" t="s">
        <v>751</v>
      </c>
      <c r="B598" s="5">
        <v>46012</v>
      </c>
      <c r="C598" s="2" t="s">
        <v>752</v>
      </c>
      <c r="D598" s="2" t="s">
        <v>46</v>
      </c>
      <c r="E598" s="2" t="s">
        <v>124</v>
      </c>
      <c r="F598" s="2" t="s">
        <v>34</v>
      </c>
      <c r="G598" s="2" t="s">
        <v>35</v>
      </c>
      <c r="H598" s="2">
        <v>28</v>
      </c>
      <c r="I598" s="7">
        <v>895.15</v>
      </c>
      <c r="J598" s="2">
        <v>0</v>
      </c>
      <c r="K598" s="7">
        <v>25064.2</v>
      </c>
      <c r="L598" s="2" t="s">
        <v>31</v>
      </c>
      <c r="M598" s="2" t="s">
        <v>2364</v>
      </c>
    </row>
    <row r="599" spans="1:13" x14ac:dyDescent="0.3">
      <c r="A599" s="2" t="s">
        <v>1124</v>
      </c>
      <c r="B599" s="5">
        <v>46295</v>
      </c>
      <c r="C599" s="2" t="s">
        <v>1125</v>
      </c>
      <c r="D599" s="2" t="s">
        <v>24</v>
      </c>
      <c r="E599" s="2" t="s">
        <v>59</v>
      </c>
      <c r="F599" s="2" t="s">
        <v>34</v>
      </c>
      <c r="G599" s="2" t="s">
        <v>35</v>
      </c>
      <c r="H599" s="2">
        <v>46</v>
      </c>
      <c r="I599" s="7">
        <v>645.16</v>
      </c>
      <c r="J599" s="2">
        <v>15</v>
      </c>
      <c r="K599" s="7">
        <v>25225.759999999998</v>
      </c>
      <c r="L599" s="2" t="s">
        <v>31</v>
      </c>
      <c r="M599" s="2" t="s">
        <v>2364</v>
      </c>
    </row>
    <row r="600" spans="1:13" x14ac:dyDescent="0.3">
      <c r="A600" s="2" t="s">
        <v>1247</v>
      </c>
      <c r="B600" s="5">
        <v>46269</v>
      </c>
      <c r="C600" s="2" t="s">
        <v>1165</v>
      </c>
      <c r="D600" s="2" t="s">
        <v>16</v>
      </c>
      <c r="E600" s="2" t="s">
        <v>17</v>
      </c>
      <c r="F600" s="2" t="s">
        <v>34</v>
      </c>
      <c r="G600" s="2" t="s">
        <v>35</v>
      </c>
      <c r="H600" s="2">
        <v>38</v>
      </c>
      <c r="I600" s="7">
        <v>698.78</v>
      </c>
      <c r="J600" s="2">
        <v>0</v>
      </c>
      <c r="K600" s="7">
        <v>26553.64</v>
      </c>
      <c r="L600" s="2" t="s">
        <v>2347</v>
      </c>
      <c r="M600" s="2" t="s">
        <v>2365</v>
      </c>
    </row>
    <row r="601" spans="1:13" x14ac:dyDescent="0.3">
      <c r="A601" s="2" t="s">
        <v>759</v>
      </c>
      <c r="B601" s="5">
        <v>46121</v>
      </c>
      <c r="C601" s="2" t="s">
        <v>760</v>
      </c>
      <c r="D601" s="2" t="s">
        <v>24</v>
      </c>
      <c r="E601" s="2" t="s">
        <v>59</v>
      </c>
      <c r="F601" s="2" t="s">
        <v>34</v>
      </c>
      <c r="G601" s="2" t="s">
        <v>35</v>
      </c>
      <c r="H601" s="2">
        <v>49</v>
      </c>
      <c r="I601" s="7">
        <v>564.42999999999995</v>
      </c>
      <c r="J601" s="2">
        <v>0</v>
      </c>
      <c r="K601" s="7">
        <v>27657.07</v>
      </c>
      <c r="L601" s="2" t="s">
        <v>2347</v>
      </c>
      <c r="M601" s="2" t="s">
        <v>2364</v>
      </c>
    </row>
    <row r="602" spans="1:13" x14ac:dyDescent="0.3">
      <c r="A602" s="2" t="s">
        <v>1720</v>
      </c>
      <c r="B602" s="5">
        <v>45767</v>
      </c>
      <c r="C602" s="2" t="s">
        <v>1721</v>
      </c>
      <c r="D602" s="2" t="s">
        <v>46</v>
      </c>
      <c r="E602" s="2" t="s">
        <v>83</v>
      </c>
      <c r="F602" s="2" t="s">
        <v>34</v>
      </c>
      <c r="G602" s="2" t="s">
        <v>35</v>
      </c>
      <c r="H602" s="2">
        <v>46</v>
      </c>
      <c r="I602" s="7">
        <v>670.33</v>
      </c>
      <c r="J602" s="2">
        <v>10</v>
      </c>
      <c r="K602" s="7">
        <v>27751.66</v>
      </c>
      <c r="L602" s="2" t="s">
        <v>31</v>
      </c>
      <c r="M602" s="2" t="s">
        <v>2364</v>
      </c>
    </row>
    <row r="603" spans="1:13" x14ac:dyDescent="0.3">
      <c r="A603" s="2" t="s">
        <v>876</v>
      </c>
      <c r="B603" s="5">
        <v>45599</v>
      </c>
      <c r="C603" s="2" t="s">
        <v>877</v>
      </c>
      <c r="D603" s="2" t="s">
        <v>16</v>
      </c>
      <c r="E603" s="2" t="s">
        <v>74</v>
      </c>
      <c r="F603" s="2" t="s">
        <v>34</v>
      </c>
      <c r="G603" s="2" t="s">
        <v>35</v>
      </c>
      <c r="H603" s="2">
        <v>49</v>
      </c>
      <c r="I603" s="7">
        <v>725.05</v>
      </c>
      <c r="J603" s="2">
        <v>5</v>
      </c>
      <c r="K603" s="7">
        <v>33751.08</v>
      </c>
      <c r="L603" s="2" t="s">
        <v>2347</v>
      </c>
      <c r="M603" s="2" t="s">
        <v>2364</v>
      </c>
    </row>
    <row r="604" spans="1:13" x14ac:dyDescent="0.3">
      <c r="A604" s="2" t="s">
        <v>1477</v>
      </c>
      <c r="B604" s="5">
        <v>46214</v>
      </c>
      <c r="C604" s="2" t="s">
        <v>228</v>
      </c>
      <c r="D604" s="2" t="s">
        <v>46</v>
      </c>
      <c r="E604" s="2" t="s">
        <v>83</v>
      </c>
      <c r="F604" s="2" t="s">
        <v>103</v>
      </c>
      <c r="G604" s="2" t="s">
        <v>35</v>
      </c>
      <c r="H604" s="2">
        <v>1</v>
      </c>
      <c r="I604" s="7">
        <v>367.24</v>
      </c>
      <c r="J604" s="2">
        <v>0</v>
      </c>
      <c r="K604" s="7">
        <v>367.24</v>
      </c>
      <c r="L604" s="2" t="s">
        <v>27</v>
      </c>
      <c r="M604" s="2" t="s">
        <v>2365</v>
      </c>
    </row>
    <row r="605" spans="1:13" x14ac:dyDescent="0.3">
      <c r="A605" s="2" t="s">
        <v>1623</v>
      </c>
      <c r="B605" s="5">
        <v>45759</v>
      </c>
      <c r="C605" s="2" t="s">
        <v>1624</v>
      </c>
      <c r="D605" s="2" t="s">
        <v>53</v>
      </c>
      <c r="E605" s="2" t="s">
        <v>141</v>
      </c>
      <c r="F605" s="2" t="s">
        <v>103</v>
      </c>
      <c r="G605" s="2" t="s">
        <v>35</v>
      </c>
      <c r="H605" s="2">
        <v>1</v>
      </c>
      <c r="I605" s="7">
        <v>394.23</v>
      </c>
      <c r="J605" s="2">
        <v>0</v>
      </c>
      <c r="K605" s="7">
        <v>394.23</v>
      </c>
      <c r="L605" s="2" t="s">
        <v>2347</v>
      </c>
      <c r="M605" s="2" t="s">
        <v>2365</v>
      </c>
    </row>
    <row r="606" spans="1:13" x14ac:dyDescent="0.3">
      <c r="A606" s="2" t="s">
        <v>1964</v>
      </c>
      <c r="B606" s="5">
        <v>45990</v>
      </c>
      <c r="C606" s="2" t="s">
        <v>1695</v>
      </c>
      <c r="D606" s="2" t="s">
        <v>53</v>
      </c>
      <c r="E606" s="2" t="s">
        <v>54</v>
      </c>
      <c r="F606" s="2" t="s">
        <v>103</v>
      </c>
      <c r="G606" s="2" t="s">
        <v>35</v>
      </c>
      <c r="H606" s="2">
        <v>4</v>
      </c>
      <c r="I606" s="7">
        <v>320.8</v>
      </c>
      <c r="J606" s="2">
        <v>5</v>
      </c>
      <c r="K606" s="7">
        <v>1219.04</v>
      </c>
      <c r="L606" s="2" t="s">
        <v>49</v>
      </c>
      <c r="M606" s="2" t="s">
        <v>2364</v>
      </c>
    </row>
    <row r="607" spans="1:13" x14ac:dyDescent="0.3">
      <c r="A607" s="2" t="s">
        <v>1558</v>
      </c>
      <c r="B607" s="5">
        <v>46237</v>
      </c>
      <c r="C607" s="2" t="s">
        <v>1559</v>
      </c>
      <c r="D607" s="2" t="s">
        <v>53</v>
      </c>
      <c r="E607" s="2" t="s">
        <v>134</v>
      </c>
      <c r="F607" s="2" t="s">
        <v>103</v>
      </c>
      <c r="G607" s="2" t="s">
        <v>35</v>
      </c>
      <c r="H607" s="2">
        <v>3</v>
      </c>
      <c r="I607" s="7">
        <v>593.08000000000004</v>
      </c>
      <c r="J607" s="2">
        <v>20</v>
      </c>
      <c r="K607" s="7">
        <v>1423.39</v>
      </c>
      <c r="L607" s="2" t="s">
        <v>69</v>
      </c>
      <c r="M607" s="2" t="s">
        <v>2364</v>
      </c>
    </row>
    <row r="608" spans="1:13" x14ac:dyDescent="0.3">
      <c r="A608" s="2" t="s">
        <v>155</v>
      </c>
      <c r="B608" s="5">
        <v>45740</v>
      </c>
      <c r="C608" s="2" t="s">
        <v>156</v>
      </c>
      <c r="D608" s="2" t="s">
        <v>53</v>
      </c>
      <c r="E608" s="2" t="s">
        <v>141</v>
      </c>
      <c r="F608" s="2" t="s">
        <v>103</v>
      </c>
      <c r="G608" s="2" t="s">
        <v>35</v>
      </c>
      <c r="H608" s="2">
        <v>8</v>
      </c>
      <c r="I608" s="7">
        <v>314.86</v>
      </c>
      <c r="J608" s="2">
        <v>15</v>
      </c>
      <c r="K608" s="7">
        <v>2141.0500000000002</v>
      </c>
      <c r="L608" s="2" t="s">
        <v>27</v>
      </c>
      <c r="M608" s="2" t="s">
        <v>2364</v>
      </c>
    </row>
    <row r="609" spans="1:13" x14ac:dyDescent="0.3">
      <c r="A609" s="2" t="s">
        <v>962</v>
      </c>
      <c r="B609" s="5">
        <v>45968</v>
      </c>
      <c r="C609" s="2" t="s">
        <v>963</v>
      </c>
      <c r="D609" s="2" t="s">
        <v>53</v>
      </c>
      <c r="E609" s="2" t="s">
        <v>67</v>
      </c>
      <c r="F609" s="2" t="s">
        <v>103</v>
      </c>
      <c r="G609" s="2" t="s">
        <v>35</v>
      </c>
      <c r="H609" s="2">
        <v>8</v>
      </c>
      <c r="I609" s="7">
        <v>303.57</v>
      </c>
      <c r="J609" s="2">
        <v>10</v>
      </c>
      <c r="K609" s="7">
        <v>2185.6999999999998</v>
      </c>
      <c r="L609" s="2" t="s">
        <v>69</v>
      </c>
      <c r="M609" s="2" t="s">
        <v>2365</v>
      </c>
    </row>
    <row r="610" spans="1:13" x14ac:dyDescent="0.3">
      <c r="A610" s="2" t="s">
        <v>682</v>
      </c>
      <c r="B610" s="5">
        <v>46130</v>
      </c>
      <c r="C610" s="2" t="s">
        <v>683</v>
      </c>
      <c r="D610" s="2" t="s">
        <v>16</v>
      </c>
      <c r="E610" s="2" t="s">
        <v>160</v>
      </c>
      <c r="F610" s="2" t="s">
        <v>103</v>
      </c>
      <c r="G610" s="2" t="s">
        <v>35</v>
      </c>
      <c r="H610" s="2">
        <v>9</v>
      </c>
      <c r="I610" s="7">
        <v>347.72</v>
      </c>
      <c r="J610" s="2">
        <v>5</v>
      </c>
      <c r="K610" s="7">
        <v>2973.01</v>
      </c>
      <c r="L610" s="2" t="s">
        <v>49</v>
      </c>
      <c r="M610" s="2" t="s">
        <v>2365</v>
      </c>
    </row>
    <row r="611" spans="1:13" x14ac:dyDescent="0.3">
      <c r="A611" s="2" t="s">
        <v>1138</v>
      </c>
      <c r="B611" s="5">
        <v>46216</v>
      </c>
      <c r="C611" s="2" t="s">
        <v>1139</v>
      </c>
      <c r="D611" s="2" t="s">
        <v>46</v>
      </c>
      <c r="E611" s="2" t="s">
        <v>83</v>
      </c>
      <c r="F611" s="2" t="s">
        <v>103</v>
      </c>
      <c r="G611" s="2" t="s">
        <v>35</v>
      </c>
      <c r="H611" s="2">
        <v>14</v>
      </c>
      <c r="I611" s="7">
        <v>273.23</v>
      </c>
      <c r="J611" s="2">
        <v>10</v>
      </c>
      <c r="K611" s="7">
        <v>3442.7</v>
      </c>
      <c r="L611" s="2" t="s">
        <v>69</v>
      </c>
      <c r="M611" s="2" t="s">
        <v>2365</v>
      </c>
    </row>
    <row r="612" spans="1:13" x14ac:dyDescent="0.3">
      <c r="A612" s="2" t="s">
        <v>1603</v>
      </c>
      <c r="B612" s="5">
        <v>45899</v>
      </c>
      <c r="C612" s="2" t="s">
        <v>282</v>
      </c>
      <c r="D612" s="2" t="s">
        <v>53</v>
      </c>
      <c r="E612" s="2" t="s">
        <v>170</v>
      </c>
      <c r="F612" s="2" t="s">
        <v>103</v>
      </c>
      <c r="G612" s="2" t="s">
        <v>35</v>
      </c>
      <c r="H612" s="2">
        <v>10</v>
      </c>
      <c r="I612" s="7">
        <v>499.87</v>
      </c>
      <c r="J612" s="2">
        <v>15</v>
      </c>
      <c r="K612" s="7">
        <v>4248.8900000000003</v>
      </c>
      <c r="L612" s="2" t="s">
        <v>31</v>
      </c>
      <c r="M612" s="2" t="s">
        <v>2365</v>
      </c>
    </row>
    <row r="613" spans="1:13" x14ac:dyDescent="0.3">
      <c r="A613" s="2" t="s">
        <v>370</v>
      </c>
      <c r="B613" s="5">
        <v>46134</v>
      </c>
      <c r="C613" s="2" t="s">
        <v>371</v>
      </c>
      <c r="D613" s="2" t="s">
        <v>24</v>
      </c>
      <c r="E613" s="2" t="s">
        <v>41</v>
      </c>
      <c r="F613" s="2" t="s">
        <v>103</v>
      </c>
      <c r="G613" s="2" t="s">
        <v>35</v>
      </c>
      <c r="H613" s="2">
        <v>18</v>
      </c>
      <c r="I613" s="7">
        <v>264.27999999999997</v>
      </c>
      <c r="J613" s="2">
        <v>10</v>
      </c>
      <c r="K613" s="7">
        <v>4281.34</v>
      </c>
      <c r="L613" s="2" t="s">
        <v>69</v>
      </c>
      <c r="M613" s="2" t="s">
        <v>2364</v>
      </c>
    </row>
    <row r="614" spans="1:13" x14ac:dyDescent="0.3">
      <c r="A614" s="2" t="s">
        <v>519</v>
      </c>
      <c r="B614" s="5">
        <v>45857</v>
      </c>
      <c r="C614" s="2" t="s">
        <v>520</v>
      </c>
      <c r="D614" s="2" t="s">
        <v>46</v>
      </c>
      <c r="E614" s="2" t="s">
        <v>83</v>
      </c>
      <c r="F614" s="2" t="s">
        <v>103</v>
      </c>
      <c r="G614" s="2" t="s">
        <v>35</v>
      </c>
      <c r="H614" s="2">
        <v>11</v>
      </c>
      <c r="I614" s="7">
        <v>392.91</v>
      </c>
      <c r="J614" s="2">
        <v>0</v>
      </c>
      <c r="K614" s="7">
        <v>4322.01</v>
      </c>
      <c r="L614" s="2" t="s">
        <v>69</v>
      </c>
      <c r="M614" s="2" t="s">
        <v>2364</v>
      </c>
    </row>
    <row r="615" spans="1:13" x14ac:dyDescent="0.3">
      <c r="A615" s="2" t="s">
        <v>1414</v>
      </c>
      <c r="B615" s="5">
        <v>45836</v>
      </c>
      <c r="C615" s="2" t="s">
        <v>302</v>
      </c>
      <c r="D615" s="2" t="s">
        <v>53</v>
      </c>
      <c r="E615" s="2" t="s">
        <v>67</v>
      </c>
      <c r="F615" s="2" t="s">
        <v>103</v>
      </c>
      <c r="G615" s="2" t="s">
        <v>35</v>
      </c>
      <c r="H615" s="2">
        <v>13</v>
      </c>
      <c r="I615" s="7">
        <v>334.58</v>
      </c>
      <c r="J615" s="2">
        <v>0</v>
      </c>
      <c r="K615" s="7">
        <v>4349.54</v>
      </c>
      <c r="L615" s="2" t="s">
        <v>31</v>
      </c>
      <c r="M615" s="2" t="s">
        <v>2364</v>
      </c>
    </row>
    <row r="616" spans="1:13" x14ac:dyDescent="0.3">
      <c r="A616" s="2" t="s">
        <v>1372</v>
      </c>
      <c r="B616" s="5">
        <v>45923</v>
      </c>
      <c r="C616" s="2" t="s">
        <v>267</v>
      </c>
      <c r="D616" s="2" t="s">
        <v>16</v>
      </c>
      <c r="E616" s="2" t="s">
        <v>111</v>
      </c>
      <c r="F616" s="2" t="s">
        <v>103</v>
      </c>
      <c r="G616" s="2" t="s">
        <v>35</v>
      </c>
      <c r="H616" s="2">
        <v>15</v>
      </c>
      <c r="I616" s="7">
        <v>304.25</v>
      </c>
      <c r="J616" s="2">
        <v>0</v>
      </c>
      <c r="K616" s="7">
        <v>4563.75</v>
      </c>
      <c r="L616" s="2" t="s">
        <v>31</v>
      </c>
      <c r="M616" s="2" t="s">
        <v>2364</v>
      </c>
    </row>
    <row r="617" spans="1:13" x14ac:dyDescent="0.3">
      <c r="A617" s="2" t="s">
        <v>905</v>
      </c>
      <c r="B617" s="5">
        <v>45817</v>
      </c>
      <c r="C617" s="2" t="s">
        <v>906</v>
      </c>
      <c r="D617" s="2" t="s">
        <v>46</v>
      </c>
      <c r="E617" s="2" t="s">
        <v>78</v>
      </c>
      <c r="F617" s="2" t="s">
        <v>103</v>
      </c>
      <c r="G617" s="2" t="s">
        <v>35</v>
      </c>
      <c r="H617" s="2">
        <v>16</v>
      </c>
      <c r="I617" s="7">
        <v>325.27999999999997</v>
      </c>
      <c r="J617" s="2">
        <v>10</v>
      </c>
      <c r="K617" s="7">
        <v>4684.03</v>
      </c>
      <c r="L617" s="2" t="s">
        <v>31</v>
      </c>
      <c r="M617" s="2" t="s">
        <v>2364</v>
      </c>
    </row>
    <row r="618" spans="1:13" x14ac:dyDescent="0.3">
      <c r="A618" s="2" t="s">
        <v>1641</v>
      </c>
      <c r="B618" s="5">
        <v>45787</v>
      </c>
      <c r="C618" s="2" t="s">
        <v>1642</v>
      </c>
      <c r="D618" s="2" t="s">
        <v>16</v>
      </c>
      <c r="E618" s="2" t="s">
        <v>111</v>
      </c>
      <c r="F618" s="2" t="s">
        <v>103</v>
      </c>
      <c r="G618" s="2" t="s">
        <v>35</v>
      </c>
      <c r="H618" s="2">
        <v>14</v>
      </c>
      <c r="I618" s="7">
        <v>425.03</v>
      </c>
      <c r="J618" s="2">
        <v>5</v>
      </c>
      <c r="K618" s="7">
        <v>5652.9</v>
      </c>
      <c r="L618" s="2" t="s">
        <v>69</v>
      </c>
      <c r="M618" s="2" t="s">
        <v>2364</v>
      </c>
    </row>
    <row r="619" spans="1:13" x14ac:dyDescent="0.3">
      <c r="A619" s="2" t="s">
        <v>2271</v>
      </c>
      <c r="B619" s="5">
        <v>46244</v>
      </c>
      <c r="C619" s="2" t="s">
        <v>2272</v>
      </c>
      <c r="D619" s="2" t="s">
        <v>46</v>
      </c>
      <c r="E619" s="2" t="s">
        <v>244</v>
      </c>
      <c r="F619" s="2" t="s">
        <v>103</v>
      </c>
      <c r="G619" s="2" t="s">
        <v>35</v>
      </c>
      <c r="H619" s="2">
        <v>19</v>
      </c>
      <c r="I619" s="7">
        <v>307.56</v>
      </c>
      <c r="J619" s="2">
        <v>0</v>
      </c>
      <c r="K619" s="7">
        <v>5843.64</v>
      </c>
      <c r="L619" s="2" t="s">
        <v>31</v>
      </c>
      <c r="M619" s="2" t="s">
        <v>2364</v>
      </c>
    </row>
    <row r="620" spans="1:13" x14ac:dyDescent="0.3">
      <c r="A620" s="2" t="s">
        <v>1716</v>
      </c>
      <c r="B620" s="5">
        <v>46227</v>
      </c>
      <c r="C620" s="2" t="s">
        <v>1717</v>
      </c>
      <c r="D620" s="2" t="s">
        <v>46</v>
      </c>
      <c r="E620" s="2" t="s">
        <v>47</v>
      </c>
      <c r="F620" s="2" t="s">
        <v>103</v>
      </c>
      <c r="G620" s="2" t="s">
        <v>35</v>
      </c>
      <c r="H620" s="2">
        <v>13</v>
      </c>
      <c r="I620" s="7">
        <v>585.21</v>
      </c>
      <c r="J620" s="2">
        <v>20</v>
      </c>
      <c r="K620" s="7">
        <v>6086.18</v>
      </c>
      <c r="L620" s="2" t="s">
        <v>31</v>
      </c>
      <c r="M620" s="2" t="s">
        <v>2365</v>
      </c>
    </row>
    <row r="621" spans="1:13" x14ac:dyDescent="0.3">
      <c r="A621" s="2" t="s">
        <v>1470</v>
      </c>
      <c r="B621" s="5">
        <v>45999</v>
      </c>
      <c r="C621" s="2" t="s">
        <v>1471</v>
      </c>
      <c r="D621" s="2" t="s">
        <v>24</v>
      </c>
      <c r="E621" s="2" t="s">
        <v>104</v>
      </c>
      <c r="F621" s="2" t="s">
        <v>103</v>
      </c>
      <c r="G621" s="2" t="s">
        <v>35</v>
      </c>
      <c r="H621" s="2">
        <v>15</v>
      </c>
      <c r="I621" s="7">
        <v>432.69</v>
      </c>
      <c r="J621" s="2">
        <v>0</v>
      </c>
      <c r="K621" s="7">
        <v>6490.35</v>
      </c>
      <c r="L621" s="2" t="s">
        <v>49</v>
      </c>
      <c r="M621" s="2" t="s">
        <v>2364</v>
      </c>
    </row>
    <row r="622" spans="1:13" x14ac:dyDescent="0.3">
      <c r="A622" s="2" t="s">
        <v>1508</v>
      </c>
      <c r="B622" s="5">
        <v>45887</v>
      </c>
      <c r="C622" s="2" t="s">
        <v>1509</v>
      </c>
      <c r="D622" s="2" t="s">
        <v>16</v>
      </c>
      <c r="E622" s="2" t="s">
        <v>160</v>
      </c>
      <c r="F622" s="2" t="s">
        <v>103</v>
      </c>
      <c r="G622" s="2" t="s">
        <v>35</v>
      </c>
      <c r="H622" s="2">
        <v>13</v>
      </c>
      <c r="I622" s="7">
        <v>537.61</v>
      </c>
      <c r="J622" s="2">
        <v>5</v>
      </c>
      <c r="K622" s="7">
        <v>6639.48</v>
      </c>
      <c r="L622" s="2" t="s">
        <v>69</v>
      </c>
      <c r="M622" s="2" t="s">
        <v>2365</v>
      </c>
    </row>
    <row r="623" spans="1:13" x14ac:dyDescent="0.3">
      <c r="A623" s="2" t="s">
        <v>101</v>
      </c>
      <c r="B623" s="5">
        <v>45780</v>
      </c>
      <c r="C623" s="2" t="s">
        <v>102</v>
      </c>
      <c r="D623" s="2" t="s">
        <v>24</v>
      </c>
      <c r="E623" s="2" t="s">
        <v>104</v>
      </c>
      <c r="F623" s="2" t="s">
        <v>103</v>
      </c>
      <c r="G623" s="2" t="s">
        <v>35</v>
      </c>
      <c r="H623" s="2">
        <v>18</v>
      </c>
      <c r="I623" s="7">
        <v>388.68</v>
      </c>
      <c r="J623" s="2">
        <v>5</v>
      </c>
      <c r="K623" s="7">
        <v>6646.43</v>
      </c>
      <c r="L623" s="2" t="s">
        <v>27</v>
      </c>
      <c r="M623" s="2" t="s">
        <v>2365</v>
      </c>
    </row>
    <row r="624" spans="1:13" x14ac:dyDescent="0.3">
      <c r="A624" s="2" t="s">
        <v>2131</v>
      </c>
      <c r="B624" s="5">
        <v>45878</v>
      </c>
      <c r="C624" s="2" t="s">
        <v>2132</v>
      </c>
      <c r="D624" s="2" t="s">
        <v>16</v>
      </c>
      <c r="E624" s="2" t="s">
        <v>91</v>
      </c>
      <c r="F624" s="2" t="s">
        <v>103</v>
      </c>
      <c r="G624" s="2" t="s">
        <v>35</v>
      </c>
      <c r="H624" s="2">
        <v>25</v>
      </c>
      <c r="I624" s="7">
        <v>300.70999999999998</v>
      </c>
      <c r="J624" s="2">
        <v>10</v>
      </c>
      <c r="K624" s="7">
        <v>6765.98</v>
      </c>
      <c r="L624" s="2" t="s">
        <v>69</v>
      </c>
      <c r="M624" s="2" t="s">
        <v>2365</v>
      </c>
    </row>
    <row r="625" spans="1:13" x14ac:dyDescent="0.3">
      <c r="A625" s="2" t="s">
        <v>2263</v>
      </c>
      <c r="B625" s="5">
        <v>46048</v>
      </c>
      <c r="C625" s="2" t="s">
        <v>2264</v>
      </c>
      <c r="D625" s="2" t="s">
        <v>24</v>
      </c>
      <c r="E625" s="2" t="s">
        <v>104</v>
      </c>
      <c r="F625" s="2" t="s">
        <v>103</v>
      </c>
      <c r="G625" s="2" t="s">
        <v>35</v>
      </c>
      <c r="H625" s="2">
        <v>16</v>
      </c>
      <c r="I625" s="7">
        <v>438.4</v>
      </c>
      <c r="J625" s="2">
        <v>0</v>
      </c>
      <c r="K625" s="7">
        <v>7014.4</v>
      </c>
      <c r="L625" s="2" t="s">
        <v>49</v>
      </c>
      <c r="M625" s="2" t="s">
        <v>2364</v>
      </c>
    </row>
    <row r="626" spans="1:13" x14ac:dyDescent="0.3">
      <c r="A626" s="2" t="s">
        <v>1497</v>
      </c>
      <c r="B626" s="5">
        <v>45772</v>
      </c>
      <c r="C626" s="2" t="s">
        <v>1498</v>
      </c>
      <c r="D626" s="2" t="s">
        <v>24</v>
      </c>
      <c r="E626" s="2" t="s">
        <v>36</v>
      </c>
      <c r="F626" s="2" t="s">
        <v>103</v>
      </c>
      <c r="G626" s="2" t="s">
        <v>35</v>
      </c>
      <c r="H626" s="2">
        <v>23</v>
      </c>
      <c r="I626" s="7">
        <v>305.10000000000002</v>
      </c>
      <c r="J626" s="2">
        <v>0</v>
      </c>
      <c r="K626" s="7">
        <v>7017.3</v>
      </c>
      <c r="L626" s="2" t="s">
        <v>49</v>
      </c>
      <c r="M626" s="2" t="s">
        <v>2364</v>
      </c>
    </row>
    <row r="627" spans="1:13" x14ac:dyDescent="0.3">
      <c r="A627" s="2" t="s">
        <v>1131</v>
      </c>
      <c r="B627" s="5">
        <v>45826</v>
      </c>
      <c r="C627" s="2" t="s">
        <v>1132</v>
      </c>
      <c r="D627" s="2" t="s">
        <v>24</v>
      </c>
      <c r="E627" s="2" t="s">
        <v>59</v>
      </c>
      <c r="F627" s="2" t="s">
        <v>103</v>
      </c>
      <c r="G627" s="2" t="s">
        <v>35</v>
      </c>
      <c r="H627" s="2">
        <v>16</v>
      </c>
      <c r="I627" s="7">
        <v>508.04</v>
      </c>
      <c r="J627" s="2">
        <v>10</v>
      </c>
      <c r="K627" s="7">
        <v>7315.78</v>
      </c>
      <c r="L627" s="2" t="s">
        <v>69</v>
      </c>
      <c r="M627" s="2" t="s">
        <v>2364</v>
      </c>
    </row>
    <row r="628" spans="1:13" x14ac:dyDescent="0.3">
      <c r="A628" s="2" t="s">
        <v>655</v>
      </c>
      <c r="B628" s="5">
        <v>45907</v>
      </c>
      <c r="C628" s="2" t="s">
        <v>656</v>
      </c>
      <c r="D628" s="2" t="s">
        <v>16</v>
      </c>
      <c r="E628" s="2" t="s">
        <v>160</v>
      </c>
      <c r="F628" s="2" t="s">
        <v>103</v>
      </c>
      <c r="G628" s="2" t="s">
        <v>35</v>
      </c>
      <c r="H628" s="2">
        <v>16</v>
      </c>
      <c r="I628" s="7">
        <v>519.89</v>
      </c>
      <c r="J628" s="2">
        <v>10</v>
      </c>
      <c r="K628" s="7">
        <v>7486.42</v>
      </c>
      <c r="L628" s="2" t="s">
        <v>31</v>
      </c>
      <c r="M628" s="2" t="s">
        <v>2365</v>
      </c>
    </row>
    <row r="629" spans="1:13" x14ac:dyDescent="0.3">
      <c r="A629" s="2" t="s">
        <v>152</v>
      </c>
      <c r="B629" s="5">
        <v>45613</v>
      </c>
      <c r="C629" s="2" t="s">
        <v>153</v>
      </c>
      <c r="D629" s="2" t="s">
        <v>24</v>
      </c>
      <c r="E629" s="2" t="s">
        <v>59</v>
      </c>
      <c r="F629" s="2" t="s">
        <v>103</v>
      </c>
      <c r="G629" s="2" t="s">
        <v>35</v>
      </c>
      <c r="H629" s="2">
        <v>30</v>
      </c>
      <c r="I629" s="7">
        <v>263.38</v>
      </c>
      <c r="J629" s="2">
        <v>0</v>
      </c>
      <c r="K629" s="7">
        <v>7901.4</v>
      </c>
      <c r="L629" s="2" t="s">
        <v>2347</v>
      </c>
      <c r="M629" s="2" t="s">
        <v>2364</v>
      </c>
    </row>
    <row r="630" spans="1:13" x14ac:dyDescent="0.3">
      <c r="A630" s="2" t="s">
        <v>1484</v>
      </c>
      <c r="B630" s="5">
        <v>45997</v>
      </c>
      <c r="C630" s="2" t="s">
        <v>1008</v>
      </c>
      <c r="D630" s="2" t="s">
        <v>53</v>
      </c>
      <c r="E630" s="2" t="s">
        <v>170</v>
      </c>
      <c r="F630" s="2" t="s">
        <v>103</v>
      </c>
      <c r="G630" s="2" t="s">
        <v>35</v>
      </c>
      <c r="H630" s="2">
        <v>22</v>
      </c>
      <c r="I630" s="7">
        <v>417.23</v>
      </c>
      <c r="J630" s="2">
        <v>5</v>
      </c>
      <c r="K630" s="7">
        <v>8720.11</v>
      </c>
      <c r="L630" s="2" t="s">
        <v>27</v>
      </c>
      <c r="M630" s="2" t="s">
        <v>2364</v>
      </c>
    </row>
    <row r="631" spans="1:13" x14ac:dyDescent="0.3">
      <c r="A631" s="2" t="s">
        <v>292</v>
      </c>
      <c r="B631" s="5">
        <v>46195</v>
      </c>
      <c r="C631" s="2" t="s">
        <v>293</v>
      </c>
      <c r="D631" s="2" t="s">
        <v>53</v>
      </c>
      <c r="E631" s="2" t="s">
        <v>141</v>
      </c>
      <c r="F631" s="2" t="s">
        <v>103</v>
      </c>
      <c r="G631" s="2" t="s">
        <v>35</v>
      </c>
      <c r="H631" s="2">
        <v>15</v>
      </c>
      <c r="I631" s="7">
        <v>583.48</v>
      </c>
      <c r="J631" s="2">
        <v>0</v>
      </c>
      <c r="K631" s="7">
        <v>8752.2000000000007</v>
      </c>
      <c r="L631" s="2" t="s">
        <v>27</v>
      </c>
      <c r="M631" s="2" t="s">
        <v>2365</v>
      </c>
    </row>
    <row r="632" spans="1:13" x14ac:dyDescent="0.3">
      <c r="A632" s="2" t="s">
        <v>740</v>
      </c>
      <c r="B632" s="5">
        <v>45930</v>
      </c>
      <c r="C632" s="2" t="s">
        <v>741</v>
      </c>
      <c r="D632" s="2" t="s">
        <v>46</v>
      </c>
      <c r="E632" s="2" t="s">
        <v>78</v>
      </c>
      <c r="F632" s="2" t="s">
        <v>103</v>
      </c>
      <c r="G632" s="2" t="s">
        <v>35</v>
      </c>
      <c r="H632" s="2">
        <v>38</v>
      </c>
      <c r="I632" s="7">
        <v>256.58</v>
      </c>
      <c r="J632" s="2">
        <v>10</v>
      </c>
      <c r="K632" s="7">
        <v>8775.0400000000009</v>
      </c>
      <c r="L632" s="2" t="s">
        <v>31</v>
      </c>
      <c r="M632" s="2" t="s">
        <v>2364</v>
      </c>
    </row>
    <row r="633" spans="1:13" x14ac:dyDescent="0.3">
      <c r="A633" s="2" t="s">
        <v>190</v>
      </c>
      <c r="B633" s="5">
        <v>46229</v>
      </c>
      <c r="C633" s="2" t="s">
        <v>191</v>
      </c>
      <c r="D633" s="2" t="s">
        <v>46</v>
      </c>
      <c r="E633" s="2" t="s">
        <v>124</v>
      </c>
      <c r="F633" s="2" t="s">
        <v>103</v>
      </c>
      <c r="G633" s="2" t="s">
        <v>35</v>
      </c>
      <c r="H633" s="2">
        <v>25</v>
      </c>
      <c r="I633" s="7">
        <v>444.02</v>
      </c>
      <c r="J633" s="2">
        <v>20</v>
      </c>
      <c r="K633" s="7">
        <v>8880.4</v>
      </c>
      <c r="L633" s="2" t="s">
        <v>2347</v>
      </c>
      <c r="M633" s="2" t="s">
        <v>2364</v>
      </c>
    </row>
    <row r="634" spans="1:13" x14ac:dyDescent="0.3">
      <c r="A634" s="2" t="s">
        <v>2185</v>
      </c>
      <c r="B634" s="5">
        <v>45965</v>
      </c>
      <c r="C634" s="2" t="s">
        <v>1767</v>
      </c>
      <c r="D634" s="2" t="s">
        <v>53</v>
      </c>
      <c r="E634" s="2" t="s">
        <v>67</v>
      </c>
      <c r="F634" s="2" t="s">
        <v>103</v>
      </c>
      <c r="G634" s="2" t="s">
        <v>35</v>
      </c>
      <c r="H634" s="2">
        <v>28</v>
      </c>
      <c r="I634" s="7">
        <v>336.2</v>
      </c>
      <c r="J634" s="2">
        <v>5</v>
      </c>
      <c r="K634" s="7">
        <v>8942.92</v>
      </c>
      <c r="L634" s="2" t="s">
        <v>49</v>
      </c>
      <c r="M634" s="2" t="s">
        <v>2364</v>
      </c>
    </row>
    <row r="635" spans="1:13" x14ac:dyDescent="0.3">
      <c r="A635" s="2" t="s">
        <v>1292</v>
      </c>
      <c r="B635" s="5">
        <v>46028</v>
      </c>
      <c r="C635" s="2" t="s">
        <v>253</v>
      </c>
      <c r="D635" s="2" t="s">
        <v>24</v>
      </c>
      <c r="E635" s="2" t="s">
        <v>41</v>
      </c>
      <c r="F635" s="2" t="s">
        <v>103</v>
      </c>
      <c r="G635" s="2" t="s">
        <v>35</v>
      </c>
      <c r="H635" s="2">
        <v>22</v>
      </c>
      <c r="I635" s="7">
        <v>451.42</v>
      </c>
      <c r="J635" s="2">
        <v>5</v>
      </c>
      <c r="K635" s="7">
        <v>9434.68</v>
      </c>
      <c r="L635" s="2" t="s">
        <v>27</v>
      </c>
      <c r="M635" s="2" t="s">
        <v>2364</v>
      </c>
    </row>
    <row r="636" spans="1:13" x14ac:dyDescent="0.3">
      <c r="A636" s="2" t="s">
        <v>2325</v>
      </c>
      <c r="B636" s="5">
        <v>45998</v>
      </c>
      <c r="C636" s="2" t="s">
        <v>29</v>
      </c>
      <c r="D636" s="2" t="s">
        <v>53</v>
      </c>
      <c r="E636" s="2" t="s">
        <v>170</v>
      </c>
      <c r="F636" s="2" t="s">
        <v>103</v>
      </c>
      <c r="G636" s="2" t="s">
        <v>35</v>
      </c>
      <c r="H636" s="2">
        <v>38</v>
      </c>
      <c r="I636" s="7">
        <v>291.64999999999998</v>
      </c>
      <c r="J636" s="2">
        <v>10</v>
      </c>
      <c r="K636" s="7">
        <v>9974.43</v>
      </c>
      <c r="L636" s="2" t="s">
        <v>27</v>
      </c>
      <c r="M636" s="2" t="s">
        <v>2364</v>
      </c>
    </row>
    <row r="637" spans="1:13" x14ac:dyDescent="0.3">
      <c r="A637" s="2" t="s">
        <v>983</v>
      </c>
      <c r="B637" s="5">
        <v>45859</v>
      </c>
      <c r="C637" s="2" t="s">
        <v>984</v>
      </c>
      <c r="D637" s="2" t="s">
        <v>24</v>
      </c>
      <c r="E637" s="2" t="s">
        <v>104</v>
      </c>
      <c r="F637" s="2" t="s">
        <v>103</v>
      </c>
      <c r="G637" s="2" t="s">
        <v>35</v>
      </c>
      <c r="H637" s="2">
        <v>25</v>
      </c>
      <c r="I637" s="7">
        <v>399.92</v>
      </c>
      <c r="J637" s="2">
        <v>0</v>
      </c>
      <c r="K637" s="7">
        <v>9998</v>
      </c>
      <c r="L637" s="2" t="s">
        <v>27</v>
      </c>
      <c r="M637" s="2" t="s">
        <v>2364</v>
      </c>
    </row>
    <row r="638" spans="1:13" x14ac:dyDescent="0.3">
      <c r="A638" s="2" t="s">
        <v>1261</v>
      </c>
      <c r="B638" s="5">
        <v>45714</v>
      </c>
      <c r="C638" s="2" t="s">
        <v>1262</v>
      </c>
      <c r="D638" s="2" t="s">
        <v>16</v>
      </c>
      <c r="E638" s="2" t="s">
        <v>91</v>
      </c>
      <c r="F638" s="2" t="s">
        <v>103</v>
      </c>
      <c r="G638" s="2" t="s">
        <v>35</v>
      </c>
      <c r="H638" s="2">
        <v>42</v>
      </c>
      <c r="I638" s="7">
        <v>266.86</v>
      </c>
      <c r="J638" s="2">
        <v>10</v>
      </c>
      <c r="K638" s="7">
        <v>10087.31</v>
      </c>
      <c r="L638" s="2" t="s">
        <v>69</v>
      </c>
      <c r="M638" s="2" t="s">
        <v>2364</v>
      </c>
    </row>
    <row r="639" spans="1:13" x14ac:dyDescent="0.3">
      <c r="A639" s="2" t="s">
        <v>1482</v>
      </c>
      <c r="B639" s="5">
        <v>45578</v>
      </c>
      <c r="C639" s="2" t="s">
        <v>1483</v>
      </c>
      <c r="D639" s="2" t="s">
        <v>16</v>
      </c>
      <c r="E639" s="2" t="s">
        <v>17</v>
      </c>
      <c r="F639" s="2" t="s">
        <v>103</v>
      </c>
      <c r="G639" s="2" t="s">
        <v>35</v>
      </c>
      <c r="H639" s="2">
        <v>27</v>
      </c>
      <c r="I639" s="7">
        <v>398.24</v>
      </c>
      <c r="J639" s="2">
        <v>0</v>
      </c>
      <c r="K639" s="7">
        <v>10752.48</v>
      </c>
      <c r="L639" s="2" t="s">
        <v>27</v>
      </c>
      <c r="M639" s="2" t="s">
        <v>2364</v>
      </c>
    </row>
    <row r="640" spans="1:13" x14ac:dyDescent="0.3">
      <c r="A640" s="2" t="s">
        <v>338</v>
      </c>
      <c r="B640" s="5">
        <v>45662</v>
      </c>
      <c r="C640" s="2" t="s">
        <v>339</v>
      </c>
      <c r="D640" s="2" t="s">
        <v>46</v>
      </c>
      <c r="E640" s="2" t="s">
        <v>83</v>
      </c>
      <c r="F640" s="2" t="s">
        <v>103</v>
      </c>
      <c r="G640" s="2" t="s">
        <v>35</v>
      </c>
      <c r="H640" s="2">
        <v>28</v>
      </c>
      <c r="I640" s="7">
        <v>406.75</v>
      </c>
      <c r="J640" s="2">
        <v>5</v>
      </c>
      <c r="K640" s="7">
        <v>10819.55</v>
      </c>
      <c r="L640" s="2" t="s">
        <v>31</v>
      </c>
      <c r="M640" s="2" t="s">
        <v>2365</v>
      </c>
    </row>
    <row r="641" spans="1:13" x14ac:dyDescent="0.3">
      <c r="A641" s="2" t="s">
        <v>1859</v>
      </c>
      <c r="B641" s="5">
        <v>46067</v>
      </c>
      <c r="C641" s="2" t="s">
        <v>1860</v>
      </c>
      <c r="D641" s="2" t="s">
        <v>16</v>
      </c>
      <c r="E641" s="2" t="s">
        <v>91</v>
      </c>
      <c r="F641" s="2" t="s">
        <v>103</v>
      </c>
      <c r="G641" s="2" t="s">
        <v>35</v>
      </c>
      <c r="H641" s="2">
        <v>24</v>
      </c>
      <c r="I641" s="7">
        <v>566.37</v>
      </c>
      <c r="J641" s="2">
        <v>20</v>
      </c>
      <c r="K641" s="7">
        <v>10874.3</v>
      </c>
      <c r="L641" s="2" t="s">
        <v>69</v>
      </c>
      <c r="M641" s="2" t="s">
        <v>2364</v>
      </c>
    </row>
    <row r="642" spans="1:13" x14ac:dyDescent="0.3">
      <c r="A642" s="2" t="s">
        <v>2072</v>
      </c>
      <c r="B642" s="5">
        <v>46182</v>
      </c>
      <c r="C642" s="2" t="s">
        <v>1056</v>
      </c>
      <c r="D642" s="2" t="s">
        <v>24</v>
      </c>
      <c r="E642" s="2" t="s">
        <v>59</v>
      </c>
      <c r="F642" s="2" t="s">
        <v>103</v>
      </c>
      <c r="G642" s="2" t="s">
        <v>35</v>
      </c>
      <c r="H642" s="2">
        <v>22</v>
      </c>
      <c r="I642" s="7">
        <v>496.55</v>
      </c>
      <c r="J642" s="2">
        <v>0</v>
      </c>
      <c r="K642" s="7">
        <v>10924.1</v>
      </c>
      <c r="L642" s="2" t="s">
        <v>69</v>
      </c>
      <c r="M642" s="2" t="s">
        <v>2364</v>
      </c>
    </row>
    <row r="643" spans="1:13" x14ac:dyDescent="0.3">
      <c r="A643" s="2" t="s">
        <v>375</v>
      </c>
      <c r="B643" s="5">
        <v>45845</v>
      </c>
      <c r="C643" s="2" t="s">
        <v>376</v>
      </c>
      <c r="D643" s="2" t="s">
        <v>46</v>
      </c>
      <c r="E643" s="2" t="s">
        <v>83</v>
      </c>
      <c r="F643" s="2" t="s">
        <v>103</v>
      </c>
      <c r="G643" s="2" t="s">
        <v>35</v>
      </c>
      <c r="H643" s="2">
        <v>22</v>
      </c>
      <c r="I643" s="7">
        <v>585.71</v>
      </c>
      <c r="J643" s="2">
        <v>15</v>
      </c>
      <c r="K643" s="7">
        <v>10952.78</v>
      </c>
      <c r="L643" s="2" t="s">
        <v>27</v>
      </c>
      <c r="M643" s="2" t="s">
        <v>2364</v>
      </c>
    </row>
    <row r="644" spans="1:13" x14ac:dyDescent="0.3">
      <c r="A644" s="2" t="s">
        <v>777</v>
      </c>
      <c r="B644" s="5">
        <v>46292</v>
      </c>
      <c r="C644" s="2" t="s">
        <v>778</v>
      </c>
      <c r="D644" s="2" t="s">
        <v>46</v>
      </c>
      <c r="E644" s="2" t="s">
        <v>83</v>
      </c>
      <c r="F644" s="2" t="s">
        <v>103</v>
      </c>
      <c r="G644" s="2" t="s">
        <v>35</v>
      </c>
      <c r="H644" s="2">
        <v>28</v>
      </c>
      <c r="I644" s="7">
        <v>436.51</v>
      </c>
      <c r="J644" s="2">
        <v>10</v>
      </c>
      <c r="K644" s="7">
        <v>11000.05</v>
      </c>
      <c r="L644" s="2" t="s">
        <v>2347</v>
      </c>
      <c r="M644" s="2" t="s">
        <v>2364</v>
      </c>
    </row>
    <row r="645" spans="1:13" x14ac:dyDescent="0.3">
      <c r="A645" s="2" t="s">
        <v>1098</v>
      </c>
      <c r="B645" s="5">
        <v>45812</v>
      </c>
      <c r="C645" s="2" t="s">
        <v>1099</v>
      </c>
      <c r="D645" s="2" t="s">
        <v>16</v>
      </c>
      <c r="E645" s="2" t="s">
        <v>160</v>
      </c>
      <c r="F645" s="2" t="s">
        <v>103</v>
      </c>
      <c r="G645" s="2" t="s">
        <v>35</v>
      </c>
      <c r="H645" s="2">
        <v>35</v>
      </c>
      <c r="I645" s="7">
        <v>332.35</v>
      </c>
      <c r="J645" s="2">
        <v>0</v>
      </c>
      <c r="K645" s="7">
        <v>11632.25</v>
      </c>
      <c r="L645" s="2" t="s">
        <v>31</v>
      </c>
      <c r="M645" s="2" t="s">
        <v>2365</v>
      </c>
    </row>
    <row r="646" spans="1:13" x14ac:dyDescent="0.3">
      <c r="A646" s="2" t="s">
        <v>106</v>
      </c>
      <c r="B646" s="5">
        <v>45962</v>
      </c>
      <c r="C646" s="2" t="s">
        <v>107</v>
      </c>
      <c r="D646" s="2" t="s">
        <v>53</v>
      </c>
      <c r="E646" s="2" t="s">
        <v>67</v>
      </c>
      <c r="F646" s="2" t="s">
        <v>103</v>
      </c>
      <c r="G646" s="2" t="s">
        <v>35</v>
      </c>
      <c r="H646" s="2">
        <v>32</v>
      </c>
      <c r="I646" s="7">
        <v>385.06</v>
      </c>
      <c r="J646" s="2">
        <v>5</v>
      </c>
      <c r="K646" s="7">
        <v>11705.82</v>
      </c>
      <c r="L646" s="2" t="s">
        <v>31</v>
      </c>
      <c r="M646" s="2" t="s">
        <v>2364</v>
      </c>
    </row>
    <row r="647" spans="1:13" x14ac:dyDescent="0.3">
      <c r="A647" s="2" t="s">
        <v>301</v>
      </c>
      <c r="B647" s="5">
        <v>45921</v>
      </c>
      <c r="C647" s="2" t="s">
        <v>302</v>
      </c>
      <c r="D647" s="2" t="s">
        <v>46</v>
      </c>
      <c r="E647" s="2" t="s">
        <v>47</v>
      </c>
      <c r="F647" s="2" t="s">
        <v>103</v>
      </c>
      <c r="G647" s="2" t="s">
        <v>35</v>
      </c>
      <c r="H647" s="2">
        <v>27</v>
      </c>
      <c r="I647" s="7">
        <v>439.83</v>
      </c>
      <c r="J647" s="2">
        <v>0</v>
      </c>
      <c r="K647" s="7">
        <v>11875.41</v>
      </c>
      <c r="L647" s="2" t="s">
        <v>2347</v>
      </c>
      <c r="M647" s="2" t="s">
        <v>2365</v>
      </c>
    </row>
    <row r="648" spans="1:13" x14ac:dyDescent="0.3">
      <c r="A648" s="2" t="s">
        <v>792</v>
      </c>
      <c r="B648" s="5">
        <v>45746</v>
      </c>
      <c r="C648" s="2" t="s">
        <v>793</v>
      </c>
      <c r="D648" s="2" t="s">
        <v>46</v>
      </c>
      <c r="E648" s="2" t="s">
        <v>124</v>
      </c>
      <c r="F648" s="2" t="s">
        <v>103</v>
      </c>
      <c r="G648" s="2" t="s">
        <v>35</v>
      </c>
      <c r="H648" s="2">
        <v>39</v>
      </c>
      <c r="I648" s="7">
        <v>361.77</v>
      </c>
      <c r="J648" s="2">
        <v>15</v>
      </c>
      <c r="K648" s="7">
        <v>11992.68</v>
      </c>
      <c r="L648" s="2" t="s">
        <v>49</v>
      </c>
      <c r="M648" s="2" t="s">
        <v>2365</v>
      </c>
    </row>
    <row r="649" spans="1:13" x14ac:dyDescent="0.3">
      <c r="A649" s="2" t="s">
        <v>464</v>
      </c>
      <c r="B649" s="5">
        <v>45824</v>
      </c>
      <c r="C649" s="2" t="s">
        <v>465</v>
      </c>
      <c r="D649" s="2" t="s">
        <v>46</v>
      </c>
      <c r="E649" s="2" t="s">
        <v>78</v>
      </c>
      <c r="F649" s="2" t="s">
        <v>103</v>
      </c>
      <c r="G649" s="2" t="s">
        <v>35</v>
      </c>
      <c r="H649" s="2">
        <v>46</v>
      </c>
      <c r="I649" s="7">
        <v>274.70999999999998</v>
      </c>
      <c r="J649" s="2">
        <v>5</v>
      </c>
      <c r="K649" s="7">
        <v>12004.83</v>
      </c>
      <c r="L649" s="2" t="s">
        <v>31</v>
      </c>
      <c r="M649" s="2" t="s">
        <v>2364</v>
      </c>
    </row>
    <row r="650" spans="1:13" x14ac:dyDescent="0.3">
      <c r="A650" s="2" t="s">
        <v>706</v>
      </c>
      <c r="B650" s="5">
        <v>46023</v>
      </c>
      <c r="C650" s="2" t="s">
        <v>707</v>
      </c>
      <c r="D650" s="2" t="s">
        <v>53</v>
      </c>
      <c r="E650" s="2" t="s">
        <v>134</v>
      </c>
      <c r="F650" s="2" t="s">
        <v>103</v>
      </c>
      <c r="G650" s="2" t="s">
        <v>35</v>
      </c>
      <c r="H650" s="2">
        <v>44</v>
      </c>
      <c r="I650" s="7">
        <v>322.31</v>
      </c>
      <c r="J650" s="2">
        <v>15</v>
      </c>
      <c r="K650" s="7">
        <v>12054.39</v>
      </c>
      <c r="L650" s="2" t="s">
        <v>2347</v>
      </c>
      <c r="M650" s="2" t="s">
        <v>2364</v>
      </c>
    </row>
    <row r="651" spans="1:13" x14ac:dyDescent="0.3">
      <c r="A651" s="2" t="s">
        <v>2328</v>
      </c>
      <c r="B651" s="5">
        <v>45762</v>
      </c>
      <c r="C651" s="2" t="s">
        <v>2329</v>
      </c>
      <c r="D651" s="2" t="s">
        <v>24</v>
      </c>
      <c r="E651" s="2" t="s">
        <v>59</v>
      </c>
      <c r="F651" s="2" t="s">
        <v>103</v>
      </c>
      <c r="G651" s="2" t="s">
        <v>35</v>
      </c>
      <c r="H651" s="2">
        <v>25</v>
      </c>
      <c r="I651" s="7">
        <v>504.96</v>
      </c>
      <c r="J651" s="2">
        <v>0</v>
      </c>
      <c r="K651" s="7">
        <v>12624</v>
      </c>
      <c r="L651" s="2" t="s">
        <v>31</v>
      </c>
      <c r="M651" s="2" t="s">
        <v>2365</v>
      </c>
    </row>
    <row r="652" spans="1:13" x14ac:dyDescent="0.3">
      <c r="A652" s="2" t="s">
        <v>1882</v>
      </c>
      <c r="B652" s="5">
        <v>45669</v>
      </c>
      <c r="C652" s="2" t="s">
        <v>589</v>
      </c>
      <c r="D652" s="2" t="s">
        <v>53</v>
      </c>
      <c r="E652" s="2" t="s">
        <v>141</v>
      </c>
      <c r="F652" s="2" t="s">
        <v>103</v>
      </c>
      <c r="G652" s="2" t="s">
        <v>35</v>
      </c>
      <c r="H652" s="2">
        <v>33</v>
      </c>
      <c r="I652" s="7">
        <v>395.3</v>
      </c>
      <c r="J652" s="2">
        <v>0</v>
      </c>
      <c r="K652" s="7">
        <v>13044.9</v>
      </c>
      <c r="L652" s="2" t="s">
        <v>69</v>
      </c>
      <c r="M652" s="2" t="s">
        <v>2364</v>
      </c>
    </row>
    <row r="653" spans="1:13" x14ac:dyDescent="0.3">
      <c r="A653" s="2" t="s">
        <v>1596</v>
      </c>
      <c r="B653" s="5">
        <v>45759</v>
      </c>
      <c r="C653" s="2" t="s">
        <v>253</v>
      </c>
      <c r="D653" s="2" t="s">
        <v>46</v>
      </c>
      <c r="E653" s="2" t="s">
        <v>47</v>
      </c>
      <c r="F653" s="2" t="s">
        <v>103</v>
      </c>
      <c r="G653" s="2" t="s">
        <v>35</v>
      </c>
      <c r="H653" s="2">
        <v>31</v>
      </c>
      <c r="I653" s="7">
        <v>430.04</v>
      </c>
      <c r="J653" s="2">
        <v>0</v>
      </c>
      <c r="K653" s="7">
        <v>13331.24</v>
      </c>
      <c r="L653" s="2" t="s">
        <v>31</v>
      </c>
      <c r="M653" s="2" t="s">
        <v>2364</v>
      </c>
    </row>
    <row r="654" spans="1:13" x14ac:dyDescent="0.3">
      <c r="A654" s="2" t="s">
        <v>230</v>
      </c>
      <c r="B654" s="5">
        <v>46068</v>
      </c>
      <c r="C654" s="2" t="s">
        <v>194</v>
      </c>
      <c r="D654" s="2" t="s">
        <v>46</v>
      </c>
      <c r="E654" s="2" t="s">
        <v>78</v>
      </c>
      <c r="F654" s="2" t="s">
        <v>103</v>
      </c>
      <c r="G654" s="2" t="s">
        <v>35</v>
      </c>
      <c r="H654" s="2">
        <v>34</v>
      </c>
      <c r="I654" s="7">
        <v>414.11</v>
      </c>
      <c r="J654" s="2">
        <v>5</v>
      </c>
      <c r="K654" s="7">
        <v>13375.75</v>
      </c>
      <c r="L654" s="2" t="s">
        <v>69</v>
      </c>
      <c r="M654" s="2" t="s">
        <v>2364</v>
      </c>
    </row>
    <row r="655" spans="1:13" x14ac:dyDescent="0.3">
      <c r="A655" s="2" t="s">
        <v>818</v>
      </c>
      <c r="B655" s="5">
        <v>46095</v>
      </c>
      <c r="C655" s="2" t="s">
        <v>604</v>
      </c>
      <c r="D655" s="2" t="s">
        <v>53</v>
      </c>
      <c r="E655" s="2" t="s">
        <v>170</v>
      </c>
      <c r="F655" s="2" t="s">
        <v>103</v>
      </c>
      <c r="G655" s="2" t="s">
        <v>35</v>
      </c>
      <c r="H655" s="2">
        <v>44</v>
      </c>
      <c r="I655" s="7">
        <v>359.23</v>
      </c>
      <c r="J655" s="2">
        <v>15</v>
      </c>
      <c r="K655" s="7">
        <v>13435.2</v>
      </c>
      <c r="L655" s="2" t="s">
        <v>2347</v>
      </c>
      <c r="M655" s="2" t="s">
        <v>2364</v>
      </c>
    </row>
    <row r="656" spans="1:13" x14ac:dyDescent="0.3">
      <c r="A656" s="2" t="s">
        <v>1873</v>
      </c>
      <c r="B656" s="5">
        <v>45759</v>
      </c>
      <c r="C656" s="2" t="s">
        <v>647</v>
      </c>
      <c r="D656" s="2" t="s">
        <v>24</v>
      </c>
      <c r="E656" s="2" t="s">
        <v>59</v>
      </c>
      <c r="F656" s="2" t="s">
        <v>103</v>
      </c>
      <c r="G656" s="2" t="s">
        <v>35</v>
      </c>
      <c r="H656" s="2">
        <v>41</v>
      </c>
      <c r="I656" s="7">
        <v>407.68</v>
      </c>
      <c r="J656" s="2">
        <v>15</v>
      </c>
      <c r="K656" s="7">
        <v>14207.65</v>
      </c>
      <c r="L656" s="2" t="s">
        <v>2347</v>
      </c>
      <c r="M656" s="2" t="s">
        <v>2364</v>
      </c>
    </row>
    <row r="657" spans="1:13" x14ac:dyDescent="0.3">
      <c r="A657" s="2" t="s">
        <v>2010</v>
      </c>
      <c r="B657" s="5">
        <v>46293</v>
      </c>
      <c r="C657" s="2" t="s">
        <v>2011</v>
      </c>
      <c r="D657" s="2" t="s">
        <v>46</v>
      </c>
      <c r="E657" s="2" t="s">
        <v>47</v>
      </c>
      <c r="F657" s="2" t="s">
        <v>103</v>
      </c>
      <c r="G657" s="2" t="s">
        <v>35</v>
      </c>
      <c r="H657" s="2">
        <v>34</v>
      </c>
      <c r="I657" s="7">
        <v>474.63</v>
      </c>
      <c r="J657" s="2">
        <v>10</v>
      </c>
      <c r="K657" s="7">
        <v>14523.68</v>
      </c>
      <c r="L657" s="2" t="s">
        <v>49</v>
      </c>
      <c r="M657" s="2" t="s">
        <v>2364</v>
      </c>
    </row>
    <row r="658" spans="1:13" x14ac:dyDescent="0.3">
      <c r="A658" s="2" t="s">
        <v>1000</v>
      </c>
      <c r="B658" s="5">
        <v>45968</v>
      </c>
      <c r="C658" s="2" t="s">
        <v>1001</v>
      </c>
      <c r="D658" s="2" t="s">
        <v>24</v>
      </c>
      <c r="E658" s="2" t="s">
        <v>41</v>
      </c>
      <c r="F658" s="2" t="s">
        <v>103</v>
      </c>
      <c r="G658" s="2" t="s">
        <v>35</v>
      </c>
      <c r="H658" s="2">
        <v>32</v>
      </c>
      <c r="I658" s="7">
        <v>455.22</v>
      </c>
      <c r="J658" s="2">
        <v>0</v>
      </c>
      <c r="K658" s="7">
        <v>14567.04</v>
      </c>
      <c r="L658" s="2" t="s">
        <v>49</v>
      </c>
      <c r="M658" s="2" t="s">
        <v>2364</v>
      </c>
    </row>
    <row r="659" spans="1:13" x14ac:dyDescent="0.3">
      <c r="A659" s="2" t="s">
        <v>2269</v>
      </c>
      <c r="B659" s="5">
        <v>45795</v>
      </c>
      <c r="C659" s="2" t="s">
        <v>2270</v>
      </c>
      <c r="D659" s="2" t="s">
        <v>53</v>
      </c>
      <c r="E659" s="2" t="s">
        <v>141</v>
      </c>
      <c r="F659" s="2" t="s">
        <v>103</v>
      </c>
      <c r="G659" s="2" t="s">
        <v>35</v>
      </c>
      <c r="H659" s="2">
        <v>38</v>
      </c>
      <c r="I659" s="7">
        <v>388.27</v>
      </c>
      <c r="J659" s="2">
        <v>0</v>
      </c>
      <c r="K659" s="7">
        <v>14754.26</v>
      </c>
      <c r="L659" s="2" t="s">
        <v>31</v>
      </c>
      <c r="M659" s="2" t="s">
        <v>2364</v>
      </c>
    </row>
    <row r="660" spans="1:13" x14ac:dyDescent="0.3">
      <c r="A660" s="2" t="s">
        <v>1235</v>
      </c>
      <c r="B660" s="5">
        <v>46121</v>
      </c>
      <c r="C660" s="2" t="s">
        <v>1236</v>
      </c>
      <c r="D660" s="2" t="s">
        <v>16</v>
      </c>
      <c r="E660" s="2" t="s">
        <v>111</v>
      </c>
      <c r="F660" s="2" t="s">
        <v>103</v>
      </c>
      <c r="G660" s="2" t="s">
        <v>35</v>
      </c>
      <c r="H660" s="2">
        <v>31</v>
      </c>
      <c r="I660" s="7">
        <v>548.03</v>
      </c>
      <c r="J660" s="2">
        <v>5</v>
      </c>
      <c r="K660" s="7">
        <v>16139.48</v>
      </c>
      <c r="L660" s="2" t="s">
        <v>49</v>
      </c>
      <c r="M660" s="2" t="s">
        <v>2364</v>
      </c>
    </row>
    <row r="661" spans="1:13" x14ac:dyDescent="0.3">
      <c r="A661" s="2" t="s">
        <v>1399</v>
      </c>
      <c r="B661" s="5">
        <v>46046</v>
      </c>
      <c r="C661" s="2" t="s">
        <v>1400</v>
      </c>
      <c r="D661" s="2" t="s">
        <v>46</v>
      </c>
      <c r="E661" s="2" t="s">
        <v>124</v>
      </c>
      <c r="F661" s="2" t="s">
        <v>103</v>
      </c>
      <c r="G661" s="2" t="s">
        <v>35</v>
      </c>
      <c r="H661" s="2">
        <v>38</v>
      </c>
      <c r="I661" s="7">
        <v>449.91</v>
      </c>
      <c r="J661" s="2">
        <v>5</v>
      </c>
      <c r="K661" s="7">
        <v>16241.75</v>
      </c>
      <c r="L661" s="2" t="s">
        <v>27</v>
      </c>
      <c r="M661" s="2" t="s">
        <v>2364</v>
      </c>
    </row>
    <row r="662" spans="1:13" x14ac:dyDescent="0.3">
      <c r="A662" s="2" t="s">
        <v>1885</v>
      </c>
      <c r="B662" s="5">
        <v>45854</v>
      </c>
      <c r="C662" s="2" t="s">
        <v>1886</v>
      </c>
      <c r="D662" s="2" t="s">
        <v>24</v>
      </c>
      <c r="E662" s="2" t="s">
        <v>41</v>
      </c>
      <c r="F662" s="2" t="s">
        <v>103</v>
      </c>
      <c r="G662" s="2" t="s">
        <v>35</v>
      </c>
      <c r="H662" s="2">
        <v>47</v>
      </c>
      <c r="I662" s="7">
        <v>348.99</v>
      </c>
      <c r="J662" s="2">
        <v>0</v>
      </c>
      <c r="K662" s="7">
        <v>16402.53</v>
      </c>
      <c r="L662" s="2" t="s">
        <v>31</v>
      </c>
      <c r="M662" s="2" t="s">
        <v>2365</v>
      </c>
    </row>
    <row r="663" spans="1:13" x14ac:dyDescent="0.3">
      <c r="A663" s="2" t="s">
        <v>2145</v>
      </c>
      <c r="B663" s="5">
        <v>45670</v>
      </c>
      <c r="C663" s="2" t="s">
        <v>2146</v>
      </c>
      <c r="D663" s="2" t="s">
        <v>24</v>
      </c>
      <c r="E663" s="2" t="s">
        <v>25</v>
      </c>
      <c r="F663" s="2" t="s">
        <v>103</v>
      </c>
      <c r="G663" s="2" t="s">
        <v>35</v>
      </c>
      <c r="H663" s="2">
        <v>35</v>
      </c>
      <c r="I663" s="7">
        <v>471.67</v>
      </c>
      <c r="J663" s="2">
        <v>0</v>
      </c>
      <c r="K663" s="7">
        <v>16508.45</v>
      </c>
      <c r="L663" s="2" t="s">
        <v>49</v>
      </c>
      <c r="M663" s="2" t="s">
        <v>2364</v>
      </c>
    </row>
    <row r="664" spans="1:13" x14ac:dyDescent="0.3">
      <c r="A664" s="2" t="s">
        <v>1980</v>
      </c>
      <c r="B664" s="5">
        <v>45603</v>
      </c>
      <c r="C664" s="2" t="s">
        <v>1981</v>
      </c>
      <c r="D664" s="2" t="s">
        <v>24</v>
      </c>
      <c r="E664" s="2" t="s">
        <v>41</v>
      </c>
      <c r="F664" s="2" t="s">
        <v>103</v>
      </c>
      <c r="G664" s="2" t="s">
        <v>35</v>
      </c>
      <c r="H664" s="2">
        <v>30</v>
      </c>
      <c r="I664" s="7">
        <v>555.65</v>
      </c>
      <c r="J664" s="2">
        <v>0</v>
      </c>
      <c r="K664" s="7">
        <v>16669.5</v>
      </c>
      <c r="L664" s="2" t="s">
        <v>27</v>
      </c>
      <c r="M664" s="2" t="s">
        <v>2364</v>
      </c>
    </row>
    <row r="665" spans="1:13" x14ac:dyDescent="0.3">
      <c r="A665" s="2" t="s">
        <v>2178</v>
      </c>
      <c r="B665" s="5">
        <v>45573</v>
      </c>
      <c r="C665" s="2" t="s">
        <v>1366</v>
      </c>
      <c r="D665" s="2" t="s">
        <v>53</v>
      </c>
      <c r="E665" s="2" t="s">
        <v>141</v>
      </c>
      <c r="F665" s="2" t="s">
        <v>103</v>
      </c>
      <c r="G665" s="2" t="s">
        <v>35</v>
      </c>
      <c r="H665" s="2">
        <v>31</v>
      </c>
      <c r="I665" s="7">
        <v>554.71</v>
      </c>
      <c r="J665" s="2">
        <v>0</v>
      </c>
      <c r="K665" s="7">
        <v>17196.009999999998</v>
      </c>
      <c r="L665" s="2" t="s">
        <v>2347</v>
      </c>
      <c r="M665" s="2" t="s">
        <v>2364</v>
      </c>
    </row>
    <row r="666" spans="1:13" x14ac:dyDescent="0.3">
      <c r="A666" s="2" t="s">
        <v>1409</v>
      </c>
      <c r="B666" s="5">
        <v>45715</v>
      </c>
      <c r="C666" s="2" t="s">
        <v>1410</v>
      </c>
      <c r="D666" s="2" t="s">
        <v>53</v>
      </c>
      <c r="E666" s="2" t="s">
        <v>134</v>
      </c>
      <c r="F666" s="2" t="s">
        <v>103</v>
      </c>
      <c r="G666" s="2" t="s">
        <v>35</v>
      </c>
      <c r="H666" s="2">
        <v>40</v>
      </c>
      <c r="I666" s="7">
        <v>434.3</v>
      </c>
      <c r="J666" s="2">
        <v>0</v>
      </c>
      <c r="K666" s="7">
        <v>17372</v>
      </c>
      <c r="L666" s="2" t="s">
        <v>2347</v>
      </c>
      <c r="M666" s="2" t="s">
        <v>2365</v>
      </c>
    </row>
    <row r="667" spans="1:13" x14ac:dyDescent="0.3">
      <c r="A667" s="2" t="s">
        <v>1524</v>
      </c>
      <c r="B667" s="5">
        <v>45941</v>
      </c>
      <c r="C667" s="2" t="s">
        <v>1525</v>
      </c>
      <c r="D667" s="2" t="s">
        <v>16</v>
      </c>
      <c r="E667" s="2" t="s">
        <v>17</v>
      </c>
      <c r="F667" s="2" t="s">
        <v>103</v>
      </c>
      <c r="G667" s="2" t="s">
        <v>35</v>
      </c>
      <c r="H667" s="2">
        <v>44</v>
      </c>
      <c r="I667" s="7">
        <v>400.86</v>
      </c>
      <c r="J667" s="2">
        <v>0</v>
      </c>
      <c r="K667" s="7">
        <v>17637.84</v>
      </c>
      <c r="L667" s="2" t="s">
        <v>27</v>
      </c>
      <c r="M667" s="2" t="s">
        <v>2364</v>
      </c>
    </row>
    <row r="668" spans="1:13" x14ac:dyDescent="0.3">
      <c r="A668" s="2" t="s">
        <v>162</v>
      </c>
      <c r="B668" s="5">
        <v>45751</v>
      </c>
      <c r="C668" s="2" t="s">
        <v>163</v>
      </c>
      <c r="D668" s="2" t="s">
        <v>46</v>
      </c>
      <c r="E668" s="2" t="s">
        <v>47</v>
      </c>
      <c r="F668" s="2" t="s">
        <v>103</v>
      </c>
      <c r="G668" s="2" t="s">
        <v>35</v>
      </c>
      <c r="H668" s="2">
        <v>40</v>
      </c>
      <c r="I668" s="7">
        <v>543.13</v>
      </c>
      <c r="J668" s="2">
        <v>15</v>
      </c>
      <c r="K668" s="7">
        <v>18466.419999999998</v>
      </c>
      <c r="L668" s="2" t="s">
        <v>49</v>
      </c>
      <c r="M668" s="2" t="s">
        <v>2364</v>
      </c>
    </row>
    <row r="669" spans="1:13" x14ac:dyDescent="0.3">
      <c r="A669" s="2" t="s">
        <v>658</v>
      </c>
      <c r="B669" s="5">
        <v>45928</v>
      </c>
      <c r="C669" s="2" t="s">
        <v>659</v>
      </c>
      <c r="D669" s="2" t="s">
        <v>53</v>
      </c>
      <c r="E669" s="2" t="s">
        <v>141</v>
      </c>
      <c r="F669" s="2" t="s">
        <v>103</v>
      </c>
      <c r="G669" s="2" t="s">
        <v>35</v>
      </c>
      <c r="H669" s="2">
        <v>42</v>
      </c>
      <c r="I669" s="7">
        <v>558.97</v>
      </c>
      <c r="J669" s="2">
        <v>15</v>
      </c>
      <c r="K669" s="7">
        <v>19955.23</v>
      </c>
      <c r="L669" s="2" t="s">
        <v>31</v>
      </c>
      <c r="M669" s="2" t="s">
        <v>2365</v>
      </c>
    </row>
    <row r="670" spans="1:13" x14ac:dyDescent="0.3">
      <c r="A670" s="2" t="s">
        <v>1636</v>
      </c>
      <c r="B670" s="5">
        <v>45952</v>
      </c>
      <c r="C670" s="2" t="s">
        <v>1637</v>
      </c>
      <c r="D670" s="2" t="s">
        <v>16</v>
      </c>
      <c r="E670" s="2" t="s">
        <v>91</v>
      </c>
      <c r="F670" s="2" t="s">
        <v>103</v>
      </c>
      <c r="G670" s="2" t="s">
        <v>35</v>
      </c>
      <c r="H670" s="2">
        <v>48</v>
      </c>
      <c r="I670" s="7">
        <v>525.29</v>
      </c>
      <c r="J670" s="2">
        <v>15</v>
      </c>
      <c r="K670" s="7">
        <v>21431.83</v>
      </c>
      <c r="L670" s="2" t="s">
        <v>27</v>
      </c>
      <c r="M670" s="2" t="s">
        <v>2365</v>
      </c>
    </row>
    <row r="671" spans="1:13" x14ac:dyDescent="0.3">
      <c r="A671" s="2" t="s">
        <v>2249</v>
      </c>
      <c r="B671" s="5">
        <v>46212</v>
      </c>
      <c r="C671" s="2" t="s">
        <v>2250</v>
      </c>
      <c r="D671" s="2" t="s">
        <v>53</v>
      </c>
      <c r="E671" s="2" t="s">
        <v>170</v>
      </c>
      <c r="F671" s="2" t="s">
        <v>103</v>
      </c>
      <c r="G671" s="2" t="s">
        <v>35</v>
      </c>
      <c r="H671" s="2">
        <v>50</v>
      </c>
      <c r="I671" s="7">
        <v>456.14</v>
      </c>
      <c r="J671" s="2">
        <v>0</v>
      </c>
      <c r="K671" s="7">
        <v>22807</v>
      </c>
      <c r="L671" s="2" t="s">
        <v>2347</v>
      </c>
      <c r="M671" s="2" t="s">
        <v>2364</v>
      </c>
    </row>
    <row r="672" spans="1:13" x14ac:dyDescent="0.3">
      <c r="A672" s="2" t="s">
        <v>1116</v>
      </c>
      <c r="B672" s="5">
        <v>45913</v>
      </c>
      <c r="C672" s="2" t="s">
        <v>1117</v>
      </c>
      <c r="D672" s="2" t="s">
        <v>16</v>
      </c>
      <c r="E672" s="2" t="s">
        <v>74</v>
      </c>
      <c r="F672" s="2" t="s">
        <v>103</v>
      </c>
      <c r="G672" s="2" t="s">
        <v>35</v>
      </c>
      <c r="H672" s="2">
        <v>46</v>
      </c>
      <c r="I672" s="7">
        <v>515.29</v>
      </c>
      <c r="J672" s="2">
        <v>0</v>
      </c>
      <c r="K672" s="7">
        <v>23703.34</v>
      </c>
      <c r="L672" s="2" t="s">
        <v>31</v>
      </c>
      <c r="M672" s="2" t="s">
        <v>2364</v>
      </c>
    </row>
    <row r="673" spans="1:13" x14ac:dyDescent="0.3">
      <c r="A673" s="2" t="s">
        <v>694</v>
      </c>
      <c r="B673" s="5">
        <v>45732</v>
      </c>
      <c r="C673" s="2" t="s">
        <v>695</v>
      </c>
      <c r="D673" s="2" t="s">
        <v>53</v>
      </c>
      <c r="E673" s="2" t="s">
        <v>54</v>
      </c>
      <c r="F673" s="2" t="s">
        <v>103</v>
      </c>
      <c r="G673" s="2" t="s">
        <v>35</v>
      </c>
      <c r="H673" s="2">
        <v>47</v>
      </c>
      <c r="I673" s="7">
        <v>581.71</v>
      </c>
      <c r="J673" s="2">
        <v>5</v>
      </c>
      <c r="K673" s="7">
        <v>25973.35</v>
      </c>
      <c r="L673" s="2" t="s">
        <v>27</v>
      </c>
      <c r="M673" s="2" t="s">
        <v>2365</v>
      </c>
    </row>
    <row r="674" spans="1:13" x14ac:dyDescent="0.3">
      <c r="A674" s="2" t="s">
        <v>1605</v>
      </c>
      <c r="B674" s="5">
        <v>45850</v>
      </c>
      <c r="C674" s="2" t="s">
        <v>1606</v>
      </c>
      <c r="D674" s="2" t="s">
        <v>24</v>
      </c>
      <c r="E674" s="2" t="s">
        <v>25</v>
      </c>
      <c r="F674" s="2" t="s">
        <v>103</v>
      </c>
      <c r="G674" s="2" t="s">
        <v>35</v>
      </c>
      <c r="H674" s="2">
        <v>47</v>
      </c>
      <c r="I674" s="7">
        <v>580.49</v>
      </c>
      <c r="J674" s="2">
        <v>0</v>
      </c>
      <c r="K674" s="7">
        <v>27283.03</v>
      </c>
      <c r="L674" s="2" t="s">
        <v>69</v>
      </c>
      <c r="M674" s="2" t="s">
        <v>2365</v>
      </c>
    </row>
    <row r="675" spans="1:13" x14ac:dyDescent="0.3">
      <c r="A675" s="2" t="s">
        <v>2139</v>
      </c>
      <c r="B675" s="5">
        <v>46065</v>
      </c>
      <c r="C675" s="2" t="s">
        <v>2140</v>
      </c>
      <c r="D675" s="2" t="s">
        <v>16</v>
      </c>
      <c r="E675" s="2" t="s">
        <v>111</v>
      </c>
      <c r="F675" s="2" t="s">
        <v>72</v>
      </c>
      <c r="G675" s="2" t="s">
        <v>73</v>
      </c>
      <c r="H675" s="2">
        <v>2</v>
      </c>
      <c r="I675" s="7">
        <v>171.06</v>
      </c>
      <c r="J675" s="2">
        <v>10</v>
      </c>
      <c r="K675" s="7">
        <v>307.91000000000003</v>
      </c>
      <c r="L675" s="2" t="s">
        <v>49</v>
      </c>
      <c r="M675" s="2" t="s">
        <v>2364</v>
      </c>
    </row>
    <row r="676" spans="1:13" x14ac:dyDescent="0.3">
      <c r="A676" s="2" t="s">
        <v>2186</v>
      </c>
      <c r="B676" s="5">
        <v>45913</v>
      </c>
      <c r="C676" s="2" t="s">
        <v>130</v>
      </c>
      <c r="D676" s="2" t="s">
        <v>24</v>
      </c>
      <c r="E676" s="2" t="s">
        <v>25</v>
      </c>
      <c r="F676" s="2" t="s">
        <v>72</v>
      </c>
      <c r="G676" s="2" t="s">
        <v>73</v>
      </c>
      <c r="H676" s="2">
        <v>2</v>
      </c>
      <c r="I676" s="7">
        <v>163.56</v>
      </c>
      <c r="J676" s="2">
        <v>5</v>
      </c>
      <c r="K676" s="7">
        <v>310.76</v>
      </c>
      <c r="L676" s="2" t="s">
        <v>49</v>
      </c>
      <c r="M676" s="2" t="s">
        <v>2365</v>
      </c>
    </row>
    <row r="677" spans="1:13" x14ac:dyDescent="0.3">
      <c r="A677" s="2" t="s">
        <v>1922</v>
      </c>
      <c r="B677" s="5">
        <v>46263</v>
      </c>
      <c r="C677" s="2" t="s">
        <v>247</v>
      </c>
      <c r="D677" s="2" t="s">
        <v>46</v>
      </c>
      <c r="E677" s="2" t="s">
        <v>78</v>
      </c>
      <c r="F677" s="2" t="s">
        <v>72</v>
      </c>
      <c r="G677" s="2" t="s">
        <v>73</v>
      </c>
      <c r="H677" s="2">
        <v>3</v>
      </c>
      <c r="I677" s="7">
        <v>198.2</v>
      </c>
      <c r="J677" s="2">
        <v>5</v>
      </c>
      <c r="K677" s="7">
        <v>564.87</v>
      </c>
      <c r="L677" s="2" t="s">
        <v>2347</v>
      </c>
      <c r="M677" s="2" t="s">
        <v>2364</v>
      </c>
    </row>
    <row r="678" spans="1:13" x14ac:dyDescent="0.3">
      <c r="A678" s="2" t="s">
        <v>1461</v>
      </c>
      <c r="B678" s="5">
        <v>45829</v>
      </c>
      <c r="C678" s="2" t="s">
        <v>1462</v>
      </c>
      <c r="D678" s="2" t="s">
        <v>24</v>
      </c>
      <c r="E678" s="2" t="s">
        <v>104</v>
      </c>
      <c r="F678" s="2" t="s">
        <v>72</v>
      </c>
      <c r="G678" s="2" t="s">
        <v>73</v>
      </c>
      <c r="H678" s="2">
        <v>4</v>
      </c>
      <c r="I678" s="7">
        <v>238.23</v>
      </c>
      <c r="J678" s="2">
        <v>5</v>
      </c>
      <c r="K678" s="7">
        <v>905.27</v>
      </c>
      <c r="L678" s="2" t="s">
        <v>69</v>
      </c>
      <c r="M678" s="2" t="s">
        <v>2364</v>
      </c>
    </row>
    <row r="679" spans="1:13" x14ac:dyDescent="0.3">
      <c r="A679" s="2" t="s">
        <v>1090</v>
      </c>
      <c r="B679" s="5">
        <v>46179</v>
      </c>
      <c r="C679" s="2" t="s">
        <v>1091</v>
      </c>
      <c r="D679" s="2" t="s">
        <v>24</v>
      </c>
      <c r="E679" s="2" t="s">
        <v>59</v>
      </c>
      <c r="F679" s="2" t="s">
        <v>72</v>
      </c>
      <c r="G679" s="2" t="s">
        <v>73</v>
      </c>
      <c r="H679" s="2">
        <v>2</v>
      </c>
      <c r="I679" s="7">
        <v>495.85</v>
      </c>
      <c r="J679" s="2">
        <v>0</v>
      </c>
      <c r="K679" s="7">
        <v>991.7</v>
      </c>
      <c r="L679" s="2" t="s">
        <v>31</v>
      </c>
      <c r="M679" s="2" t="s">
        <v>2364</v>
      </c>
    </row>
    <row r="680" spans="1:13" x14ac:dyDescent="0.3">
      <c r="A680" s="2" t="s">
        <v>538</v>
      </c>
      <c r="B680" s="5">
        <v>45685</v>
      </c>
      <c r="C680" s="2" t="s">
        <v>539</v>
      </c>
      <c r="D680" s="2" t="s">
        <v>53</v>
      </c>
      <c r="E680" s="2" t="s">
        <v>141</v>
      </c>
      <c r="F680" s="2" t="s">
        <v>72</v>
      </c>
      <c r="G680" s="2" t="s">
        <v>73</v>
      </c>
      <c r="H680" s="2">
        <v>3</v>
      </c>
      <c r="I680" s="7">
        <v>454.14</v>
      </c>
      <c r="J680" s="2">
        <v>20</v>
      </c>
      <c r="K680" s="7">
        <v>1089.94</v>
      </c>
      <c r="L680" s="2" t="s">
        <v>31</v>
      </c>
      <c r="M680" s="2" t="s">
        <v>2365</v>
      </c>
    </row>
    <row r="681" spans="1:13" x14ac:dyDescent="0.3">
      <c r="A681" s="2" t="s">
        <v>1973</v>
      </c>
      <c r="B681" s="5">
        <v>45916</v>
      </c>
      <c r="C681" s="2" t="s">
        <v>98</v>
      </c>
      <c r="D681" s="2" t="s">
        <v>16</v>
      </c>
      <c r="E681" s="2" t="s">
        <v>91</v>
      </c>
      <c r="F681" s="2" t="s">
        <v>72</v>
      </c>
      <c r="G681" s="2" t="s">
        <v>73</v>
      </c>
      <c r="H681" s="2">
        <v>7</v>
      </c>
      <c r="I681" s="7">
        <v>170.62</v>
      </c>
      <c r="J681" s="2">
        <v>5</v>
      </c>
      <c r="K681" s="7">
        <v>1134.6199999999999</v>
      </c>
      <c r="L681" s="2" t="s">
        <v>2347</v>
      </c>
      <c r="M681" s="2" t="s">
        <v>2365</v>
      </c>
    </row>
    <row r="682" spans="1:13" x14ac:dyDescent="0.3">
      <c r="A682" s="2" t="s">
        <v>70</v>
      </c>
      <c r="B682" s="5">
        <v>46194</v>
      </c>
      <c r="C682" s="2" t="s">
        <v>71</v>
      </c>
      <c r="D682" s="2" t="s">
        <v>16</v>
      </c>
      <c r="E682" s="2" t="s">
        <v>74</v>
      </c>
      <c r="F682" s="2" t="s">
        <v>72</v>
      </c>
      <c r="G682" s="2" t="s">
        <v>73</v>
      </c>
      <c r="H682" s="2">
        <v>4</v>
      </c>
      <c r="I682" s="7">
        <v>327.74</v>
      </c>
      <c r="J682" s="2">
        <v>10</v>
      </c>
      <c r="K682" s="7">
        <v>1179.8599999999999</v>
      </c>
      <c r="L682" s="2" t="s">
        <v>49</v>
      </c>
      <c r="M682" s="2" t="s">
        <v>2364</v>
      </c>
    </row>
    <row r="683" spans="1:13" x14ac:dyDescent="0.3">
      <c r="A683" s="2" t="s">
        <v>1672</v>
      </c>
      <c r="B683" s="5">
        <v>45779</v>
      </c>
      <c r="C683" s="2" t="s">
        <v>949</v>
      </c>
      <c r="D683" s="2" t="s">
        <v>46</v>
      </c>
      <c r="E683" s="2" t="s">
        <v>83</v>
      </c>
      <c r="F683" s="2" t="s">
        <v>72</v>
      </c>
      <c r="G683" s="2" t="s">
        <v>73</v>
      </c>
      <c r="H683" s="2">
        <v>6</v>
      </c>
      <c r="I683" s="7">
        <v>276.25</v>
      </c>
      <c r="J683" s="2">
        <v>15</v>
      </c>
      <c r="K683" s="7">
        <v>1408.88</v>
      </c>
      <c r="L683" s="2" t="s">
        <v>27</v>
      </c>
      <c r="M683" s="2" t="s">
        <v>2364</v>
      </c>
    </row>
    <row r="684" spans="1:13" x14ac:dyDescent="0.3">
      <c r="A684" s="2" t="s">
        <v>1342</v>
      </c>
      <c r="B684" s="5">
        <v>45657</v>
      </c>
      <c r="C684" s="2" t="s">
        <v>1343</v>
      </c>
      <c r="D684" s="2" t="s">
        <v>24</v>
      </c>
      <c r="E684" s="2" t="s">
        <v>41</v>
      </c>
      <c r="F684" s="2" t="s">
        <v>72</v>
      </c>
      <c r="G684" s="2" t="s">
        <v>73</v>
      </c>
      <c r="H684" s="2">
        <v>7</v>
      </c>
      <c r="I684" s="7">
        <v>225.47</v>
      </c>
      <c r="J684" s="2">
        <v>10</v>
      </c>
      <c r="K684" s="7">
        <v>1420.46</v>
      </c>
      <c r="L684" s="2" t="s">
        <v>27</v>
      </c>
      <c r="M684" s="2" t="s">
        <v>2364</v>
      </c>
    </row>
    <row r="685" spans="1:13" x14ac:dyDescent="0.3">
      <c r="A685" s="2" t="s">
        <v>1589</v>
      </c>
      <c r="B685" s="5">
        <v>45592</v>
      </c>
      <c r="C685" s="2" t="s">
        <v>1259</v>
      </c>
      <c r="D685" s="2" t="s">
        <v>53</v>
      </c>
      <c r="E685" s="2" t="s">
        <v>67</v>
      </c>
      <c r="F685" s="2" t="s">
        <v>72</v>
      </c>
      <c r="G685" s="2" t="s">
        <v>73</v>
      </c>
      <c r="H685" s="2">
        <v>8</v>
      </c>
      <c r="I685" s="7">
        <v>200.64</v>
      </c>
      <c r="J685" s="2">
        <v>0</v>
      </c>
      <c r="K685" s="7">
        <v>1605.12</v>
      </c>
      <c r="L685" s="2" t="s">
        <v>49</v>
      </c>
      <c r="M685" s="2" t="s">
        <v>2365</v>
      </c>
    </row>
    <row r="686" spans="1:13" x14ac:dyDescent="0.3">
      <c r="A686" s="2" t="s">
        <v>871</v>
      </c>
      <c r="B686" s="5">
        <v>46038</v>
      </c>
      <c r="C686" s="2" t="s">
        <v>872</v>
      </c>
      <c r="D686" s="2" t="s">
        <v>24</v>
      </c>
      <c r="E686" s="2" t="s">
        <v>104</v>
      </c>
      <c r="F686" s="2" t="s">
        <v>72</v>
      </c>
      <c r="G686" s="2" t="s">
        <v>73</v>
      </c>
      <c r="H686" s="2">
        <v>4</v>
      </c>
      <c r="I686" s="7">
        <v>406.94</v>
      </c>
      <c r="J686" s="2">
        <v>0</v>
      </c>
      <c r="K686" s="7">
        <v>1627.76</v>
      </c>
      <c r="L686" s="2" t="s">
        <v>2347</v>
      </c>
      <c r="M686" s="2" t="s">
        <v>2364</v>
      </c>
    </row>
    <row r="687" spans="1:13" x14ac:dyDescent="0.3">
      <c r="A687" s="2" t="s">
        <v>1900</v>
      </c>
      <c r="B687" s="5">
        <v>45631</v>
      </c>
      <c r="C687" s="2" t="s">
        <v>1901</v>
      </c>
      <c r="D687" s="2" t="s">
        <v>16</v>
      </c>
      <c r="E687" s="2" t="s">
        <v>160</v>
      </c>
      <c r="F687" s="2" t="s">
        <v>72</v>
      </c>
      <c r="G687" s="2" t="s">
        <v>73</v>
      </c>
      <c r="H687" s="2">
        <v>4</v>
      </c>
      <c r="I687" s="7">
        <v>449.14</v>
      </c>
      <c r="J687" s="2">
        <v>0</v>
      </c>
      <c r="K687" s="7">
        <v>1796.56</v>
      </c>
      <c r="L687" s="2" t="s">
        <v>69</v>
      </c>
      <c r="M687" s="2" t="s">
        <v>2364</v>
      </c>
    </row>
    <row r="688" spans="1:13" x14ac:dyDescent="0.3">
      <c r="A688" s="2" t="s">
        <v>1868</v>
      </c>
      <c r="B688" s="5">
        <v>45846</v>
      </c>
      <c r="C688" s="2" t="s">
        <v>1162</v>
      </c>
      <c r="D688" s="2" t="s">
        <v>46</v>
      </c>
      <c r="E688" s="2" t="s">
        <v>83</v>
      </c>
      <c r="F688" s="2" t="s">
        <v>72</v>
      </c>
      <c r="G688" s="2" t="s">
        <v>73</v>
      </c>
      <c r="H688" s="2">
        <v>5</v>
      </c>
      <c r="I688" s="7">
        <v>434.15</v>
      </c>
      <c r="J688" s="2">
        <v>15</v>
      </c>
      <c r="K688" s="7">
        <v>1845.14</v>
      </c>
      <c r="L688" s="2" t="s">
        <v>27</v>
      </c>
      <c r="M688" s="2" t="s">
        <v>2364</v>
      </c>
    </row>
    <row r="689" spans="1:13" x14ac:dyDescent="0.3">
      <c r="A689" s="2" t="s">
        <v>1365</v>
      </c>
      <c r="B689" s="5">
        <v>46017</v>
      </c>
      <c r="C689" s="2" t="s">
        <v>1366</v>
      </c>
      <c r="D689" s="2" t="s">
        <v>53</v>
      </c>
      <c r="E689" s="2" t="s">
        <v>134</v>
      </c>
      <c r="F689" s="2" t="s">
        <v>72</v>
      </c>
      <c r="G689" s="2" t="s">
        <v>73</v>
      </c>
      <c r="H689" s="2">
        <v>9</v>
      </c>
      <c r="I689" s="7">
        <v>227.8</v>
      </c>
      <c r="J689" s="2">
        <v>10</v>
      </c>
      <c r="K689" s="7">
        <v>1845.18</v>
      </c>
      <c r="L689" s="2" t="s">
        <v>27</v>
      </c>
      <c r="M689" s="2" t="s">
        <v>2364</v>
      </c>
    </row>
    <row r="690" spans="1:13" x14ac:dyDescent="0.3">
      <c r="A690" s="2" t="s">
        <v>1625</v>
      </c>
      <c r="B690" s="5">
        <v>46293</v>
      </c>
      <c r="C690" s="2" t="s">
        <v>1626</v>
      </c>
      <c r="D690" s="2" t="s">
        <v>24</v>
      </c>
      <c r="E690" s="2" t="s">
        <v>25</v>
      </c>
      <c r="F690" s="2" t="s">
        <v>72</v>
      </c>
      <c r="G690" s="2" t="s">
        <v>73</v>
      </c>
      <c r="H690" s="2">
        <v>11</v>
      </c>
      <c r="I690" s="7">
        <v>185.84</v>
      </c>
      <c r="J690" s="2">
        <v>0</v>
      </c>
      <c r="K690" s="7">
        <v>2044.24</v>
      </c>
      <c r="L690" s="2" t="s">
        <v>27</v>
      </c>
      <c r="M690" s="2" t="s">
        <v>2364</v>
      </c>
    </row>
    <row r="691" spans="1:13" x14ac:dyDescent="0.3">
      <c r="A691" s="2" t="s">
        <v>1734</v>
      </c>
      <c r="B691" s="5">
        <v>46163</v>
      </c>
      <c r="C691" s="2" t="s">
        <v>1735</v>
      </c>
      <c r="D691" s="2" t="s">
        <v>16</v>
      </c>
      <c r="E691" s="2" t="s">
        <v>160</v>
      </c>
      <c r="F691" s="2" t="s">
        <v>72</v>
      </c>
      <c r="G691" s="2" t="s">
        <v>73</v>
      </c>
      <c r="H691" s="2">
        <v>5</v>
      </c>
      <c r="I691" s="7">
        <v>447.85</v>
      </c>
      <c r="J691" s="2">
        <v>0</v>
      </c>
      <c r="K691" s="7">
        <v>2239.25</v>
      </c>
      <c r="L691" s="2" t="s">
        <v>49</v>
      </c>
      <c r="M691" s="2" t="s">
        <v>2364</v>
      </c>
    </row>
    <row r="692" spans="1:13" x14ac:dyDescent="0.3">
      <c r="A692" s="2" t="s">
        <v>453</v>
      </c>
      <c r="B692" s="5">
        <v>45794</v>
      </c>
      <c r="C692" s="2" t="s">
        <v>454</v>
      </c>
      <c r="D692" s="2" t="s">
        <v>46</v>
      </c>
      <c r="E692" s="2" t="s">
        <v>124</v>
      </c>
      <c r="F692" s="2" t="s">
        <v>72</v>
      </c>
      <c r="G692" s="2" t="s">
        <v>73</v>
      </c>
      <c r="H692" s="2">
        <v>5</v>
      </c>
      <c r="I692" s="7">
        <v>499.57</v>
      </c>
      <c r="J692" s="2">
        <v>10</v>
      </c>
      <c r="K692" s="7">
        <v>2248.0700000000002</v>
      </c>
      <c r="L692" s="2" t="s">
        <v>49</v>
      </c>
      <c r="M692" s="2" t="s">
        <v>2364</v>
      </c>
    </row>
    <row r="693" spans="1:13" x14ac:dyDescent="0.3">
      <c r="A693" s="2" t="s">
        <v>1431</v>
      </c>
      <c r="B693" s="5">
        <v>45661</v>
      </c>
      <c r="C693" s="2" t="s">
        <v>1432</v>
      </c>
      <c r="D693" s="2" t="s">
        <v>24</v>
      </c>
      <c r="E693" s="2" t="s">
        <v>36</v>
      </c>
      <c r="F693" s="2" t="s">
        <v>72</v>
      </c>
      <c r="G693" s="2" t="s">
        <v>73</v>
      </c>
      <c r="H693" s="2">
        <v>13</v>
      </c>
      <c r="I693" s="7">
        <v>212.69</v>
      </c>
      <c r="J693" s="2">
        <v>5</v>
      </c>
      <c r="K693" s="7">
        <v>2626.72</v>
      </c>
      <c r="L693" s="2" t="s">
        <v>49</v>
      </c>
      <c r="M693" s="2" t="s">
        <v>2364</v>
      </c>
    </row>
    <row r="694" spans="1:13" x14ac:dyDescent="0.3">
      <c r="A694" s="2" t="s">
        <v>2231</v>
      </c>
      <c r="B694" s="5">
        <v>45709</v>
      </c>
      <c r="C694" s="2" t="s">
        <v>2232</v>
      </c>
      <c r="D694" s="2" t="s">
        <v>53</v>
      </c>
      <c r="E694" s="2" t="s">
        <v>141</v>
      </c>
      <c r="F694" s="2" t="s">
        <v>72</v>
      </c>
      <c r="G694" s="2" t="s">
        <v>73</v>
      </c>
      <c r="H694" s="2">
        <v>18</v>
      </c>
      <c r="I694" s="7">
        <v>166.02</v>
      </c>
      <c r="J694" s="2">
        <v>5</v>
      </c>
      <c r="K694" s="7">
        <v>2838.94</v>
      </c>
      <c r="L694" s="2" t="s">
        <v>2347</v>
      </c>
      <c r="M694" s="2" t="s">
        <v>2365</v>
      </c>
    </row>
    <row r="695" spans="1:13" x14ac:dyDescent="0.3">
      <c r="A695" s="2" t="s">
        <v>1540</v>
      </c>
      <c r="B695" s="5">
        <v>46217</v>
      </c>
      <c r="C695" s="2" t="s">
        <v>1541</v>
      </c>
      <c r="D695" s="2" t="s">
        <v>46</v>
      </c>
      <c r="E695" s="2" t="s">
        <v>47</v>
      </c>
      <c r="F695" s="2" t="s">
        <v>72</v>
      </c>
      <c r="G695" s="2" t="s">
        <v>73</v>
      </c>
      <c r="H695" s="2">
        <v>22</v>
      </c>
      <c r="I695" s="7">
        <v>199.82</v>
      </c>
      <c r="J695" s="2">
        <v>15</v>
      </c>
      <c r="K695" s="7">
        <v>3736.63</v>
      </c>
      <c r="L695" s="2" t="s">
        <v>49</v>
      </c>
      <c r="M695" s="2" t="s">
        <v>2365</v>
      </c>
    </row>
    <row r="696" spans="1:13" x14ac:dyDescent="0.3">
      <c r="A696" s="2" t="s">
        <v>2326</v>
      </c>
      <c r="B696" s="5">
        <v>45835</v>
      </c>
      <c r="C696" s="2" t="s">
        <v>2327</v>
      </c>
      <c r="D696" s="2" t="s">
        <v>16</v>
      </c>
      <c r="E696" s="2" t="s">
        <v>160</v>
      </c>
      <c r="F696" s="2" t="s">
        <v>72</v>
      </c>
      <c r="G696" s="2" t="s">
        <v>73</v>
      </c>
      <c r="H696" s="2">
        <v>15</v>
      </c>
      <c r="I696" s="7">
        <v>254.15</v>
      </c>
      <c r="J696" s="2">
        <v>0</v>
      </c>
      <c r="K696" s="7">
        <v>3812.25</v>
      </c>
      <c r="L696" s="2" t="s">
        <v>27</v>
      </c>
      <c r="M696" s="2" t="s">
        <v>2364</v>
      </c>
    </row>
    <row r="697" spans="1:13" x14ac:dyDescent="0.3">
      <c r="A697" s="2" t="s">
        <v>774</v>
      </c>
      <c r="B697" s="5">
        <v>46051</v>
      </c>
      <c r="C697" s="2" t="s">
        <v>775</v>
      </c>
      <c r="D697" s="2" t="s">
        <v>24</v>
      </c>
      <c r="E697" s="2" t="s">
        <v>59</v>
      </c>
      <c r="F697" s="2" t="s">
        <v>72</v>
      </c>
      <c r="G697" s="2" t="s">
        <v>73</v>
      </c>
      <c r="H697" s="2">
        <v>13</v>
      </c>
      <c r="I697" s="7">
        <v>348.28</v>
      </c>
      <c r="J697" s="2">
        <v>10</v>
      </c>
      <c r="K697" s="7">
        <v>4074.88</v>
      </c>
      <c r="L697" s="2" t="s">
        <v>27</v>
      </c>
      <c r="M697" s="2" t="s">
        <v>2365</v>
      </c>
    </row>
    <row r="698" spans="1:13" x14ac:dyDescent="0.3">
      <c r="A698" s="2" t="s">
        <v>1376</v>
      </c>
      <c r="B698" s="5">
        <v>46066</v>
      </c>
      <c r="C698" s="2" t="s">
        <v>1377</v>
      </c>
      <c r="D698" s="2" t="s">
        <v>24</v>
      </c>
      <c r="E698" s="2" t="s">
        <v>104</v>
      </c>
      <c r="F698" s="2" t="s">
        <v>72</v>
      </c>
      <c r="G698" s="2" t="s">
        <v>73</v>
      </c>
      <c r="H698" s="2">
        <v>32</v>
      </c>
      <c r="I698" s="7">
        <v>151.53</v>
      </c>
      <c r="J698" s="2">
        <v>10</v>
      </c>
      <c r="K698" s="7">
        <v>4364.0600000000004</v>
      </c>
      <c r="L698" s="2" t="s">
        <v>49</v>
      </c>
      <c r="M698" s="2" t="s">
        <v>2364</v>
      </c>
    </row>
    <row r="699" spans="1:13" x14ac:dyDescent="0.3">
      <c r="A699" s="2" t="s">
        <v>255</v>
      </c>
      <c r="B699" s="5">
        <v>45685</v>
      </c>
      <c r="C699" s="2" t="s">
        <v>256</v>
      </c>
      <c r="D699" s="2" t="s">
        <v>46</v>
      </c>
      <c r="E699" s="2" t="s">
        <v>83</v>
      </c>
      <c r="F699" s="2" t="s">
        <v>72</v>
      </c>
      <c r="G699" s="2" t="s">
        <v>73</v>
      </c>
      <c r="H699" s="2">
        <v>17</v>
      </c>
      <c r="I699" s="7">
        <v>308.45</v>
      </c>
      <c r="J699" s="2">
        <v>15</v>
      </c>
      <c r="K699" s="7">
        <v>4457.1000000000004</v>
      </c>
      <c r="L699" s="2" t="s">
        <v>49</v>
      </c>
      <c r="M699" s="2" t="s">
        <v>2364</v>
      </c>
    </row>
    <row r="700" spans="1:13" x14ac:dyDescent="0.3">
      <c r="A700" s="2" t="s">
        <v>1520</v>
      </c>
      <c r="B700" s="5">
        <v>45850</v>
      </c>
      <c r="C700" s="2" t="s">
        <v>656</v>
      </c>
      <c r="D700" s="2" t="s">
        <v>16</v>
      </c>
      <c r="E700" s="2" t="s">
        <v>160</v>
      </c>
      <c r="F700" s="2" t="s">
        <v>72</v>
      </c>
      <c r="G700" s="2" t="s">
        <v>73</v>
      </c>
      <c r="H700" s="2">
        <v>13</v>
      </c>
      <c r="I700" s="7">
        <v>446.19</v>
      </c>
      <c r="J700" s="2">
        <v>20</v>
      </c>
      <c r="K700" s="7">
        <v>4640.38</v>
      </c>
      <c r="L700" s="2" t="s">
        <v>31</v>
      </c>
      <c r="M700" s="2" t="s">
        <v>2364</v>
      </c>
    </row>
    <row r="701" spans="1:13" x14ac:dyDescent="0.3">
      <c r="A701" s="2" t="s">
        <v>1002</v>
      </c>
      <c r="B701" s="5">
        <v>46085</v>
      </c>
      <c r="C701" s="2" t="s">
        <v>1003</v>
      </c>
      <c r="D701" s="2" t="s">
        <v>16</v>
      </c>
      <c r="E701" s="2" t="s">
        <v>17</v>
      </c>
      <c r="F701" s="2" t="s">
        <v>72</v>
      </c>
      <c r="G701" s="2" t="s">
        <v>73</v>
      </c>
      <c r="H701" s="2">
        <v>13</v>
      </c>
      <c r="I701" s="7">
        <v>455.41</v>
      </c>
      <c r="J701" s="2">
        <v>15</v>
      </c>
      <c r="K701" s="7">
        <v>5032.28</v>
      </c>
      <c r="L701" s="2" t="s">
        <v>31</v>
      </c>
      <c r="M701" s="2" t="s">
        <v>2364</v>
      </c>
    </row>
    <row r="702" spans="1:13" x14ac:dyDescent="0.3">
      <c r="A702" s="2" t="s">
        <v>2035</v>
      </c>
      <c r="B702" s="5">
        <v>45777</v>
      </c>
      <c r="C702" s="2" t="s">
        <v>2036</v>
      </c>
      <c r="D702" s="2" t="s">
        <v>16</v>
      </c>
      <c r="E702" s="2" t="s">
        <v>111</v>
      </c>
      <c r="F702" s="2" t="s">
        <v>72</v>
      </c>
      <c r="G702" s="2" t="s">
        <v>73</v>
      </c>
      <c r="H702" s="2">
        <v>38</v>
      </c>
      <c r="I702" s="7">
        <v>167.52</v>
      </c>
      <c r="J702" s="2">
        <v>20</v>
      </c>
      <c r="K702" s="7">
        <v>5092.6099999999997</v>
      </c>
      <c r="L702" s="2" t="s">
        <v>31</v>
      </c>
      <c r="M702" s="2" t="s">
        <v>2364</v>
      </c>
    </row>
    <row r="703" spans="1:13" x14ac:dyDescent="0.3">
      <c r="A703" s="2" t="s">
        <v>1876</v>
      </c>
      <c r="B703" s="5">
        <v>46036</v>
      </c>
      <c r="C703" s="2" t="s">
        <v>1877</v>
      </c>
      <c r="D703" s="2" t="s">
        <v>24</v>
      </c>
      <c r="E703" s="2" t="s">
        <v>36</v>
      </c>
      <c r="F703" s="2" t="s">
        <v>72</v>
      </c>
      <c r="G703" s="2" t="s">
        <v>73</v>
      </c>
      <c r="H703" s="2">
        <v>28</v>
      </c>
      <c r="I703" s="7">
        <v>213.45</v>
      </c>
      <c r="J703" s="2">
        <v>10</v>
      </c>
      <c r="K703" s="7">
        <v>5378.94</v>
      </c>
      <c r="L703" s="2" t="s">
        <v>69</v>
      </c>
      <c r="M703" s="2" t="s">
        <v>2364</v>
      </c>
    </row>
    <row r="704" spans="1:13" x14ac:dyDescent="0.3">
      <c r="A704" s="2" t="s">
        <v>704</v>
      </c>
      <c r="B704" s="5">
        <v>46169</v>
      </c>
      <c r="C704" s="2" t="s">
        <v>705</v>
      </c>
      <c r="D704" s="2" t="s">
        <v>24</v>
      </c>
      <c r="E704" s="2" t="s">
        <v>41</v>
      </c>
      <c r="F704" s="2" t="s">
        <v>72</v>
      </c>
      <c r="G704" s="2" t="s">
        <v>73</v>
      </c>
      <c r="H704" s="2">
        <v>27</v>
      </c>
      <c r="I704" s="7">
        <v>220.68</v>
      </c>
      <c r="J704" s="2">
        <v>5</v>
      </c>
      <c r="K704" s="7">
        <v>5660.44</v>
      </c>
      <c r="L704" s="2" t="s">
        <v>31</v>
      </c>
      <c r="M704" s="2" t="s">
        <v>2364</v>
      </c>
    </row>
    <row r="705" spans="1:13" x14ac:dyDescent="0.3">
      <c r="A705" s="2" t="s">
        <v>788</v>
      </c>
      <c r="B705" s="5">
        <v>46196</v>
      </c>
      <c r="C705" s="2" t="s">
        <v>789</v>
      </c>
      <c r="D705" s="2" t="s">
        <v>53</v>
      </c>
      <c r="E705" s="2" t="s">
        <v>54</v>
      </c>
      <c r="F705" s="2" t="s">
        <v>72</v>
      </c>
      <c r="G705" s="2" t="s">
        <v>73</v>
      </c>
      <c r="H705" s="2">
        <v>17</v>
      </c>
      <c r="I705" s="7">
        <v>361.05</v>
      </c>
      <c r="J705" s="2">
        <v>5</v>
      </c>
      <c r="K705" s="7">
        <v>5830.96</v>
      </c>
      <c r="L705" s="2" t="s">
        <v>49</v>
      </c>
      <c r="M705" s="2" t="s">
        <v>2364</v>
      </c>
    </row>
    <row r="706" spans="1:13" x14ac:dyDescent="0.3">
      <c r="A706" s="2" t="s">
        <v>588</v>
      </c>
      <c r="B706" s="5">
        <v>45920</v>
      </c>
      <c r="C706" s="2" t="s">
        <v>589</v>
      </c>
      <c r="D706" s="2" t="s">
        <v>16</v>
      </c>
      <c r="E706" s="2" t="s">
        <v>160</v>
      </c>
      <c r="F706" s="2" t="s">
        <v>72</v>
      </c>
      <c r="G706" s="2" t="s">
        <v>73</v>
      </c>
      <c r="H706" s="2">
        <v>15</v>
      </c>
      <c r="I706" s="7">
        <v>422.43</v>
      </c>
      <c r="J706" s="2">
        <v>5</v>
      </c>
      <c r="K706" s="7">
        <v>6019.63</v>
      </c>
      <c r="L706" s="2" t="s">
        <v>69</v>
      </c>
      <c r="M706" s="2" t="s">
        <v>2364</v>
      </c>
    </row>
    <row r="707" spans="1:13" x14ac:dyDescent="0.3">
      <c r="A707" s="2" t="s">
        <v>1609</v>
      </c>
      <c r="B707" s="5">
        <v>45998</v>
      </c>
      <c r="C707" s="2" t="s">
        <v>1610</v>
      </c>
      <c r="D707" s="2" t="s">
        <v>53</v>
      </c>
      <c r="E707" s="2" t="s">
        <v>67</v>
      </c>
      <c r="F707" s="2" t="s">
        <v>72</v>
      </c>
      <c r="G707" s="2" t="s">
        <v>73</v>
      </c>
      <c r="H707" s="2">
        <v>26</v>
      </c>
      <c r="I707" s="7">
        <v>302.49</v>
      </c>
      <c r="J707" s="2">
        <v>20</v>
      </c>
      <c r="K707" s="7">
        <v>6291.79</v>
      </c>
      <c r="L707" s="2" t="s">
        <v>27</v>
      </c>
      <c r="M707" s="2" t="s">
        <v>2364</v>
      </c>
    </row>
    <row r="708" spans="1:13" x14ac:dyDescent="0.3">
      <c r="A708" s="2" t="s">
        <v>535</v>
      </c>
      <c r="B708" s="5">
        <v>46083</v>
      </c>
      <c r="C708" s="2" t="s">
        <v>536</v>
      </c>
      <c r="D708" s="2" t="s">
        <v>24</v>
      </c>
      <c r="E708" s="2" t="s">
        <v>59</v>
      </c>
      <c r="F708" s="2" t="s">
        <v>72</v>
      </c>
      <c r="G708" s="2" t="s">
        <v>73</v>
      </c>
      <c r="H708" s="2">
        <v>47</v>
      </c>
      <c r="I708" s="7">
        <v>192.03</v>
      </c>
      <c r="J708" s="2">
        <v>0</v>
      </c>
      <c r="K708" s="7">
        <v>9025.41</v>
      </c>
      <c r="L708" s="2" t="s">
        <v>69</v>
      </c>
      <c r="M708" s="2" t="s">
        <v>2365</v>
      </c>
    </row>
    <row r="709" spans="1:13" x14ac:dyDescent="0.3">
      <c r="A709" s="2" t="s">
        <v>1379</v>
      </c>
      <c r="B709" s="5">
        <v>45753</v>
      </c>
      <c r="C709" s="2" t="s">
        <v>528</v>
      </c>
      <c r="D709" s="2" t="s">
        <v>16</v>
      </c>
      <c r="E709" s="2" t="s">
        <v>17</v>
      </c>
      <c r="F709" s="2" t="s">
        <v>72</v>
      </c>
      <c r="G709" s="2" t="s">
        <v>73</v>
      </c>
      <c r="H709" s="2">
        <v>29</v>
      </c>
      <c r="I709" s="7">
        <v>315.17</v>
      </c>
      <c r="J709" s="2">
        <v>0</v>
      </c>
      <c r="K709" s="7">
        <v>9139.93</v>
      </c>
      <c r="L709" s="2" t="s">
        <v>49</v>
      </c>
      <c r="M709" s="2" t="s">
        <v>2364</v>
      </c>
    </row>
    <row r="710" spans="1:13" x14ac:dyDescent="0.3">
      <c r="A710" s="2" t="s">
        <v>1831</v>
      </c>
      <c r="B710" s="5">
        <v>46171</v>
      </c>
      <c r="C710" s="2" t="s">
        <v>1832</v>
      </c>
      <c r="D710" s="2" t="s">
        <v>53</v>
      </c>
      <c r="E710" s="2" t="s">
        <v>67</v>
      </c>
      <c r="F710" s="2" t="s">
        <v>72</v>
      </c>
      <c r="G710" s="2" t="s">
        <v>73</v>
      </c>
      <c r="H710" s="2">
        <v>21</v>
      </c>
      <c r="I710" s="7">
        <v>443.76</v>
      </c>
      <c r="J710" s="2">
        <v>0</v>
      </c>
      <c r="K710" s="7">
        <v>9318.9599999999991</v>
      </c>
      <c r="L710" s="2" t="s">
        <v>69</v>
      </c>
      <c r="M710" s="2" t="s">
        <v>2365</v>
      </c>
    </row>
    <row r="711" spans="1:13" x14ac:dyDescent="0.3">
      <c r="A711" s="2" t="s">
        <v>2239</v>
      </c>
      <c r="B711" s="5">
        <v>46112</v>
      </c>
      <c r="C711" s="2" t="s">
        <v>2240</v>
      </c>
      <c r="D711" s="2" t="s">
        <v>53</v>
      </c>
      <c r="E711" s="2" t="s">
        <v>170</v>
      </c>
      <c r="F711" s="2" t="s">
        <v>72</v>
      </c>
      <c r="G711" s="2" t="s">
        <v>73</v>
      </c>
      <c r="H711" s="2">
        <v>21</v>
      </c>
      <c r="I711" s="7">
        <v>477.08</v>
      </c>
      <c r="J711" s="2">
        <v>0</v>
      </c>
      <c r="K711" s="7">
        <v>10018.68</v>
      </c>
      <c r="L711" s="2" t="s">
        <v>31</v>
      </c>
      <c r="M711" s="2" t="s">
        <v>2364</v>
      </c>
    </row>
    <row r="712" spans="1:13" x14ac:dyDescent="0.3">
      <c r="A712" s="2" t="s">
        <v>831</v>
      </c>
      <c r="B712" s="5">
        <v>46146</v>
      </c>
      <c r="C712" s="2" t="s">
        <v>832</v>
      </c>
      <c r="D712" s="2" t="s">
        <v>46</v>
      </c>
      <c r="E712" s="2" t="s">
        <v>83</v>
      </c>
      <c r="F712" s="2" t="s">
        <v>72</v>
      </c>
      <c r="G712" s="2" t="s">
        <v>73</v>
      </c>
      <c r="H712" s="2">
        <v>22</v>
      </c>
      <c r="I712" s="7">
        <v>463.26</v>
      </c>
      <c r="J712" s="2">
        <v>0</v>
      </c>
      <c r="K712" s="7">
        <v>10191.719999999999</v>
      </c>
      <c r="L712" s="2" t="s">
        <v>31</v>
      </c>
      <c r="M712" s="2" t="s">
        <v>2364</v>
      </c>
    </row>
    <row r="713" spans="1:13" x14ac:dyDescent="0.3">
      <c r="A713" s="2" t="s">
        <v>664</v>
      </c>
      <c r="B713" s="5">
        <v>45822</v>
      </c>
      <c r="C713" s="2" t="s">
        <v>665</v>
      </c>
      <c r="D713" s="2" t="s">
        <v>16</v>
      </c>
      <c r="E713" s="2" t="s">
        <v>111</v>
      </c>
      <c r="F713" s="2" t="s">
        <v>72</v>
      </c>
      <c r="G713" s="2" t="s">
        <v>73</v>
      </c>
      <c r="H713" s="2">
        <v>32</v>
      </c>
      <c r="I713" s="7">
        <v>354.88</v>
      </c>
      <c r="J713" s="2">
        <v>10</v>
      </c>
      <c r="K713" s="7">
        <v>10220.540000000001</v>
      </c>
      <c r="L713" s="2" t="s">
        <v>31</v>
      </c>
      <c r="M713" s="2" t="s">
        <v>2365</v>
      </c>
    </row>
    <row r="714" spans="1:13" x14ac:dyDescent="0.3">
      <c r="A714" s="2" t="s">
        <v>1754</v>
      </c>
      <c r="B714" s="5">
        <v>45876</v>
      </c>
      <c r="C714" s="2" t="s">
        <v>1755</v>
      </c>
      <c r="D714" s="2" t="s">
        <v>53</v>
      </c>
      <c r="E714" s="2" t="s">
        <v>141</v>
      </c>
      <c r="F714" s="2" t="s">
        <v>72</v>
      </c>
      <c r="G714" s="2" t="s">
        <v>73</v>
      </c>
      <c r="H714" s="2">
        <v>32</v>
      </c>
      <c r="I714" s="7">
        <v>385</v>
      </c>
      <c r="J714" s="2">
        <v>10</v>
      </c>
      <c r="K714" s="7">
        <v>11088</v>
      </c>
      <c r="L714" s="2" t="s">
        <v>27</v>
      </c>
      <c r="M714" s="2" t="s">
        <v>2364</v>
      </c>
    </row>
    <row r="715" spans="1:13" x14ac:dyDescent="0.3">
      <c r="A715" s="2" t="s">
        <v>1453</v>
      </c>
      <c r="B715" s="5">
        <v>46064</v>
      </c>
      <c r="C715" s="2" t="s">
        <v>1454</v>
      </c>
      <c r="D715" s="2" t="s">
        <v>53</v>
      </c>
      <c r="E715" s="2" t="s">
        <v>141</v>
      </c>
      <c r="F715" s="2" t="s">
        <v>72</v>
      </c>
      <c r="G715" s="2" t="s">
        <v>73</v>
      </c>
      <c r="H715" s="2">
        <v>47</v>
      </c>
      <c r="I715" s="7">
        <v>289.66000000000003</v>
      </c>
      <c r="J715" s="2">
        <v>15</v>
      </c>
      <c r="K715" s="7">
        <v>11571.92</v>
      </c>
      <c r="L715" s="2" t="s">
        <v>49</v>
      </c>
      <c r="M715" s="2" t="s">
        <v>2364</v>
      </c>
    </row>
    <row r="716" spans="1:13" x14ac:dyDescent="0.3">
      <c r="A716" s="2" t="s">
        <v>1576</v>
      </c>
      <c r="B716" s="5">
        <v>46234</v>
      </c>
      <c r="C716" s="2" t="s">
        <v>376</v>
      </c>
      <c r="D716" s="2" t="s">
        <v>53</v>
      </c>
      <c r="E716" s="2" t="s">
        <v>134</v>
      </c>
      <c r="F716" s="2" t="s">
        <v>72</v>
      </c>
      <c r="G716" s="2" t="s">
        <v>73</v>
      </c>
      <c r="H716" s="2">
        <v>50</v>
      </c>
      <c r="I716" s="7">
        <v>335.95</v>
      </c>
      <c r="J716" s="2">
        <v>20</v>
      </c>
      <c r="K716" s="7">
        <v>13438</v>
      </c>
      <c r="L716" s="2" t="s">
        <v>27</v>
      </c>
      <c r="M716" s="2" t="s">
        <v>2364</v>
      </c>
    </row>
    <row r="717" spans="1:13" x14ac:dyDescent="0.3">
      <c r="A717" s="2" t="s">
        <v>568</v>
      </c>
      <c r="B717" s="5">
        <v>46079</v>
      </c>
      <c r="C717" s="2" t="s">
        <v>569</v>
      </c>
      <c r="D717" s="2" t="s">
        <v>24</v>
      </c>
      <c r="E717" s="2" t="s">
        <v>41</v>
      </c>
      <c r="F717" s="2" t="s">
        <v>72</v>
      </c>
      <c r="G717" s="2" t="s">
        <v>73</v>
      </c>
      <c r="H717" s="2">
        <v>39</v>
      </c>
      <c r="I717" s="7">
        <v>459.03</v>
      </c>
      <c r="J717" s="2">
        <v>20</v>
      </c>
      <c r="K717" s="7">
        <v>14321.74</v>
      </c>
      <c r="L717" s="2" t="s">
        <v>27</v>
      </c>
      <c r="M717" s="2" t="s">
        <v>2364</v>
      </c>
    </row>
    <row r="718" spans="1:13" x14ac:dyDescent="0.3">
      <c r="A718" s="2" t="s">
        <v>586</v>
      </c>
      <c r="B718" s="5">
        <v>45587</v>
      </c>
      <c r="C718" s="2" t="s">
        <v>587</v>
      </c>
      <c r="D718" s="2" t="s">
        <v>16</v>
      </c>
      <c r="E718" s="2" t="s">
        <v>91</v>
      </c>
      <c r="F718" s="2" t="s">
        <v>72</v>
      </c>
      <c r="G718" s="2" t="s">
        <v>73</v>
      </c>
      <c r="H718" s="2">
        <v>40</v>
      </c>
      <c r="I718" s="7">
        <v>360.72</v>
      </c>
      <c r="J718" s="2">
        <v>0</v>
      </c>
      <c r="K718" s="7">
        <v>14428.8</v>
      </c>
      <c r="L718" s="2" t="s">
        <v>27</v>
      </c>
      <c r="M718" s="2" t="s">
        <v>2364</v>
      </c>
    </row>
    <row r="719" spans="1:13" x14ac:dyDescent="0.3">
      <c r="A719" s="2" t="s">
        <v>459</v>
      </c>
      <c r="B719" s="5">
        <v>46042</v>
      </c>
      <c r="C719" s="2" t="s">
        <v>460</v>
      </c>
      <c r="D719" s="2" t="s">
        <v>24</v>
      </c>
      <c r="E719" s="2" t="s">
        <v>59</v>
      </c>
      <c r="F719" s="2" t="s">
        <v>72</v>
      </c>
      <c r="G719" s="2" t="s">
        <v>73</v>
      </c>
      <c r="H719" s="2">
        <v>43</v>
      </c>
      <c r="I719" s="7">
        <v>335.63</v>
      </c>
      <c r="J719" s="2">
        <v>0</v>
      </c>
      <c r="K719" s="7">
        <v>14432.09</v>
      </c>
      <c r="L719" s="2" t="s">
        <v>2347</v>
      </c>
      <c r="M719" s="2" t="s">
        <v>2364</v>
      </c>
    </row>
    <row r="720" spans="1:13" x14ac:dyDescent="0.3">
      <c r="A720" s="2" t="s">
        <v>1898</v>
      </c>
      <c r="B720" s="5">
        <v>45759</v>
      </c>
      <c r="C720" s="2" t="s">
        <v>1899</v>
      </c>
      <c r="D720" s="2" t="s">
        <v>46</v>
      </c>
      <c r="E720" s="2" t="s">
        <v>124</v>
      </c>
      <c r="F720" s="2" t="s">
        <v>72</v>
      </c>
      <c r="G720" s="2" t="s">
        <v>73</v>
      </c>
      <c r="H720" s="2">
        <v>44</v>
      </c>
      <c r="I720" s="7">
        <v>362.13</v>
      </c>
      <c r="J720" s="2">
        <v>5</v>
      </c>
      <c r="K720" s="7">
        <v>15137.03</v>
      </c>
      <c r="L720" s="2" t="s">
        <v>69</v>
      </c>
      <c r="M720" s="2" t="s">
        <v>2365</v>
      </c>
    </row>
    <row r="721" spans="1:13" x14ac:dyDescent="0.3">
      <c r="A721" s="2" t="s">
        <v>139</v>
      </c>
      <c r="B721" s="5">
        <v>46141</v>
      </c>
      <c r="C721" s="2" t="s">
        <v>140</v>
      </c>
      <c r="D721" s="2" t="s">
        <v>53</v>
      </c>
      <c r="E721" s="2" t="s">
        <v>141</v>
      </c>
      <c r="F721" s="2" t="s">
        <v>72</v>
      </c>
      <c r="G721" s="2" t="s">
        <v>73</v>
      </c>
      <c r="H721" s="2">
        <v>35</v>
      </c>
      <c r="I721" s="7">
        <v>448.85</v>
      </c>
      <c r="J721" s="2">
        <v>0</v>
      </c>
      <c r="K721" s="7">
        <v>15709.75</v>
      </c>
      <c r="L721" s="2" t="s">
        <v>31</v>
      </c>
      <c r="M721" s="2" t="s">
        <v>2364</v>
      </c>
    </row>
    <row r="722" spans="1:13" x14ac:dyDescent="0.3">
      <c r="A722" s="2" t="s">
        <v>1828</v>
      </c>
      <c r="B722" s="5">
        <v>46192</v>
      </c>
      <c r="C722" s="2" t="s">
        <v>1829</v>
      </c>
      <c r="D722" s="2" t="s">
        <v>53</v>
      </c>
      <c r="E722" s="2" t="s">
        <v>134</v>
      </c>
      <c r="F722" s="2" t="s">
        <v>72</v>
      </c>
      <c r="G722" s="2" t="s">
        <v>73</v>
      </c>
      <c r="H722" s="2">
        <v>40</v>
      </c>
      <c r="I722" s="7">
        <v>476.63</v>
      </c>
      <c r="J722" s="2">
        <v>15</v>
      </c>
      <c r="K722" s="7">
        <v>16205.42</v>
      </c>
      <c r="L722" s="2" t="s">
        <v>31</v>
      </c>
      <c r="M722" s="2" t="s">
        <v>2364</v>
      </c>
    </row>
    <row r="723" spans="1:13" x14ac:dyDescent="0.3">
      <c r="A723" s="2" t="s">
        <v>1402</v>
      </c>
      <c r="B723" s="5">
        <v>45932</v>
      </c>
      <c r="C723" s="2" t="s">
        <v>1403</v>
      </c>
      <c r="D723" s="2" t="s">
        <v>46</v>
      </c>
      <c r="E723" s="2" t="s">
        <v>83</v>
      </c>
      <c r="F723" s="2" t="s">
        <v>82</v>
      </c>
      <c r="G723" s="2" t="s">
        <v>73</v>
      </c>
      <c r="H723" s="2">
        <v>1</v>
      </c>
      <c r="I723" s="7">
        <v>587.17999999999995</v>
      </c>
      <c r="J723" s="2">
        <v>5</v>
      </c>
      <c r="K723" s="7">
        <v>557.82000000000005</v>
      </c>
      <c r="L723" s="2" t="s">
        <v>2347</v>
      </c>
      <c r="M723" s="2" t="s">
        <v>2364</v>
      </c>
    </row>
    <row r="724" spans="1:13" x14ac:dyDescent="0.3">
      <c r="A724" s="2" t="s">
        <v>1251</v>
      </c>
      <c r="B724" s="5">
        <v>45848</v>
      </c>
      <c r="C724" s="2" t="s">
        <v>1252</v>
      </c>
      <c r="D724" s="2" t="s">
        <v>46</v>
      </c>
      <c r="E724" s="2" t="s">
        <v>47</v>
      </c>
      <c r="F724" s="2" t="s">
        <v>82</v>
      </c>
      <c r="G724" s="2" t="s">
        <v>73</v>
      </c>
      <c r="H724" s="2">
        <v>2</v>
      </c>
      <c r="I724" s="7">
        <v>356.65</v>
      </c>
      <c r="J724" s="2">
        <v>5</v>
      </c>
      <c r="K724" s="7">
        <v>677.63</v>
      </c>
      <c r="L724" s="2" t="s">
        <v>69</v>
      </c>
      <c r="M724" s="2" t="s">
        <v>2365</v>
      </c>
    </row>
    <row r="725" spans="1:13" x14ac:dyDescent="0.3">
      <c r="A725" s="2" t="s">
        <v>1866</v>
      </c>
      <c r="B725" s="5">
        <v>45808</v>
      </c>
      <c r="C725" s="2" t="s">
        <v>1867</v>
      </c>
      <c r="D725" s="2" t="s">
        <v>46</v>
      </c>
      <c r="E725" s="2" t="s">
        <v>244</v>
      </c>
      <c r="F725" s="2" t="s">
        <v>82</v>
      </c>
      <c r="G725" s="2" t="s">
        <v>73</v>
      </c>
      <c r="H725" s="2">
        <v>3</v>
      </c>
      <c r="I725" s="7">
        <v>311.76</v>
      </c>
      <c r="J725" s="2">
        <v>0</v>
      </c>
      <c r="K725" s="7">
        <v>935.28</v>
      </c>
      <c r="L725" s="2" t="s">
        <v>2347</v>
      </c>
      <c r="M725" s="2" t="s">
        <v>2364</v>
      </c>
    </row>
    <row r="726" spans="1:13" x14ac:dyDescent="0.3">
      <c r="A726" s="2" t="s">
        <v>548</v>
      </c>
      <c r="B726" s="5">
        <v>45717</v>
      </c>
      <c r="C726" s="2" t="s">
        <v>549</v>
      </c>
      <c r="D726" s="2" t="s">
        <v>46</v>
      </c>
      <c r="E726" s="2" t="s">
        <v>244</v>
      </c>
      <c r="F726" s="2" t="s">
        <v>82</v>
      </c>
      <c r="G726" s="2" t="s">
        <v>73</v>
      </c>
      <c r="H726" s="2">
        <v>3</v>
      </c>
      <c r="I726" s="7">
        <v>362.32</v>
      </c>
      <c r="J726" s="2">
        <v>10</v>
      </c>
      <c r="K726" s="7">
        <v>978.26</v>
      </c>
      <c r="L726" s="2" t="s">
        <v>31</v>
      </c>
      <c r="M726" s="2" t="s">
        <v>2365</v>
      </c>
    </row>
    <row r="727" spans="1:13" x14ac:dyDescent="0.3">
      <c r="A727" s="2" t="s">
        <v>946</v>
      </c>
      <c r="B727" s="5">
        <v>46079</v>
      </c>
      <c r="C727" s="2" t="s">
        <v>947</v>
      </c>
      <c r="D727" s="2" t="s">
        <v>46</v>
      </c>
      <c r="E727" s="2" t="s">
        <v>78</v>
      </c>
      <c r="F727" s="2" t="s">
        <v>82</v>
      </c>
      <c r="G727" s="2" t="s">
        <v>73</v>
      </c>
      <c r="H727" s="2">
        <v>5</v>
      </c>
      <c r="I727" s="7">
        <v>376.56</v>
      </c>
      <c r="J727" s="2">
        <v>15</v>
      </c>
      <c r="K727" s="7">
        <v>1600.38</v>
      </c>
      <c r="L727" s="2" t="s">
        <v>49</v>
      </c>
      <c r="M727" s="2" t="s">
        <v>2364</v>
      </c>
    </row>
    <row r="728" spans="1:13" x14ac:dyDescent="0.3">
      <c r="A728" s="2" t="s">
        <v>1314</v>
      </c>
      <c r="B728" s="5">
        <v>45710</v>
      </c>
      <c r="C728" s="2" t="s">
        <v>1315</v>
      </c>
      <c r="D728" s="2" t="s">
        <v>53</v>
      </c>
      <c r="E728" s="2" t="s">
        <v>67</v>
      </c>
      <c r="F728" s="2" t="s">
        <v>82</v>
      </c>
      <c r="G728" s="2" t="s">
        <v>73</v>
      </c>
      <c r="H728" s="2">
        <v>3</v>
      </c>
      <c r="I728" s="7">
        <v>617.09</v>
      </c>
      <c r="J728" s="2">
        <v>10</v>
      </c>
      <c r="K728" s="7">
        <v>1666.14</v>
      </c>
      <c r="L728" s="2" t="s">
        <v>2347</v>
      </c>
      <c r="M728" s="2" t="s">
        <v>2364</v>
      </c>
    </row>
    <row r="729" spans="1:13" x14ac:dyDescent="0.3">
      <c r="A729" s="2" t="s">
        <v>2045</v>
      </c>
      <c r="B729" s="5">
        <v>46162</v>
      </c>
      <c r="C729" s="2" t="s">
        <v>2046</v>
      </c>
      <c r="D729" s="2" t="s">
        <v>24</v>
      </c>
      <c r="E729" s="2" t="s">
        <v>25</v>
      </c>
      <c r="F729" s="2" t="s">
        <v>82</v>
      </c>
      <c r="G729" s="2" t="s">
        <v>73</v>
      </c>
      <c r="H729" s="2">
        <v>3</v>
      </c>
      <c r="I729" s="7">
        <v>617.29</v>
      </c>
      <c r="J729" s="2">
        <v>5</v>
      </c>
      <c r="K729" s="7">
        <v>1759.28</v>
      </c>
      <c r="L729" s="2" t="s">
        <v>2347</v>
      </c>
      <c r="M729" s="2" t="s">
        <v>2364</v>
      </c>
    </row>
    <row r="730" spans="1:13" x14ac:dyDescent="0.3">
      <c r="A730" s="2" t="s">
        <v>864</v>
      </c>
      <c r="B730" s="5">
        <v>45897</v>
      </c>
      <c r="C730" s="2" t="s">
        <v>865</v>
      </c>
      <c r="D730" s="2" t="s">
        <v>24</v>
      </c>
      <c r="E730" s="2" t="s">
        <v>36</v>
      </c>
      <c r="F730" s="2" t="s">
        <v>82</v>
      </c>
      <c r="G730" s="2" t="s">
        <v>73</v>
      </c>
      <c r="H730" s="2">
        <v>6</v>
      </c>
      <c r="I730" s="7">
        <v>424.29</v>
      </c>
      <c r="J730" s="2">
        <v>20</v>
      </c>
      <c r="K730" s="7">
        <v>2036.59</v>
      </c>
      <c r="L730" s="2" t="s">
        <v>31</v>
      </c>
      <c r="M730" s="2" t="s">
        <v>2365</v>
      </c>
    </row>
    <row r="731" spans="1:13" x14ac:dyDescent="0.3">
      <c r="A731" s="2" t="s">
        <v>2222</v>
      </c>
      <c r="B731" s="5">
        <v>46196</v>
      </c>
      <c r="C731" s="2" t="s">
        <v>89</v>
      </c>
      <c r="D731" s="2" t="s">
        <v>16</v>
      </c>
      <c r="E731" s="2" t="s">
        <v>111</v>
      </c>
      <c r="F731" s="2" t="s">
        <v>82</v>
      </c>
      <c r="G731" s="2" t="s">
        <v>73</v>
      </c>
      <c r="H731" s="2">
        <v>8</v>
      </c>
      <c r="I731" s="7">
        <v>310.63</v>
      </c>
      <c r="J731" s="2">
        <v>5</v>
      </c>
      <c r="K731" s="7">
        <v>2360.79</v>
      </c>
      <c r="L731" s="2" t="s">
        <v>49</v>
      </c>
      <c r="M731" s="2" t="s">
        <v>2364</v>
      </c>
    </row>
    <row r="732" spans="1:13" x14ac:dyDescent="0.3">
      <c r="A732" s="2" t="s">
        <v>1869</v>
      </c>
      <c r="B732" s="5">
        <v>45681</v>
      </c>
      <c r="C732" s="2" t="s">
        <v>1870</v>
      </c>
      <c r="D732" s="2" t="s">
        <v>16</v>
      </c>
      <c r="E732" s="2" t="s">
        <v>74</v>
      </c>
      <c r="F732" s="2" t="s">
        <v>82</v>
      </c>
      <c r="G732" s="2" t="s">
        <v>73</v>
      </c>
      <c r="H732" s="2">
        <v>5</v>
      </c>
      <c r="I732" s="7">
        <v>479.01</v>
      </c>
      <c r="J732" s="2">
        <v>0</v>
      </c>
      <c r="K732" s="7">
        <v>2395.0500000000002</v>
      </c>
      <c r="L732" s="2" t="s">
        <v>2347</v>
      </c>
      <c r="M732" s="2" t="s">
        <v>2364</v>
      </c>
    </row>
    <row r="733" spans="1:13" x14ac:dyDescent="0.3">
      <c r="A733" s="2" t="s">
        <v>404</v>
      </c>
      <c r="B733" s="5">
        <v>45631</v>
      </c>
      <c r="C733" s="2" t="s">
        <v>405</v>
      </c>
      <c r="D733" s="2" t="s">
        <v>53</v>
      </c>
      <c r="E733" s="2" t="s">
        <v>54</v>
      </c>
      <c r="F733" s="2" t="s">
        <v>82</v>
      </c>
      <c r="G733" s="2" t="s">
        <v>73</v>
      </c>
      <c r="H733" s="2">
        <v>6</v>
      </c>
      <c r="I733" s="7">
        <v>493.27</v>
      </c>
      <c r="J733" s="2">
        <v>10</v>
      </c>
      <c r="K733" s="7">
        <v>2663.66</v>
      </c>
      <c r="L733" s="2" t="s">
        <v>69</v>
      </c>
      <c r="M733" s="2" t="s">
        <v>2364</v>
      </c>
    </row>
    <row r="734" spans="1:13" x14ac:dyDescent="0.3">
      <c r="A734" s="2" t="s">
        <v>1050</v>
      </c>
      <c r="B734" s="5">
        <v>46191</v>
      </c>
      <c r="C734" s="2" t="s">
        <v>1051</v>
      </c>
      <c r="D734" s="2" t="s">
        <v>24</v>
      </c>
      <c r="E734" s="2" t="s">
        <v>25</v>
      </c>
      <c r="F734" s="2" t="s">
        <v>82</v>
      </c>
      <c r="G734" s="2" t="s">
        <v>73</v>
      </c>
      <c r="H734" s="2">
        <v>4</v>
      </c>
      <c r="I734" s="7">
        <v>786.54</v>
      </c>
      <c r="J734" s="2">
        <v>0</v>
      </c>
      <c r="K734" s="7">
        <v>3146.16</v>
      </c>
      <c r="L734" s="2" t="s">
        <v>2347</v>
      </c>
      <c r="M734" s="2" t="s">
        <v>2365</v>
      </c>
    </row>
    <row r="735" spans="1:13" x14ac:dyDescent="0.3">
      <c r="A735" s="2" t="s">
        <v>2081</v>
      </c>
      <c r="B735" s="5">
        <v>46054</v>
      </c>
      <c r="C735" s="2" t="s">
        <v>1051</v>
      </c>
      <c r="D735" s="2" t="s">
        <v>53</v>
      </c>
      <c r="E735" s="2" t="s">
        <v>67</v>
      </c>
      <c r="F735" s="2" t="s">
        <v>82</v>
      </c>
      <c r="G735" s="2" t="s">
        <v>73</v>
      </c>
      <c r="H735" s="2">
        <v>11</v>
      </c>
      <c r="I735" s="7">
        <v>379.66</v>
      </c>
      <c r="J735" s="2">
        <v>20</v>
      </c>
      <c r="K735" s="7">
        <v>3341.01</v>
      </c>
      <c r="L735" s="2" t="s">
        <v>31</v>
      </c>
      <c r="M735" s="2" t="s">
        <v>2365</v>
      </c>
    </row>
    <row r="736" spans="1:13" x14ac:dyDescent="0.3">
      <c r="A736" s="2" t="s">
        <v>1677</v>
      </c>
      <c r="B736" s="5">
        <v>46173</v>
      </c>
      <c r="C736" s="2" t="s">
        <v>1678</v>
      </c>
      <c r="D736" s="2" t="s">
        <v>53</v>
      </c>
      <c r="E736" s="2" t="s">
        <v>54</v>
      </c>
      <c r="F736" s="2" t="s">
        <v>82</v>
      </c>
      <c r="G736" s="2" t="s">
        <v>73</v>
      </c>
      <c r="H736" s="2">
        <v>7</v>
      </c>
      <c r="I736" s="7">
        <v>543.16999999999996</v>
      </c>
      <c r="J736" s="2">
        <v>0</v>
      </c>
      <c r="K736" s="7">
        <v>3802.19</v>
      </c>
      <c r="L736" s="2" t="s">
        <v>69</v>
      </c>
      <c r="M736" s="2" t="s">
        <v>2364</v>
      </c>
    </row>
    <row r="737" spans="1:13" x14ac:dyDescent="0.3">
      <c r="A737" s="2" t="s">
        <v>1278</v>
      </c>
      <c r="B737" s="5">
        <v>45634</v>
      </c>
      <c r="C737" s="2" t="s">
        <v>1279</v>
      </c>
      <c r="D737" s="2" t="s">
        <v>24</v>
      </c>
      <c r="E737" s="2" t="s">
        <v>36</v>
      </c>
      <c r="F737" s="2" t="s">
        <v>82</v>
      </c>
      <c r="G737" s="2" t="s">
        <v>73</v>
      </c>
      <c r="H737" s="2">
        <v>12</v>
      </c>
      <c r="I737" s="7">
        <v>360.39</v>
      </c>
      <c r="J737" s="2">
        <v>0</v>
      </c>
      <c r="K737" s="7">
        <v>4324.68</v>
      </c>
      <c r="L737" s="2" t="s">
        <v>31</v>
      </c>
      <c r="M737" s="2" t="s">
        <v>2364</v>
      </c>
    </row>
    <row r="738" spans="1:13" x14ac:dyDescent="0.3">
      <c r="A738" s="2" t="s">
        <v>1009</v>
      </c>
      <c r="B738" s="5">
        <v>45967</v>
      </c>
      <c r="C738" s="2" t="s">
        <v>1010</v>
      </c>
      <c r="D738" s="2" t="s">
        <v>46</v>
      </c>
      <c r="E738" s="2" t="s">
        <v>244</v>
      </c>
      <c r="F738" s="2" t="s">
        <v>82</v>
      </c>
      <c r="G738" s="2" t="s">
        <v>73</v>
      </c>
      <c r="H738" s="2">
        <v>12</v>
      </c>
      <c r="I738" s="7">
        <v>450.82</v>
      </c>
      <c r="J738" s="2">
        <v>20</v>
      </c>
      <c r="K738" s="7">
        <v>4327.87</v>
      </c>
      <c r="L738" s="2" t="s">
        <v>2347</v>
      </c>
      <c r="M738" s="2" t="s">
        <v>2364</v>
      </c>
    </row>
    <row r="739" spans="1:13" x14ac:dyDescent="0.3">
      <c r="A739" s="2" t="s">
        <v>1956</v>
      </c>
      <c r="B739" s="5">
        <v>45599</v>
      </c>
      <c r="C739" s="2" t="s">
        <v>472</v>
      </c>
      <c r="D739" s="2" t="s">
        <v>46</v>
      </c>
      <c r="E739" s="2" t="s">
        <v>47</v>
      </c>
      <c r="F739" s="2" t="s">
        <v>82</v>
      </c>
      <c r="G739" s="2" t="s">
        <v>73</v>
      </c>
      <c r="H739" s="2">
        <v>13</v>
      </c>
      <c r="I739" s="7">
        <v>378.25</v>
      </c>
      <c r="J739" s="2">
        <v>10</v>
      </c>
      <c r="K739" s="7">
        <v>4425.53</v>
      </c>
      <c r="L739" s="2" t="s">
        <v>27</v>
      </c>
      <c r="M739" s="2" t="s">
        <v>2364</v>
      </c>
    </row>
    <row r="740" spans="1:13" x14ac:dyDescent="0.3">
      <c r="A740" s="2" t="s">
        <v>2073</v>
      </c>
      <c r="B740" s="5">
        <v>46284</v>
      </c>
      <c r="C740" s="2" t="s">
        <v>2074</v>
      </c>
      <c r="D740" s="2" t="s">
        <v>16</v>
      </c>
      <c r="E740" s="2" t="s">
        <v>91</v>
      </c>
      <c r="F740" s="2" t="s">
        <v>82</v>
      </c>
      <c r="G740" s="2" t="s">
        <v>73</v>
      </c>
      <c r="H740" s="2">
        <v>9</v>
      </c>
      <c r="I740" s="7">
        <v>594.96</v>
      </c>
      <c r="J740" s="2">
        <v>0</v>
      </c>
      <c r="K740" s="7">
        <v>5354.64</v>
      </c>
      <c r="L740" s="2" t="s">
        <v>27</v>
      </c>
      <c r="M740" s="2" t="s">
        <v>2364</v>
      </c>
    </row>
    <row r="741" spans="1:13" x14ac:dyDescent="0.3">
      <c r="A741" s="2" t="s">
        <v>469</v>
      </c>
      <c r="B741" s="5">
        <v>45886</v>
      </c>
      <c r="C741" s="2" t="s">
        <v>470</v>
      </c>
      <c r="D741" s="2" t="s">
        <v>46</v>
      </c>
      <c r="E741" s="2" t="s">
        <v>124</v>
      </c>
      <c r="F741" s="2" t="s">
        <v>82</v>
      </c>
      <c r="G741" s="2" t="s">
        <v>73</v>
      </c>
      <c r="H741" s="2">
        <v>15</v>
      </c>
      <c r="I741" s="7">
        <v>395.69</v>
      </c>
      <c r="J741" s="2">
        <v>5</v>
      </c>
      <c r="K741" s="7">
        <v>5638.58</v>
      </c>
      <c r="L741" s="2" t="s">
        <v>31</v>
      </c>
      <c r="M741" s="2" t="s">
        <v>2365</v>
      </c>
    </row>
    <row r="742" spans="1:13" x14ac:dyDescent="0.3">
      <c r="A742" s="2" t="s">
        <v>1529</v>
      </c>
      <c r="B742" s="5">
        <v>45851</v>
      </c>
      <c r="C742" s="2" t="s">
        <v>1530</v>
      </c>
      <c r="D742" s="2" t="s">
        <v>24</v>
      </c>
      <c r="E742" s="2" t="s">
        <v>59</v>
      </c>
      <c r="F742" s="2" t="s">
        <v>82</v>
      </c>
      <c r="G742" s="2" t="s">
        <v>73</v>
      </c>
      <c r="H742" s="2">
        <v>12</v>
      </c>
      <c r="I742" s="7">
        <v>510.58</v>
      </c>
      <c r="J742" s="2">
        <v>5</v>
      </c>
      <c r="K742" s="7">
        <v>5820.61</v>
      </c>
      <c r="L742" s="2" t="s">
        <v>49</v>
      </c>
      <c r="M742" s="2" t="s">
        <v>2365</v>
      </c>
    </row>
    <row r="743" spans="1:13" x14ac:dyDescent="0.3">
      <c r="A743" s="2" t="s">
        <v>908</v>
      </c>
      <c r="B743" s="5">
        <v>45726</v>
      </c>
      <c r="C743" s="2" t="s">
        <v>909</v>
      </c>
      <c r="D743" s="2" t="s">
        <v>53</v>
      </c>
      <c r="E743" s="2" t="s">
        <v>67</v>
      </c>
      <c r="F743" s="2" t="s">
        <v>82</v>
      </c>
      <c r="G743" s="2" t="s">
        <v>73</v>
      </c>
      <c r="H743" s="2">
        <v>8</v>
      </c>
      <c r="I743" s="7">
        <v>747.73</v>
      </c>
      <c r="J743" s="2">
        <v>0</v>
      </c>
      <c r="K743" s="7">
        <v>5981.84</v>
      </c>
      <c r="L743" s="2" t="s">
        <v>27</v>
      </c>
      <c r="M743" s="2" t="s">
        <v>2365</v>
      </c>
    </row>
    <row r="744" spans="1:13" x14ac:dyDescent="0.3">
      <c r="A744" s="2" t="s">
        <v>532</v>
      </c>
      <c r="B744" s="5">
        <v>46021</v>
      </c>
      <c r="C744" s="2" t="s">
        <v>533</v>
      </c>
      <c r="D744" s="2" t="s">
        <v>46</v>
      </c>
      <c r="E744" s="2" t="s">
        <v>78</v>
      </c>
      <c r="F744" s="2" t="s">
        <v>82</v>
      </c>
      <c r="G744" s="2" t="s">
        <v>73</v>
      </c>
      <c r="H744" s="2">
        <v>9</v>
      </c>
      <c r="I744" s="7">
        <v>788.38</v>
      </c>
      <c r="J744" s="2">
        <v>15</v>
      </c>
      <c r="K744" s="7">
        <v>6031.11</v>
      </c>
      <c r="L744" s="2" t="s">
        <v>49</v>
      </c>
      <c r="M744" s="2" t="s">
        <v>2364</v>
      </c>
    </row>
    <row r="745" spans="1:13" x14ac:dyDescent="0.3">
      <c r="A745" s="2" t="s">
        <v>1737</v>
      </c>
      <c r="B745" s="5">
        <v>45802</v>
      </c>
      <c r="C745" s="2" t="s">
        <v>1738</v>
      </c>
      <c r="D745" s="2" t="s">
        <v>16</v>
      </c>
      <c r="E745" s="2" t="s">
        <v>74</v>
      </c>
      <c r="F745" s="2" t="s">
        <v>82</v>
      </c>
      <c r="G745" s="2" t="s">
        <v>73</v>
      </c>
      <c r="H745" s="2">
        <v>16</v>
      </c>
      <c r="I745" s="7">
        <v>445.23</v>
      </c>
      <c r="J745" s="2">
        <v>0</v>
      </c>
      <c r="K745" s="7">
        <v>7123.68</v>
      </c>
      <c r="L745" s="2" t="s">
        <v>31</v>
      </c>
      <c r="M745" s="2" t="s">
        <v>2364</v>
      </c>
    </row>
    <row r="746" spans="1:13" x14ac:dyDescent="0.3">
      <c r="A746" s="2" t="s">
        <v>80</v>
      </c>
      <c r="B746" s="5">
        <v>45819</v>
      </c>
      <c r="C746" s="2" t="s">
        <v>81</v>
      </c>
      <c r="D746" s="2" t="s">
        <v>46</v>
      </c>
      <c r="E746" s="2" t="s">
        <v>83</v>
      </c>
      <c r="F746" s="2" t="s">
        <v>82</v>
      </c>
      <c r="G746" s="2" t="s">
        <v>73</v>
      </c>
      <c r="H746" s="2">
        <v>14</v>
      </c>
      <c r="I746" s="7">
        <v>546.63</v>
      </c>
      <c r="J746" s="2">
        <v>0</v>
      </c>
      <c r="K746" s="7">
        <v>7652.82</v>
      </c>
      <c r="L746" s="2" t="s">
        <v>69</v>
      </c>
      <c r="M746" s="2" t="s">
        <v>2364</v>
      </c>
    </row>
    <row r="747" spans="1:13" x14ac:dyDescent="0.3">
      <c r="A747" s="2" t="s">
        <v>2293</v>
      </c>
      <c r="B747" s="5">
        <v>46029</v>
      </c>
      <c r="C747" s="2" t="s">
        <v>2294</v>
      </c>
      <c r="D747" s="2" t="s">
        <v>16</v>
      </c>
      <c r="E747" s="2" t="s">
        <v>111</v>
      </c>
      <c r="F747" s="2" t="s">
        <v>82</v>
      </c>
      <c r="G747" s="2" t="s">
        <v>73</v>
      </c>
      <c r="H747" s="2">
        <v>18</v>
      </c>
      <c r="I747" s="7">
        <v>462.39</v>
      </c>
      <c r="J747" s="2">
        <v>0</v>
      </c>
      <c r="K747" s="7">
        <v>8323.02</v>
      </c>
      <c r="L747" s="2" t="s">
        <v>31</v>
      </c>
      <c r="M747" s="2" t="s">
        <v>2364</v>
      </c>
    </row>
    <row r="748" spans="1:13" x14ac:dyDescent="0.3">
      <c r="A748" s="2" t="s">
        <v>948</v>
      </c>
      <c r="B748" s="5">
        <v>45913</v>
      </c>
      <c r="C748" s="2" t="s">
        <v>949</v>
      </c>
      <c r="D748" s="2" t="s">
        <v>53</v>
      </c>
      <c r="E748" s="2" t="s">
        <v>54</v>
      </c>
      <c r="F748" s="2" t="s">
        <v>82</v>
      </c>
      <c r="G748" s="2" t="s">
        <v>73</v>
      </c>
      <c r="H748" s="2">
        <v>18</v>
      </c>
      <c r="I748" s="7">
        <v>495.9</v>
      </c>
      <c r="J748" s="2">
        <v>0</v>
      </c>
      <c r="K748" s="7">
        <v>8926.2000000000007</v>
      </c>
      <c r="L748" s="2" t="s">
        <v>31</v>
      </c>
      <c r="M748" s="2" t="s">
        <v>2364</v>
      </c>
    </row>
    <row r="749" spans="1:13" x14ac:dyDescent="0.3">
      <c r="A749" s="2" t="s">
        <v>1308</v>
      </c>
      <c r="B749" s="5">
        <v>45765</v>
      </c>
      <c r="C749" s="2" t="s">
        <v>1309</v>
      </c>
      <c r="D749" s="2" t="s">
        <v>24</v>
      </c>
      <c r="E749" s="2" t="s">
        <v>104</v>
      </c>
      <c r="F749" s="2" t="s">
        <v>82</v>
      </c>
      <c r="G749" s="2" t="s">
        <v>73</v>
      </c>
      <c r="H749" s="2">
        <v>16</v>
      </c>
      <c r="I749" s="7">
        <v>577.67999999999995</v>
      </c>
      <c r="J749" s="2">
        <v>0</v>
      </c>
      <c r="K749" s="7">
        <v>9242.8799999999992</v>
      </c>
      <c r="L749" s="2" t="s">
        <v>27</v>
      </c>
      <c r="M749" s="2" t="s">
        <v>2364</v>
      </c>
    </row>
    <row r="750" spans="1:13" x14ac:dyDescent="0.3">
      <c r="A750" s="2" t="s">
        <v>1411</v>
      </c>
      <c r="B750" s="5">
        <v>45671</v>
      </c>
      <c r="C750" s="2" t="s">
        <v>1412</v>
      </c>
      <c r="D750" s="2" t="s">
        <v>16</v>
      </c>
      <c r="E750" s="2" t="s">
        <v>160</v>
      </c>
      <c r="F750" s="2" t="s">
        <v>82</v>
      </c>
      <c r="G750" s="2" t="s">
        <v>73</v>
      </c>
      <c r="H750" s="2">
        <v>18</v>
      </c>
      <c r="I750" s="7">
        <v>578.11</v>
      </c>
      <c r="J750" s="2">
        <v>10</v>
      </c>
      <c r="K750" s="7">
        <v>9365.3799999999992</v>
      </c>
      <c r="L750" s="2" t="s">
        <v>27</v>
      </c>
      <c r="M750" s="2" t="s">
        <v>2364</v>
      </c>
    </row>
    <row r="751" spans="1:13" x14ac:dyDescent="0.3">
      <c r="A751" s="2" t="s">
        <v>1207</v>
      </c>
      <c r="B751" s="5">
        <v>45863</v>
      </c>
      <c r="C751" s="2" t="s">
        <v>1208</v>
      </c>
      <c r="D751" s="2" t="s">
        <v>46</v>
      </c>
      <c r="E751" s="2" t="s">
        <v>78</v>
      </c>
      <c r="F751" s="2" t="s">
        <v>82</v>
      </c>
      <c r="G751" s="2" t="s">
        <v>73</v>
      </c>
      <c r="H751" s="2">
        <v>21</v>
      </c>
      <c r="I751" s="7">
        <v>458.24</v>
      </c>
      <c r="J751" s="2">
        <v>0</v>
      </c>
      <c r="K751" s="7">
        <v>9623.0400000000009</v>
      </c>
      <c r="L751" s="2" t="s">
        <v>2347</v>
      </c>
      <c r="M751" s="2" t="s">
        <v>2364</v>
      </c>
    </row>
    <row r="752" spans="1:13" x14ac:dyDescent="0.3">
      <c r="A752" s="2" t="s">
        <v>1057</v>
      </c>
      <c r="B752" s="5">
        <v>46213</v>
      </c>
      <c r="C752" s="2" t="s">
        <v>1058</v>
      </c>
      <c r="D752" s="2" t="s">
        <v>16</v>
      </c>
      <c r="E752" s="2" t="s">
        <v>91</v>
      </c>
      <c r="F752" s="2" t="s">
        <v>82</v>
      </c>
      <c r="G752" s="2" t="s">
        <v>73</v>
      </c>
      <c r="H752" s="2">
        <v>18</v>
      </c>
      <c r="I752" s="7">
        <v>549.09</v>
      </c>
      <c r="J752" s="2">
        <v>0</v>
      </c>
      <c r="K752" s="7">
        <v>9883.6200000000008</v>
      </c>
      <c r="L752" s="2" t="s">
        <v>2347</v>
      </c>
      <c r="M752" s="2" t="s">
        <v>2364</v>
      </c>
    </row>
    <row r="753" spans="1:13" x14ac:dyDescent="0.3">
      <c r="A753" s="2" t="s">
        <v>1786</v>
      </c>
      <c r="B753" s="5">
        <v>45729</v>
      </c>
      <c r="C753" s="2" t="s">
        <v>1642</v>
      </c>
      <c r="D753" s="2" t="s">
        <v>46</v>
      </c>
      <c r="E753" s="2" t="s">
        <v>47</v>
      </c>
      <c r="F753" s="2" t="s">
        <v>82</v>
      </c>
      <c r="G753" s="2" t="s">
        <v>73</v>
      </c>
      <c r="H753" s="2">
        <v>19</v>
      </c>
      <c r="I753" s="7">
        <v>654.32000000000005</v>
      </c>
      <c r="J753" s="2">
        <v>20</v>
      </c>
      <c r="K753" s="7">
        <v>9945.66</v>
      </c>
      <c r="L753" s="2" t="s">
        <v>2347</v>
      </c>
      <c r="M753" s="2" t="s">
        <v>2364</v>
      </c>
    </row>
    <row r="754" spans="1:13" x14ac:dyDescent="0.3">
      <c r="A754" s="2" t="s">
        <v>746</v>
      </c>
      <c r="B754" s="5">
        <v>45928</v>
      </c>
      <c r="C754" s="2" t="s">
        <v>747</v>
      </c>
      <c r="D754" s="2" t="s">
        <v>53</v>
      </c>
      <c r="E754" s="2" t="s">
        <v>54</v>
      </c>
      <c r="F754" s="2" t="s">
        <v>82</v>
      </c>
      <c r="G754" s="2" t="s">
        <v>73</v>
      </c>
      <c r="H754" s="2">
        <v>26</v>
      </c>
      <c r="I754" s="7">
        <v>450.69</v>
      </c>
      <c r="J754" s="2">
        <v>10</v>
      </c>
      <c r="K754" s="7">
        <v>10546.15</v>
      </c>
      <c r="L754" s="2" t="s">
        <v>69</v>
      </c>
      <c r="M754" s="2" t="s">
        <v>2365</v>
      </c>
    </row>
    <row r="755" spans="1:13" x14ac:dyDescent="0.3">
      <c r="A755" s="2" t="s">
        <v>2122</v>
      </c>
      <c r="B755" s="5">
        <v>45952</v>
      </c>
      <c r="C755" s="2" t="s">
        <v>475</v>
      </c>
      <c r="D755" s="2" t="s">
        <v>46</v>
      </c>
      <c r="E755" s="2" t="s">
        <v>124</v>
      </c>
      <c r="F755" s="2" t="s">
        <v>82</v>
      </c>
      <c r="G755" s="2" t="s">
        <v>73</v>
      </c>
      <c r="H755" s="2">
        <v>33</v>
      </c>
      <c r="I755" s="7">
        <v>357.83</v>
      </c>
      <c r="J755" s="2">
        <v>10</v>
      </c>
      <c r="K755" s="7">
        <v>10627.55</v>
      </c>
      <c r="L755" s="2" t="s">
        <v>31</v>
      </c>
      <c r="M755" s="2" t="s">
        <v>2364</v>
      </c>
    </row>
    <row r="756" spans="1:13" x14ac:dyDescent="0.3">
      <c r="A756" s="2" t="s">
        <v>1846</v>
      </c>
      <c r="B756" s="5">
        <v>46195</v>
      </c>
      <c r="C756" s="2" t="s">
        <v>282</v>
      </c>
      <c r="D756" s="2" t="s">
        <v>53</v>
      </c>
      <c r="E756" s="2" t="s">
        <v>67</v>
      </c>
      <c r="F756" s="2" t="s">
        <v>82</v>
      </c>
      <c r="G756" s="2" t="s">
        <v>73</v>
      </c>
      <c r="H756" s="2">
        <v>15</v>
      </c>
      <c r="I756" s="7">
        <v>710.36</v>
      </c>
      <c r="J756" s="2">
        <v>0</v>
      </c>
      <c r="K756" s="7">
        <v>10655.4</v>
      </c>
      <c r="L756" s="2" t="s">
        <v>31</v>
      </c>
      <c r="M756" s="2" t="s">
        <v>2364</v>
      </c>
    </row>
    <row r="757" spans="1:13" x14ac:dyDescent="0.3">
      <c r="A757" s="2" t="s">
        <v>1442</v>
      </c>
      <c r="B757" s="5">
        <v>46029</v>
      </c>
      <c r="C757" s="2" t="s">
        <v>1430</v>
      </c>
      <c r="D757" s="2" t="s">
        <v>24</v>
      </c>
      <c r="E757" s="2" t="s">
        <v>59</v>
      </c>
      <c r="F757" s="2" t="s">
        <v>82</v>
      </c>
      <c r="G757" s="2" t="s">
        <v>73</v>
      </c>
      <c r="H757" s="2">
        <v>27</v>
      </c>
      <c r="I757" s="7">
        <v>395.64</v>
      </c>
      <c r="J757" s="2">
        <v>0</v>
      </c>
      <c r="K757" s="7">
        <v>10682.28</v>
      </c>
      <c r="L757" s="2" t="s">
        <v>31</v>
      </c>
      <c r="M757" s="2" t="s">
        <v>2364</v>
      </c>
    </row>
    <row r="758" spans="1:13" x14ac:dyDescent="0.3">
      <c r="A758" s="2" t="s">
        <v>2226</v>
      </c>
      <c r="B758" s="5">
        <v>46147</v>
      </c>
      <c r="C758" s="2" t="s">
        <v>2227</v>
      </c>
      <c r="D758" s="2" t="s">
        <v>16</v>
      </c>
      <c r="E758" s="2" t="s">
        <v>17</v>
      </c>
      <c r="F758" s="2" t="s">
        <v>82</v>
      </c>
      <c r="G758" s="2" t="s">
        <v>73</v>
      </c>
      <c r="H758" s="2">
        <v>23</v>
      </c>
      <c r="I758" s="7">
        <v>527.59</v>
      </c>
      <c r="J758" s="2">
        <v>10</v>
      </c>
      <c r="K758" s="7">
        <v>10921.11</v>
      </c>
      <c r="L758" s="2" t="s">
        <v>49</v>
      </c>
      <c r="M758" s="2" t="s">
        <v>2364</v>
      </c>
    </row>
    <row r="759" spans="1:13" x14ac:dyDescent="0.3">
      <c r="A759" s="2" t="s">
        <v>1821</v>
      </c>
      <c r="B759" s="5">
        <v>46115</v>
      </c>
      <c r="C759" s="2" t="s">
        <v>1822</v>
      </c>
      <c r="D759" s="2" t="s">
        <v>24</v>
      </c>
      <c r="E759" s="2" t="s">
        <v>59</v>
      </c>
      <c r="F759" s="2" t="s">
        <v>82</v>
      </c>
      <c r="G759" s="2" t="s">
        <v>73</v>
      </c>
      <c r="H759" s="2">
        <v>26</v>
      </c>
      <c r="I759" s="7">
        <v>457.45</v>
      </c>
      <c r="J759" s="2">
        <v>5</v>
      </c>
      <c r="K759" s="7">
        <v>11299.01</v>
      </c>
      <c r="L759" s="2" t="s">
        <v>31</v>
      </c>
      <c r="M759" s="2" t="s">
        <v>2364</v>
      </c>
    </row>
    <row r="760" spans="1:13" x14ac:dyDescent="0.3">
      <c r="A760" s="2" t="s">
        <v>623</v>
      </c>
      <c r="B760" s="5">
        <v>45705</v>
      </c>
      <c r="C760" s="2" t="s">
        <v>546</v>
      </c>
      <c r="D760" s="2" t="s">
        <v>24</v>
      </c>
      <c r="E760" s="2" t="s">
        <v>59</v>
      </c>
      <c r="F760" s="2" t="s">
        <v>82</v>
      </c>
      <c r="G760" s="2" t="s">
        <v>73</v>
      </c>
      <c r="H760" s="2">
        <v>19</v>
      </c>
      <c r="I760" s="7">
        <v>720.79</v>
      </c>
      <c r="J760" s="2">
        <v>15</v>
      </c>
      <c r="K760" s="7">
        <v>11640.76</v>
      </c>
      <c r="L760" s="2" t="s">
        <v>31</v>
      </c>
      <c r="M760" s="2" t="s">
        <v>2365</v>
      </c>
    </row>
    <row r="761" spans="1:13" x14ac:dyDescent="0.3">
      <c r="A761" s="2" t="s">
        <v>275</v>
      </c>
      <c r="B761" s="5">
        <v>45712</v>
      </c>
      <c r="C761" s="2" t="s">
        <v>276</v>
      </c>
      <c r="D761" s="2" t="s">
        <v>24</v>
      </c>
      <c r="E761" s="2" t="s">
        <v>25</v>
      </c>
      <c r="F761" s="2" t="s">
        <v>82</v>
      </c>
      <c r="G761" s="2" t="s">
        <v>73</v>
      </c>
      <c r="H761" s="2">
        <v>43</v>
      </c>
      <c r="I761" s="7">
        <v>301.3</v>
      </c>
      <c r="J761" s="2">
        <v>10</v>
      </c>
      <c r="K761" s="7">
        <v>11660.31</v>
      </c>
      <c r="L761" s="2" t="s">
        <v>2347</v>
      </c>
      <c r="M761" s="2" t="s">
        <v>2364</v>
      </c>
    </row>
    <row r="762" spans="1:13" x14ac:dyDescent="0.3">
      <c r="A762" s="2" t="s">
        <v>187</v>
      </c>
      <c r="B762" s="5">
        <v>46054</v>
      </c>
      <c r="C762" s="2" t="s">
        <v>188</v>
      </c>
      <c r="D762" s="2" t="s">
        <v>16</v>
      </c>
      <c r="E762" s="2" t="s">
        <v>17</v>
      </c>
      <c r="F762" s="2" t="s">
        <v>82</v>
      </c>
      <c r="G762" s="2" t="s">
        <v>73</v>
      </c>
      <c r="H762" s="2">
        <v>20</v>
      </c>
      <c r="I762" s="7">
        <v>656.14</v>
      </c>
      <c r="J762" s="2">
        <v>10</v>
      </c>
      <c r="K762" s="7">
        <v>11810.52</v>
      </c>
      <c r="L762" s="2" t="s">
        <v>69</v>
      </c>
      <c r="M762" s="2" t="s">
        <v>2365</v>
      </c>
    </row>
    <row r="763" spans="1:13" x14ac:dyDescent="0.3">
      <c r="A763" s="2" t="s">
        <v>1537</v>
      </c>
      <c r="B763" s="5">
        <v>46124</v>
      </c>
      <c r="C763" s="2" t="s">
        <v>1538</v>
      </c>
      <c r="D763" s="2" t="s">
        <v>24</v>
      </c>
      <c r="E763" s="2" t="s">
        <v>59</v>
      </c>
      <c r="F763" s="2" t="s">
        <v>82</v>
      </c>
      <c r="G763" s="2" t="s">
        <v>73</v>
      </c>
      <c r="H763" s="2">
        <v>26</v>
      </c>
      <c r="I763" s="7">
        <v>458.47</v>
      </c>
      <c r="J763" s="2">
        <v>0</v>
      </c>
      <c r="K763" s="7">
        <v>11920.22</v>
      </c>
      <c r="L763" s="2" t="s">
        <v>69</v>
      </c>
      <c r="M763" s="2" t="s">
        <v>2364</v>
      </c>
    </row>
    <row r="764" spans="1:13" x14ac:dyDescent="0.3">
      <c r="A764" s="2" t="s">
        <v>2210</v>
      </c>
      <c r="B764" s="5">
        <v>46293</v>
      </c>
      <c r="C764" s="2" t="s">
        <v>1928</v>
      </c>
      <c r="D764" s="2" t="s">
        <v>46</v>
      </c>
      <c r="E764" s="2" t="s">
        <v>78</v>
      </c>
      <c r="F764" s="2" t="s">
        <v>82</v>
      </c>
      <c r="G764" s="2" t="s">
        <v>73</v>
      </c>
      <c r="H764" s="2">
        <v>26</v>
      </c>
      <c r="I764" s="7">
        <v>495.88</v>
      </c>
      <c r="J764" s="2">
        <v>5</v>
      </c>
      <c r="K764" s="7">
        <v>12248.24</v>
      </c>
      <c r="L764" s="2" t="s">
        <v>27</v>
      </c>
      <c r="M764" s="2" t="s">
        <v>2364</v>
      </c>
    </row>
    <row r="765" spans="1:13" x14ac:dyDescent="0.3">
      <c r="A765" s="2" t="s">
        <v>2308</v>
      </c>
      <c r="B765" s="5">
        <v>46176</v>
      </c>
      <c r="C765" s="2" t="s">
        <v>2309</v>
      </c>
      <c r="D765" s="2" t="s">
        <v>46</v>
      </c>
      <c r="E765" s="2" t="s">
        <v>244</v>
      </c>
      <c r="F765" s="2" t="s">
        <v>82</v>
      </c>
      <c r="G765" s="2" t="s">
        <v>73</v>
      </c>
      <c r="H765" s="2">
        <v>31</v>
      </c>
      <c r="I765" s="7">
        <v>441.23</v>
      </c>
      <c r="J765" s="2">
        <v>10</v>
      </c>
      <c r="K765" s="7">
        <v>12310.32</v>
      </c>
      <c r="L765" s="2" t="s">
        <v>69</v>
      </c>
      <c r="M765" s="2" t="s">
        <v>2364</v>
      </c>
    </row>
    <row r="766" spans="1:13" x14ac:dyDescent="0.3">
      <c r="A766" s="2" t="s">
        <v>1237</v>
      </c>
      <c r="B766" s="5">
        <v>45817</v>
      </c>
      <c r="C766" s="2" t="s">
        <v>1238</v>
      </c>
      <c r="D766" s="2" t="s">
        <v>16</v>
      </c>
      <c r="E766" s="2" t="s">
        <v>91</v>
      </c>
      <c r="F766" s="2" t="s">
        <v>82</v>
      </c>
      <c r="G766" s="2" t="s">
        <v>73</v>
      </c>
      <c r="H766" s="2">
        <v>43</v>
      </c>
      <c r="I766" s="7">
        <v>320.12</v>
      </c>
      <c r="J766" s="2">
        <v>5</v>
      </c>
      <c r="K766" s="7">
        <v>13076.9</v>
      </c>
      <c r="L766" s="2" t="s">
        <v>49</v>
      </c>
      <c r="M766" s="2" t="s">
        <v>2365</v>
      </c>
    </row>
    <row r="767" spans="1:13" x14ac:dyDescent="0.3">
      <c r="A767" s="2" t="s">
        <v>2224</v>
      </c>
      <c r="B767" s="5">
        <v>45698</v>
      </c>
      <c r="C767" s="2" t="s">
        <v>2225</v>
      </c>
      <c r="D767" s="2" t="s">
        <v>53</v>
      </c>
      <c r="E767" s="2" t="s">
        <v>170</v>
      </c>
      <c r="F767" s="2" t="s">
        <v>82</v>
      </c>
      <c r="G767" s="2" t="s">
        <v>73</v>
      </c>
      <c r="H767" s="2">
        <v>18</v>
      </c>
      <c r="I767" s="7">
        <v>729.65</v>
      </c>
      <c r="J767" s="2">
        <v>0</v>
      </c>
      <c r="K767" s="7">
        <v>13133.7</v>
      </c>
      <c r="L767" s="2" t="s">
        <v>27</v>
      </c>
      <c r="M767" s="2" t="s">
        <v>2365</v>
      </c>
    </row>
    <row r="768" spans="1:13" x14ac:dyDescent="0.3">
      <c r="A768" s="2" t="s">
        <v>2267</v>
      </c>
      <c r="B768" s="5">
        <v>45818</v>
      </c>
      <c r="C768" s="2" t="s">
        <v>1315</v>
      </c>
      <c r="D768" s="2" t="s">
        <v>24</v>
      </c>
      <c r="E768" s="2" t="s">
        <v>25</v>
      </c>
      <c r="F768" s="2" t="s">
        <v>82</v>
      </c>
      <c r="G768" s="2" t="s">
        <v>73</v>
      </c>
      <c r="H768" s="2">
        <v>28</v>
      </c>
      <c r="I768" s="7">
        <v>593.09</v>
      </c>
      <c r="J768" s="2">
        <v>20</v>
      </c>
      <c r="K768" s="7">
        <v>13285.22</v>
      </c>
      <c r="L768" s="2" t="s">
        <v>49</v>
      </c>
      <c r="M768" s="2" t="s">
        <v>2365</v>
      </c>
    </row>
    <row r="769" spans="1:13" x14ac:dyDescent="0.3">
      <c r="A769" s="2" t="s">
        <v>1927</v>
      </c>
      <c r="B769" s="5">
        <v>45742</v>
      </c>
      <c r="C769" s="2" t="s">
        <v>1928</v>
      </c>
      <c r="D769" s="2" t="s">
        <v>16</v>
      </c>
      <c r="E769" s="2" t="s">
        <v>74</v>
      </c>
      <c r="F769" s="2" t="s">
        <v>82</v>
      </c>
      <c r="G769" s="2" t="s">
        <v>73</v>
      </c>
      <c r="H769" s="2">
        <v>25</v>
      </c>
      <c r="I769" s="7">
        <v>535.44000000000005</v>
      </c>
      <c r="J769" s="2">
        <v>0</v>
      </c>
      <c r="K769" s="7">
        <v>13386</v>
      </c>
      <c r="L769" s="2" t="s">
        <v>31</v>
      </c>
      <c r="M769" s="2" t="s">
        <v>2364</v>
      </c>
    </row>
    <row r="770" spans="1:13" x14ac:dyDescent="0.3">
      <c r="A770" s="2" t="s">
        <v>1730</v>
      </c>
      <c r="B770" s="5">
        <v>46244</v>
      </c>
      <c r="C770" s="2" t="s">
        <v>1731</v>
      </c>
      <c r="D770" s="2" t="s">
        <v>24</v>
      </c>
      <c r="E770" s="2" t="s">
        <v>104</v>
      </c>
      <c r="F770" s="2" t="s">
        <v>82</v>
      </c>
      <c r="G770" s="2" t="s">
        <v>73</v>
      </c>
      <c r="H770" s="2">
        <v>29</v>
      </c>
      <c r="I770" s="7">
        <v>469.02</v>
      </c>
      <c r="J770" s="2">
        <v>0</v>
      </c>
      <c r="K770" s="7">
        <v>13601.58</v>
      </c>
      <c r="L770" s="2" t="s">
        <v>69</v>
      </c>
      <c r="M770" s="2" t="s">
        <v>2364</v>
      </c>
    </row>
    <row r="771" spans="1:13" x14ac:dyDescent="0.3">
      <c r="A771" s="2" t="s">
        <v>1150</v>
      </c>
      <c r="B771" s="5">
        <v>46160</v>
      </c>
      <c r="C771" s="2" t="s">
        <v>1151</v>
      </c>
      <c r="D771" s="2" t="s">
        <v>24</v>
      </c>
      <c r="E771" s="2" t="s">
        <v>36</v>
      </c>
      <c r="F771" s="2" t="s">
        <v>82</v>
      </c>
      <c r="G771" s="2" t="s">
        <v>73</v>
      </c>
      <c r="H771" s="2">
        <v>24</v>
      </c>
      <c r="I771" s="7">
        <v>637.80999999999995</v>
      </c>
      <c r="J771" s="2">
        <v>10</v>
      </c>
      <c r="K771" s="7">
        <v>13776.7</v>
      </c>
      <c r="L771" s="2" t="s">
        <v>69</v>
      </c>
      <c r="M771" s="2" t="s">
        <v>2364</v>
      </c>
    </row>
    <row r="772" spans="1:13" x14ac:dyDescent="0.3">
      <c r="A772" s="2" t="s">
        <v>712</v>
      </c>
      <c r="B772" s="5">
        <v>45995</v>
      </c>
      <c r="C772" s="2" t="s">
        <v>713</v>
      </c>
      <c r="D772" s="2" t="s">
        <v>24</v>
      </c>
      <c r="E772" s="2" t="s">
        <v>41</v>
      </c>
      <c r="F772" s="2" t="s">
        <v>82</v>
      </c>
      <c r="G772" s="2" t="s">
        <v>73</v>
      </c>
      <c r="H772" s="2">
        <v>44</v>
      </c>
      <c r="I772" s="7">
        <v>356</v>
      </c>
      <c r="J772" s="2">
        <v>10</v>
      </c>
      <c r="K772" s="7">
        <v>14097.6</v>
      </c>
      <c r="L772" s="2" t="s">
        <v>27</v>
      </c>
      <c r="M772" s="2" t="s">
        <v>2364</v>
      </c>
    </row>
    <row r="773" spans="1:13" x14ac:dyDescent="0.3">
      <c r="A773" s="2" t="s">
        <v>428</v>
      </c>
      <c r="B773" s="5">
        <v>45958</v>
      </c>
      <c r="C773" s="2" t="s">
        <v>429</v>
      </c>
      <c r="D773" s="2" t="s">
        <v>16</v>
      </c>
      <c r="E773" s="2" t="s">
        <v>17</v>
      </c>
      <c r="F773" s="2" t="s">
        <v>82</v>
      </c>
      <c r="G773" s="2" t="s">
        <v>73</v>
      </c>
      <c r="H773" s="2">
        <v>22</v>
      </c>
      <c r="I773" s="7">
        <v>718.94</v>
      </c>
      <c r="J773" s="2">
        <v>10</v>
      </c>
      <c r="K773" s="7">
        <v>14235.01</v>
      </c>
      <c r="L773" s="2" t="s">
        <v>49</v>
      </c>
      <c r="M773" s="2" t="s">
        <v>2365</v>
      </c>
    </row>
    <row r="774" spans="1:13" x14ac:dyDescent="0.3">
      <c r="A774" s="2" t="s">
        <v>2198</v>
      </c>
      <c r="B774" s="5">
        <v>45912</v>
      </c>
      <c r="C774" s="2" t="s">
        <v>618</v>
      </c>
      <c r="D774" s="2" t="s">
        <v>53</v>
      </c>
      <c r="E774" s="2" t="s">
        <v>54</v>
      </c>
      <c r="F774" s="2" t="s">
        <v>82</v>
      </c>
      <c r="G774" s="2" t="s">
        <v>73</v>
      </c>
      <c r="H774" s="2">
        <v>36</v>
      </c>
      <c r="I774" s="7">
        <v>396.91</v>
      </c>
      <c r="J774" s="2">
        <v>0</v>
      </c>
      <c r="K774" s="7">
        <v>14288.76</v>
      </c>
      <c r="L774" s="2" t="s">
        <v>27</v>
      </c>
      <c r="M774" s="2" t="s">
        <v>2364</v>
      </c>
    </row>
    <row r="775" spans="1:13" x14ac:dyDescent="0.3">
      <c r="A775" s="2" t="s">
        <v>819</v>
      </c>
      <c r="B775" s="5">
        <v>45761</v>
      </c>
      <c r="C775" s="2" t="s">
        <v>820</v>
      </c>
      <c r="D775" s="2" t="s">
        <v>16</v>
      </c>
      <c r="E775" s="2" t="s">
        <v>160</v>
      </c>
      <c r="F775" s="2" t="s">
        <v>82</v>
      </c>
      <c r="G775" s="2" t="s">
        <v>73</v>
      </c>
      <c r="H775" s="2">
        <v>29</v>
      </c>
      <c r="I775" s="7">
        <v>550.74</v>
      </c>
      <c r="J775" s="2">
        <v>10</v>
      </c>
      <c r="K775" s="7">
        <v>14374.31</v>
      </c>
      <c r="L775" s="2" t="s">
        <v>31</v>
      </c>
      <c r="M775" s="2" t="s">
        <v>2364</v>
      </c>
    </row>
    <row r="776" spans="1:13" x14ac:dyDescent="0.3">
      <c r="A776" s="2" t="s">
        <v>1782</v>
      </c>
      <c r="B776" s="5">
        <v>46294</v>
      </c>
      <c r="C776" s="2" t="s">
        <v>1525</v>
      </c>
      <c r="D776" s="2" t="s">
        <v>53</v>
      </c>
      <c r="E776" s="2" t="s">
        <v>54</v>
      </c>
      <c r="F776" s="2" t="s">
        <v>82</v>
      </c>
      <c r="G776" s="2" t="s">
        <v>73</v>
      </c>
      <c r="H776" s="2">
        <v>33</v>
      </c>
      <c r="I776" s="7">
        <v>486.25</v>
      </c>
      <c r="J776" s="2">
        <v>10</v>
      </c>
      <c r="K776" s="7">
        <v>14441.63</v>
      </c>
      <c r="L776" s="2" t="s">
        <v>31</v>
      </c>
      <c r="M776" s="2" t="s">
        <v>2364</v>
      </c>
    </row>
    <row r="777" spans="1:13" x14ac:dyDescent="0.3">
      <c r="A777" s="2" t="s">
        <v>691</v>
      </c>
      <c r="B777" s="5">
        <v>46217</v>
      </c>
      <c r="C777" s="2" t="s">
        <v>692</v>
      </c>
      <c r="D777" s="2" t="s">
        <v>16</v>
      </c>
      <c r="E777" s="2" t="s">
        <v>74</v>
      </c>
      <c r="F777" s="2" t="s">
        <v>82</v>
      </c>
      <c r="G777" s="2" t="s">
        <v>73</v>
      </c>
      <c r="H777" s="2">
        <v>35</v>
      </c>
      <c r="I777" s="7">
        <v>524.15</v>
      </c>
      <c r="J777" s="2">
        <v>20</v>
      </c>
      <c r="K777" s="7">
        <v>14676.2</v>
      </c>
      <c r="L777" s="2" t="s">
        <v>69</v>
      </c>
      <c r="M777" s="2" t="s">
        <v>2364</v>
      </c>
    </row>
    <row r="778" spans="1:13" x14ac:dyDescent="0.3">
      <c r="A778" s="2" t="s">
        <v>2280</v>
      </c>
      <c r="B778" s="5">
        <v>46094</v>
      </c>
      <c r="C778" s="2" t="s">
        <v>2281</v>
      </c>
      <c r="D778" s="2" t="s">
        <v>16</v>
      </c>
      <c r="E778" s="2" t="s">
        <v>17</v>
      </c>
      <c r="F778" s="2" t="s">
        <v>82</v>
      </c>
      <c r="G778" s="2" t="s">
        <v>73</v>
      </c>
      <c r="H778" s="2">
        <v>40</v>
      </c>
      <c r="I778" s="7">
        <v>367.76</v>
      </c>
      <c r="J778" s="2">
        <v>0</v>
      </c>
      <c r="K778" s="7">
        <v>14710.4</v>
      </c>
      <c r="L778" s="2" t="s">
        <v>69</v>
      </c>
      <c r="M778" s="2" t="s">
        <v>2364</v>
      </c>
    </row>
    <row r="779" spans="1:13" x14ac:dyDescent="0.3">
      <c r="A779" s="2" t="s">
        <v>737</v>
      </c>
      <c r="B779" s="5">
        <v>46179</v>
      </c>
      <c r="C779" s="2" t="s">
        <v>738</v>
      </c>
      <c r="D779" s="2" t="s">
        <v>24</v>
      </c>
      <c r="E779" s="2" t="s">
        <v>41</v>
      </c>
      <c r="F779" s="2" t="s">
        <v>82</v>
      </c>
      <c r="G779" s="2" t="s">
        <v>73</v>
      </c>
      <c r="H779" s="2">
        <v>26</v>
      </c>
      <c r="I779" s="7">
        <v>565.84</v>
      </c>
      <c r="J779" s="2">
        <v>0</v>
      </c>
      <c r="K779" s="7">
        <v>14711.84</v>
      </c>
      <c r="L779" s="2" t="s">
        <v>27</v>
      </c>
      <c r="M779" s="2" t="s">
        <v>2364</v>
      </c>
    </row>
    <row r="780" spans="1:13" x14ac:dyDescent="0.3">
      <c r="A780" s="2" t="s">
        <v>1895</v>
      </c>
      <c r="B780" s="5">
        <v>46067</v>
      </c>
      <c r="C780" s="2" t="s">
        <v>662</v>
      </c>
      <c r="D780" s="2" t="s">
        <v>53</v>
      </c>
      <c r="E780" s="2" t="s">
        <v>54</v>
      </c>
      <c r="F780" s="2" t="s">
        <v>82</v>
      </c>
      <c r="G780" s="2" t="s">
        <v>73</v>
      </c>
      <c r="H780" s="2">
        <v>42</v>
      </c>
      <c r="I780" s="7">
        <v>429.08</v>
      </c>
      <c r="J780" s="2">
        <v>15</v>
      </c>
      <c r="K780" s="7">
        <v>15318.16</v>
      </c>
      <c r="L780" s="2" t="s">
        <v>27</v>
      </c>
      <c r="M780" s="2" t="s">
        <v>2365</v>
      </c>
    </row>
    <row r="781" spans="1:13" x14ac:dyDescent="0.3">
      <c r="A781" s="2" t="s">
        <v>1814</v>
      </c>
      <c r="B781" s="5">
        <v>46236</v>
      </c>
      <c r="C781" s="2" t="s">
        <v>1815</v>
      </c>
      <c r="D781" s="2" t="s">
        <v>16</v>
      </c>
      <c r="E781" s="2" t="s">
        <v>74</v>
      </c>
      <c r="F781" s="2" t="s">
        <v>82</v>
      </c>
      <c r="G781" s="2" t="s">
        <v>73</v>
      </c>
      <c r="H781" s="2">
        <v>41</v>
      </c>
      <c r="I781" s="7">
        <v>394.53</v>
      </c>
      <c r="J781" s="2">
        <v>0</v>
      </c>
      <c r="K781" s="7">
        <v>16175.73</v>
      </c>
      <c r="L781" s="2" t="s">
        <v>69</v>
      </c>
      <c r="M781" s="2" t="s">
        <v>2364</v>
      </c>
    </row>
    <row r="782" spans="1:13" x14ac:dyDescent="0.3">
      <c r="A782" s="2" t="s">
        <v>1478</v>
      </c>
      <c r="B782" s="5">
        <v>45722</v>
      </c>
      <c r="C782" s="2" t="s">
        <v>1479</v>
      </c>
      <c r="D782" s="2" t="s">
        <v>16</v>
      </c>
      <c r="E782" s="2" t="s">
        <v>111</v>
      </c>
      <c r="F782" s="2" t="s">
        <v>82</v>
      </c>
      <c r="G782" s="2" t="s">
        <v>73</v>
      </c>
      <c r="H782" s="2">
        <v>49</v>
      </c>
      <c r="I782" s="7">
        <v>337.74</v>
      </c>
      <c r="J782" s="2">
        <v>0</v>
      </c>
      <c r="K782" s="7">
        <v>16549.259999999998</v>
      </c>
      <c r="L782" s="2" t="s">
        <v>27</v>
      </c>
      <c r="M782" s="2" t="s">
        <v>2364</v>
      </c>
    </row>
    <row r="783" spans="1:13" x14ac:dyDescent="0.3">
      <c r="A783" s="2" t="s">
        <v>1263</v>
      </c>
      <c r="B783" s="5">
        <v>45735</v>
      </c>
      <c r="C783" s="2" t="s">
        <v>1264</v>
      </c>
      <c r="D783" s="2" t="s">
        <v>16</v>
      </c>
      <c r="E783" s="2" t="s">
        <v>17</v>
      </c>
      <c r="F783" s="2" t="s">
        <v>82</v>
      </c>
      <c r="G783" s="2" t="s">
        <v>73</v>
      </c>
      <c r="H783" s="2">
        <v>37</v>
      </c>
      <c r="I783" s="7">
        <v>455.64</v>
      </c>
      <c r="J783" s="2">
        <v>0</v>
      </c>
      <c r="K783" s="7">
        <v>16858.68</v>
      </c>
      <c r="L783" s="2" t="s">
        <v>49</v>
      </c>
      <c r="M783" s="2" t="s">
        <v>2364</v>
      </c>
    </row>
    <row r="784" spans="1:13" x14ac:dyDescent="0.3">
      <c r="A784" s="2" t="s">
        <v>1902</v>
      </c>
      <c r="B784" s="5">
        <v>45997</v>
      </c>
      <c r="C784" s="2" t="s">
        <v>1903</v>
      </c>
      <c r="D784" s="2" t="s">
        <v>16</v>
      </c>
      <c r="E784" s="2" t="s">
        <v>111</v>
      </c>
      <c r="F784" s="2" t="s">
        <v>82</v>
      </c>
      <c r="G784" s="2" t="s">
        <v>73</v>
      </c>
      <c r="H784" s="2">
        <v>46</v>
      </c>
      <c r="I784" s="7">
        <v>379.47</v>
      </c>
      <c r="J784" s="2">
        <v>0</v>
      </c>
      <c r="K784" s="7">
        <v>17455.62</v>
      </c>
      <c r="L784" s="2" t="s">
        <v>27</v>
      </c>
      <c r="M784" s="2" t="s">
        <v>2365</v>
      </c>
    </row>
    <row r="785" spans="1:13" x14ac:dyDescent="0.3">
      <c r="A785" s="2" t="s">
        <v>671</v>
      </c>
      <c r="B785" s="5">
        <v>46279</v>
      </c>
      <c r="C785" s="2" t="s">
        <v>672</v>
      </c>
      <c r="D785" s="2" t="s">
        <v>46</v>
      </c>
      <c r="E785" s="2" t="s">
        <v>78</v>
      </c>
      <c r="F785" s="2" t="s">
        <v>82</v>
      </c>
      <c r="G785" s="2" t="s">
        <v>73</v>
      </c>
      <c r="H785" s="2">
        <v>29</v>
      </c>
      <c r="I785" s="7">
        <v>680.47</v>
      </c>
      <c r="J785" s="2">
        <v>10</v>
      </c>
      <c r="K785" s="7">
        <v>17760.27</v>
      </c>
      <c r="L785" s="2" t="s">
        <v>49</v>
      </c>
      <c r="M785" s="2" t="s">
        <v>2364</v>
      </c>
    </row>
    <row r="786" spans="1:13" x14ac:dyDescent="0.3">
      <c r="A786" s="2" t="s">
        <v>1030</v>
      </c>
      <c r="B786" s="5">
        <v>46301</v>
      </c>
      <c r="C786" s="2" t="s">
        <v>786</v>
      </c>
      <c r="D786" s="2" t="s">
        <v>16</v>
      </c>
      <c r="E786" s="2" t="s">
        <v>74</v>
      </c>
      <c r="F786" s="2" t="s">
        <v>82</v>
      </c>
      <c r="G786" s="2" t="s">
        <v>73</v>
      </c>
      <c r="H786" s="2">
        <v>34</v>
      </c>
      <c r="I786" s="7">
        <v>553.53</v>
      </c>
      <c r="J786" s="2">
        <v>0</v>
      </c>
      <c r="K786" s="7">
        <v>18820.02</v>
      </c>
      <c r="L786" s="2" t="s">
        <v>69</v>
      </c>
      <c r="M786" s="2" t="s">
        <v>2364</v>
      </c>
    </row>
    <row r="787" spans="1:13" x14ac:dyDescent="0.3">
      <c r="A787" s="2" t="s">
        <v>172</v>
      </c>
      <c r="B787" s="5">
        <v>46207</v>
      </c>
      <c r="C787" s="2" t="s">
        <v>173</v>
      </c>
      <c r="D787" s="2" t="s">
        <v>16</v>
      </c>
      <c r="E787" s="2" t="s">
        <v>74</v>
      </c>
      <c r="F787" s="2" t="s">
        <v>82</v>
      </c>
      <c r="G787" s="2" t="s">
        <v>73</v>
      </c>
      <c r="H787" s="2">
        <v>32</v>
      </c>
      <c r="I787" s="7">
        <v>627.63</v>
      </c>
      <c r="J787" s="2">
        <v>0</v>
      </c>
      <c r="K787" s="7">
        <v>20084.16</v>
      </c>
      <c r="L787" s="2" t="s">
        <v>31</v>
      </c>
      <c r="M787" s="2" t="s">
        <v>2364</v>
      </c>
    </row>
    <row r="788" spans="1:13" x14ac:dyDescent="0.3">
      <c r="A788" s="2" t="s">
        <v>1843</v>
      </c>
      <c r="B788" s="5">
        <v>46303</v>
      </c>
      <c r="C788" s="2" t="s">
        <v>1844</v>
      </c>
      <c r="D788" s="2" t="s">
        <v>16</v>
      </c>
      <c r="E788" s="2" t="s">
        <v>74</v>
      </c>
      <c r="F788" s="2" t="s">
        <v>82</v>
      </c>
      <c r="G788" s="2" t="s">
        <v>73</v>
      </c>
      <c r="H788" s="2">
        <v>31</v>
      </c>
      <c r="I788" s="7">
        <v>685.6</v>
      </c>
      <c r="J788" s="2">
        <v>5</v>
      </c>
      <c r="K788" s="7">
        <v>20190.919999999998</v>
      </c>
      <c r="L788" s="2" t="s">
        <v>31</v>
      </c>
      <c r="M788" s="2" t="s">
        <v>2364</v>
      </c>
    </row>
    <row r="789" spans="1:13" x14ac:dyDescent="0.3">
      <c r="A789" s="2" t="s">
        <v>249</v>
      </c>
      <c r="B789" s="5">
        <v>46000</v>
      </c>
      <c r="C789" s="2" t="s">
        <v>250</v>
      </c>
      <c r="D789" s="2" t="s">
        <v>46</v>
      </c>
      <c r="E789" s="2" t="s">
        <v>124</v>
      </c>
      <c r="F789" s="2" t="s">
        <v>82</v>
      </c>
      <c r="G789" s="2" t="s">
        <v>73</v>
      </c>
      <c r="H789" s="2">
        <v>44</v>
      </c>
      <c r="I789" s="7">
        <v>492.47</v>
      </c>
      <c r="J789" s="2">
        <v>5</v>
      </c>
      <c r="K789" s="7">
        <v>20585.25</v>
      </c>
      <c r="L789" s="2" t="s">
        <v>69</v>
      </c>
      <c r="M789" s="2" t="s">
        <v>2364</v>
      </c>
    </row>
    <row r="790" spans="1:13" x14ac:dyDescent="0.3">
      <c r="A790" s="2" t="s">
        <v>630</v>
      </c>
      <c r="B790" s="5">
        <v>45795</v>
      </c>
      <c r="C790" s="2" t="s">
        <v>631</v>
      </c>
      <c r="D790" s="2" t="s">
        <v>16</v>
      </c>
      <c r="E790" s="2" t="s">
        <v>160</v>
      </c>
      <c r="F790" s="2" t="s">
        <v>82</v>
      </c>
      <c r="G790" s="2" t="s">
        <v>73</v>
      </c>
      <c r="H790" s="2">
        <v>43</v>
      </c>
      <c r="I790" s="7">
        <v>505.66</v>
      </c>
      <c r="J790" s="2">
        <v>5</v>
      </c>
      <c r="K790" s="7">
        <v>20656.21</v>
      </c>
      <c r="L790" s="2" t="s">
        <v>2347</v>
      </c>
      <c r="M790" s="2" t="s">
        <v>2364</v>
      </c>
    </row>
    <row r="791" spans="1:13" x14ac:dyDescent="0.3">
      <c r="A791" s="2" t="s">
        <v>808</v>
      </c>
      <c r="B791" s="5">
        <v>45924</v>
      </c>
      <c r="C791" s="2" t="s">
        <v>809</v>
      </c>
      <c r="D791" s="2" t="s">
        <v>24</v>
      </c>
      <c r="E791" s="2" t="s">
        <v>41</v>
      </c>
      <c r="F791" s="2" t="s">
        <v>82</v>
      </c>
      <c r="G791" s="2" t="s">
        <v>73</v>
      </c>
      <c r="H791" s="2">
        <v>34</v>
      </c>
      <c r="I791" s="7">
        <v>648.09</v>
      </c>
      <c r="J791" s="2">
        <v>5</v>
      </c>
      <c r="K791" s="7">
        <v>20933.310000000001</v>
      </c>
      <c r="L791" s="2" t="s">
        <v>31</v>
      </c>
      <c r="M791" s="2" t="s">
        <v>2365</v>
      </c>
    </row>
    <row r="792" spans="1:13" x14ac:dyDescent="0.3">
      <c r="A792" s="2" t="s">
        <v>1557</v>
      </c>
      <c r="B792" s="5">
        <v>45784</v>
      </c>
      <c r="C792" s="2" t="s">
        <v>1122</v>
      </c>
      <c r="D792" s="2" t="s">
        <v>24</v>
      </c>
      <c r="E792" s="2" t="s">
        <v>41</v>
      </c>
      <c r="F792" s="2" t="s">
        <v>82</v>
      </c>
      <c r="G792" s="2" t="s">
        <v>73</v>
      </c>
      <c r="H792" s="2">
        <v>50</v>
      </c>
      <c r="I792" s="7">
        <v>422.9</v>
      </c>
      <c r="J792" s="2">
        <v>0</v>
      </c>
      <c r="K792" s="7">
        <v>21145</v>
      </c>
      <c r="L792" s="2" t="s">
        <v>2347</v>
      </c>
      <c r="M792" s="2" t="s">
        <v>2365</v>
      </c>
    </row>
    <row r="793" spans="1:13" x14ac:dyDescent="0.3">
      <c r="A793" s="2" t="s">
        <v>329</v>
      </c>
      <c r="B793" s="5">
        <v>46045</v>
      </c>
      <c r="C793" s="2" t="s">
        <v>330</v>
      </c>
      <c r="D793" s="2" t="s">
        <v>53</v>
      </c>
      <c r="E793" s="2" t="s">
        <v>54</v>
      </c>
      <c r="F793" s="2" t="s">
        <v>82</v>
      </c>
      <c r="G793" s="2" t="s">
        <v>73</v>
      </c>
      <c r="H793" s="2">
        <v>31</v>
      </c>
      <c r="I793" s="7">
        <v>706.82</v>
      </c>
      <c r="J793" s="2">
        <v>0</v>
      </c>
      <c r="K793" s="7">
        <v>21911.42</v>
      </c>
      <c r="L793" s="2" t="s">
        <v>31</v>
      </c>
      <c r="M793" s="2" t="s">
        <v>2364</v>
      </c>
    </row>
    <row r="794" spans="1:13" x14ac:dyDescent="0.3">
      <c r="A794" s="2" t="s">
        <v>806</v>
      </c>
      <c r="B794" s="5">
        <v>45653</v>
      </c>
      <c r="C794" s="2" t="s">
        <v>153</v>
      </c>
      <c r="D794" s="2" t="s">
        <v>24</v>
      </c>
      <c r="E794" s="2" t="s">
        <v>36</v>
      </c>
      <c r="F794" s="2" t="s">
        <v>82</v>
      </c>
      <c r="G794" s="2" t="s">
        <v>73</v>
      </c>
      <c r="H794" s="2">
        <v>34</v>
      </c>
      <c r="I794" s="7">
        <v>773.52</v>
      </c>
      <c r="J794" s="2">
        <v>10</v>
      </c>
      <c r="K794" s="7">
        <v>23669.71</v>
      </c>
      <c r="L794" s="2" t="s">
        <v>2347</v>
      </c>
      <c r="M794" s="2" t="s">
        <v>2364</v>
      </c>
    </row>
    <row r="795" spans="1:13" x14ac:dyDescent="0.3">
      <c r="A795" s="2" t="s">
        <v>1468</v>
      </c>
      <c r="B795" s="5">
        <v>45801</v>
      </c>
      <c r="C795" s="2" t="s">
        <v>1469</v>
      </c>
      <c r="D795" s="2" t="s">
        <v>24</v>
      </c>
      <c r="E795" s="2" t="s">
        <v>36</v>
      </c>
      <c r="F795" s="2" t="s">
        <v>82</v>
      </c>
      <c r="G795" s="2" t="s">
        <v>73</v>
      </c>
      <c r="H795" s="2">
        <v>46</v>
      </c>
      <c r="I795" s="7">
        <v>603.1</v>
      </c>
      <c r="J795" s="2">
        <v>10</v>
      </c>
      <c r="K795" s="7">
        <v>24968.34</v>
      </c>
      <c r="L795" s="2" t="s">
        <v>49</v>
      </c>
      <c r="M795" s="2" t="s">
        <v>2364</v>
      </c>
    </row>
    <row r="796" spans="1:13" x14ac:dyDescent="0.3">
      <c r="A796" s="2" t="s">
        <v>1878</v>
      </c>
      <c r="B796" s="5">
        <v>46237</v>
      </c>
      <c r="C796" s="2" t="s">
        <v>725</v>
      </c>
      <c r="D796" s="2" t="s">
        <v>53</v>
      </c>
      <c r="E796" s="2" t="s">
        <v>67</v>
      </c>
      <c r="F796" s="2" t="s">
        <v>82</v>
      </c>
      <c r="G796" s="2" t="s">
        <v>73</v>
      </c>
      <c r="H796" s="2">
        <v>39</v>
      </c>
      <c r="I796" s="7">
        <v>661.32</v>
      </c>
      <c r="J796" s="2">
        <v>0</v>
      </c>
      <c r="K796" s="7">
        <v>25791.48</v>
      </c>
      <c r="L796" s="2" t="s">
        <v>49</v>
      </c>
      <c r="M796" s="2" t="s">
        <v>2365</v>
      </c>
    </row>
    <row r="797" spans="1:13" x14ac:dyDescent="0.3">
      <c r="A797" s="2" t="s">
        <v>1986</v>
      </c>
      <c r="B797" s="5">
        <v>45607</v>
      </c>
      <c r="C797" s="2" t="s">
        <v>1987</v>
      </c>
      <c r="D797" s="2" t="s">
        <v>16</v>
      </c>
      <c r="E797" s="2" t="s">
        <v>111</v>
      </c>
      <c r="F797" s="2" t="s">
        <v>82</v>
      </c>
      <c r="G797" s="2" t="s">
        <v>73</v>
      </c>
      <c r="H797" s="2">
        <v>45</v>
      </c>
      <c r="I797" s="7">
        <v>580.89</v>
      </c>
      <c r="J797" s="2">
        <v>0</v>
      </c>
      <c r="K797" s="7">
        <v>26140.05</v>
      </c>
      <c r="L797" s="2" t="s">
        <v>27</v>
      </c>
      <c r="M797" s="2" t="s">
        <v>2364</v>
      </c>
    </row>
    <row r="798" spans="1:13" x14ac:dyDescent="0.3">
      <c r="A798" s="2" t="s">
        <v>1104</v>
      </c>
      <c r="B798" s="5">
        <v>46139</v>
      </c>
      <c r="C798" s="2" t="s">
        <v>741</v>
      </c>
      <c r="D798" s="2" t="s">
        <v>53</v>
      </c>
      <c r="E798" s="2" t="s">
        <v>141</v>
      </c>
      <c r="F798" s="2" t="s">
        <v>82</v>
      </c>
      <c r="G798" s="2" t="s">
        <v>73</v>
      </c>
      <c r="H798" s="2">
        <v>36</v>
      </c>
      <c r="I798" s="7">
        <v>790.44</v>
      </c>
      <c r="J798" s="2">
        <v>5</v>
      </c>
      <c r="K798" s="7">
        <v>27033.05</v>
      </c>
      <c r="L798" s="2" t="s">
        <v>49</v>
      </c>
      <c r="M798" s="2" t="s">
        <v>2364</v>
      </c>
    </row>
    <row r="799" spans="1:13" x14ac:dyDescent="0.3">
      <c r="A799" s="2" t="s">
        <v>911</v>
      </c>
      <c r="B799" s="5">
        <v>45891</v>
      </c>
      <c r="C799" s="2" t="s">
        <v>912</v>
      </c>
      <c r="D799" s="2" t="s">
        <v>53</v>
      </c>
      <c r="E799" s="2" t="s">
        <v>134</v>
      </c>
      <c r="F799" s="2" t="s">
        <v>82</v>
      </c>
      <c r="G799" s="2" t="s">
        <v>73</v>
      </c>
      <c r="H799" s="2">
        <v>45</v>
      </c>
      <c r="I799" s="7">
        <v>654.98</v>
      </c>
      <c r="J799" s="2">
        <v>5</v>
      </c>
      <c r="K799" s="7">
        <v>28000.400000000001</v>
      </c>
      <c r="L799" s="2" t="s">
        <v>49</v>
      </c>
      <c r="M799" s="2" t="s">
        <v>2364</v>
      </c>
    </row>
    <row r="800" spans="1:13" x14ac:dyDescent="0.3">
      <c r="A800" s="2" t="s">
        <v>1692</v>
      </c>
      <c r="B800" s="5">
        <v>45592</v>
      </c>
      <c r="C800" s="2" t="s">
        <v>1693</v>
      </c>
      <c r="D800" s="2" t="s">
        <v>46</v>
      </c>
      <c r="E800" s="2" t="s">
        <v>244</v>
      </c>
      <c r="F800" s="2" t="s">
        <v>82</v>
      </c>
      <c r="G800" s="2" t="s">
        <v>73</v>
      </c>
      <c r="H800" s="2">
        <v>39</v>
      </c>
      <c r="I800" s="7">
        <v>718.61</v>
      </c>
      <c r="J800" s="2">
        <v>0</v>
      </c>
      <c r="K800" s="7">
        <v>28025.79</v>
      </c>
      <c r="L800" s="2" t="s">
        <v>2347</v>
      </c>
      <c r="M800" s="2" t="s">
        <v>2365</v>
      </c>
    </row>
    <row r="801" spans="1:13" x14ac:dyDescent="0.3">
      <c r="A801" s="2" t="s">
        <v>1719</v>
      </c>
      <c r="B801" s="5">
        <v>45759</v>
      </c>
      <c r="C801" s="2" t="s">
        <v>710</v>
      </c>
      <c r="D801" s="2" t="s">
        <v>53</v>
      </c>
      <c r="E801" s="2" t="s">
        <v>134</v>
      </c>
      <c r="F801" s="2" t="s">
        <v>82</v>
      </c>
      <c r="G801" s="2" t="s">
        <v>73</v>
      </c>
      <c r="H801" s="2">
        <v>45</v>
      </c>
      <c r="I801" s="7">
        <v>630.27</v>
      </c>
      <c r="J801" s="2">
        <v>0</v>
      </c>
      <c r="K801" s="7">
        <v>28362.15</v>
      </c>
      <c r="L801" s="2" t="s">
        <v>27</v>
      </c>
      <c r="M801" s="2" t="s">
        <v>2365</v>
      </c>
    </row>
    <row r="802" spans="1:13" x14ac:dyDescent="0.3">
      <c r="A802" s="2" t="s">
        <v>1113</v>
      </c>
      <c r="B802" s="5">
        <v>45753</v>
      </c>
      <c r="C802" s="2" t="s">
        <v>1114</v>
      </c>
      <c r="D802" s="2" t="s">
        <v>16</v>
      </c>
      <c r="E802" s="2" t="s">
        <v>17</v>
      </c>
      <c r="F802" s="2" t="s">
        <v>82</v>
      </c>
      <c r="G802" s="2" t="s">
        <v>73</v>
      </c>
      <c r="H802" s="2">
        <v>48</v>
      </c>
      <c r="I802" s="7">
        <v>628.04999999999995</v>
      </c>
      <c r="J802" s="2">
        <v>0</v>
      </c>
      <c r="K802" s="7">
        <v>30146.400000000001</v>
      </c>
      <c r="L802" s="2" t="s">
        <v>2347</v>
      </c>
      <c r="M802" s="2" t="s">
        <v>2364</v>
      </c>
    </row>
    <row r="803" spans="1:13" x14ac:dyDescent="0.3">
      <c r="A803" s="2" t="s">
        <v>1959</v>
      </c>
      <c r="B803" s="5">
        <v>45702</v>
      </c>
      <c r="C803" s="2" t="s">
        <v>1183</v>
      </c>
      <c r="D803" s="2" t="s">
        <v>16</v>
      </c>
      <c r="E803" s="2" t="s">
        <v>160</v>
      </c>
      <c r="F803" s="2" t="s">
        <v>82</v>
      </c>
      <c r="G803" s="2" t="s">
        <v>73</v>
      </c>
      <c r="H803" s="2">
        <v>44</v>
      </c>
      <c r="I803" s="7">
        <v>780.56</v>
      </c>
      <c r="J803" s="2">
        <v>10</v>
      </c>
      <c r="K803" s="7">
        <v>30910.18</v>
      </c>
      <c r="L803" s="2" t="s">
        <v>31</v>
      </c>
      <c r="M803" s="2" t="s">
        <v>2364</v>
      </c>
    </row>
    <row r="804" spans="1:13" x14ac:dyDescent="0.3">
      <c r="A804" s="2" t="s">
        <v>2050</v>
      </c>
      <c r="B804" s="5">
        <v>45640</v>
      </c>
      <c r="C804" s="2" t="s">
        <v>2051</v>
      </c>
      <c r="D804" s="2" t="s">
        <v>46</v>
      </c>
      <c r="E804" s="2" t="s">
        <v>83</v>
      </c>
      <c r="F804" s="2" t="s">
        <v>82</v>
      </c>
      <c r="G804" s="2" t="s">
        <v>73</v>
      </c>
      <c r="H804" s="2">
        <v>45</v>
      </c>
      <c r="I804" s="7">
        <v>706.49</v>
      </c>
      <c r="J804" s="2">
        <v>0</v>
      </c>
      <c r="K804" s="7">
        <v>31792.05</v>
      </c>
      <c r="L804" s="2" t="s">
        <v>31</v>
      </c>
      <c r="M804" s="2" t="s">
        <v>2364</v>
      </c>
    </row>
    <row r="805" spans="1:13" x14ac:dyDescent="0.3">
      <c r="A805" s="2" t="s">
        <v>1095</v>
      </c>
      <c r="B805" s="5">
        <v>46003</v>
      </c>
      <c r="C805" s="2" t="s">
        <v>1096</v>
      </c>
      <c r="D805" s="2" t="s">
        <v>24</v>
      </c>
      <c r="E805" s="2" t="s">
        <v>36</v>
      </c>
      <c r="F805" s="2" t="s">
        <v>63</v>
      </c>
      <c r="G805" s="2" t="s">
        <v>15</v>
      </c>
      <c r="H805" s="2">
        <v>1</v>
      </c>
      <c r="I805" s="7">
        <v>40.479999999999997</v>
      </c>
      <c r="J805" s="2">
        <v>10</v>
      </c>
      <c r="K805" s="7">
        <v>36.43</v>
      </c>
      <c r="L805" s="2" t="s">
        <v>31</v>
      </c>
      <c r="M805" s="2" t="s">
        <v>2365</v>
      </c>
    </row>
    <row r="806" spans="1:13" x14ac:dyDescent="0.3">
      <c r="A806" s="2" t="s">
        <v>326</v>
      </c>
      <c r="B806" s="5">
        <v>46078</v>
      </c>
      <c r="C806" s="2" t="s">
        <v>327</v>
      </c>
      <c r="D806" s="2" t="s">
        <v>24</v>
      </c>
      <c r="E806" s="2" t="s">
        <v>59</v>
      </c>
      <c r="F806" s="2" t="s">
        <v>63</v>
      </c>
      <c r="G806" s="2" t="s">
        <v>15</v>
      </c>
      <c r="H806" s="2">
        <v>1</v>
      </c>
      <c r="I806" s="7">
        <v>36.97</v>
      </c>
      <c r="J806" s="2">
        <v>0</v>
      </c>
      <c r="K806" s="7">
        <v>36.97</v>
      </c>
      <c r="L806" s="2" t="s">
        <v>2347</v>
      </c>
      <c r="M806" s="2" t="s">
        <v>2365</v>
      </c>
    </row>
    <row r="807" spans="1:13" x14ac:dyDescent="0.3">
      <c r="A807" s="2" t="s">
        <v>1522</v>
      </c>
      <c r="B807" s="5">
        <v>46184</v>
      </c>
      <c r="C807" s="2" t="s">
        <v>1523</v>
      </c>
      <c r="D807" s="2" t="s">
        <v>46</v>
      </c>
      <c r="E807" s="2" t="s">
        <v>83</v>
      </c>
      <c r="F807" s="2" t="s">
        <v>63</v>
      </c>
      <c r="G807" s="2" t="s">
        <v>15</v>
      </c>
      <c r="H807" s="2">
        <v>1</v>
      </c>
      <c r="I807" s="7">
        <v>37.020000000000003</v>
      </c>
      <c r="J807" s="2">
        <v>0</v>
      </c>
      <c r="K807" s="7">
        <v>37.020000000000003</v>
      </c>
      <c r="L807" s="2" t="s">
        <v>31</v>
      </c>
      <c r="M807" s="2" t="s">
        <v>2364</v>
      </c>
    </row>
    <row r="808" spans="1:13" x14ac:dyDescent="0.3">
      <c r="A808" s="2" t="s">
        <v>1200</v>
      </c>
      <c r="B808" s="5">
        <v>46294</v>
      </c>
      <c r="C808" s="2" t="s">
        <v>1201</v>
      </c>
      <c r="D808" s="2" t="s">
        <v>46</v>
      </c>
      <c r="E808" s="2" t="s">
        <v>47</v>
      </c>
      <c r="F808" s="2" t="s">
        <v>63</v>
      </c>
      <c r="G808" s="2" t="s">
        <v>15</v>
      </c>
      <c r="H808" s="2">
        <v>2</v>
      </c>
      <c r="I808" s="7">
        <v>41.01</v>
      </c>
      <c r="J808" s="2">
        <v>10</v>
      </c>
      <c r="K808" s="7">
        <v>73.819999999999993</v>
      </c>
      <c r="L808" s="2" t="s">
        <v>27</v>
      </c>
      <c r="M808" s="2" t="s">
        <v>2364</v>
      </c>
    </row>
    <row r="809" spans="1:13" x14ac:dyDescent="0.3">
      <c r="A809" s="2" t="s">
        <v>1833</v>
      </c>
      <c r="B809" s="5">
        <v>45871</v>
      </c>
      <c r="C809" s="2" t="s">
        <v>1834</v>
      </c>
      <c r="D809" s="2" t="s">
        <v>53</v>
      </c>
      <c r="E809" s="2" t="s">
        <v>134</v>
      </c>
      <c r="F809" s="2" t="s">
        <v>63</v>
      </c>
      <c r="G809" s="2" t="s">
        <v>15</v>
      </c>
      <c r="H809" s="2">
        <v>3</v>
      </c>
      <c r="I809" s="7">
        <v>29.14</v>
      </c>
      <c r="J809" s="2">
        <v>10</v>
      </c>
      <c r="K809" s="7">
        <v>78.680000000000007</v>
      </c>
      <c r="L809" s="2" t="s">
        <v>2347</v>
      </c>
      <c r="M809" s="2" t="s">
        <v>2364</v>
      </c>
    </row>
    <row r="810" spans="1:13" x14ac:dyDescent="0.3">
      <c r="A810" s="2" t="s">
        <v>1911</v>
      </c>
      <c r="B810" s="5">
        <v>45935</v>
      </c>
      <c r="C810" s="2" t="s">
        <v>928</v>
      </c>
      <c r="D810" s="2" t="s">
        <v>16</v>
      </c>
      <c r="E810" s="2" t="s">
        <v>160</v>
      </c>
      <c r="F810" s="2" t="s">
        <v>63</v>
      </c>
      <c r="G810" s="2" t="s">
        <v>15</v>
      </c>
      <c r="H810" s="2">
        <v>5</v>
      </c>
      <c r="I810" s="7">
        <v>47.02</v>
      </c>
      <c r="J810" s="2">
        <v>10</v>
      </c>
      <c r="K810" s="7">
        <v>211.59</v>
      </c>
      <c r="L810" s="2" t="s">
        <v>69</v>
      </c>
      <c r="M810" s="2" t="s">
        <v>2364</v>
      </c>
    </row>
    <row r="811" spans="1:13" x14ac:dyDescent="0.3">
      <c r="A811" s="2" t="s">
        <v>168</v>
      </c>
      <c r="B811" s="5">
        <v>46085</v>
      </c>
      <c r="C811" s="2" t="s">
        <v>169</v>
      </c>
      <c r="D811" s="2" t="s">
        <v>53</v>
      </c>
      <c r="E811" s="2" t="s">
        <v>170</v>
      </c>
      <c r="F811" s="2" t="s">
        <v>63</v>
      </c>
      <c r="G811" s="2" t="s">
        <v>15</v>
      </c>
      <c r="H811" s="2">
        <v>4</v>
      </c>
      <c r="I811" s="7">
        <v>69.52</v>
      </c>
      <c r="J811" s="2">
        <v>10</v>
      </c>
      <c r="K811" s="7">
        <v>250.27</v>
      </c>
      <c r="L811" s="2" t="s">
        <v>49</v>
      </c>
      <c r="M811" s="2" t="s">
        <v>2364</v>
      </c>
    </row>
    <row r="812" spans="1:13" x14ac:dyDescent="0.3">
      <c r="A812" s="2" t="s">
        <v>2345</v>
      </c>
      <c r="B812" s="5">
        <v>45685</v>
      </c>
      <c r="C812" s="2" t="s">
        <v>2346</v>
      </c>
      <c r="D812" s="2" t="s">
        <v>24</v>
      </c>
      <c r="E812" s="2" t="s">
        <v>36</v>
      </c>
      <c r="F812" s="2" t="s">
        <v>63</v>
      </c>
      <c r="G812" s="2" t="s">
        <v>15</v>
      </c>
      <c r="H812" s="2">
        <v>10</v>
      </c>
      <c r="I812" s="7">
        <v>32.840000000000003</v>
      </c>
      <c r="J812" s="2">
        <v>10</v>
      </c>
      <c r="K812" s="7">
        <v>295.56</v>
      </c>
      <c r="L812" s="2" t="s">
        <v>31</v>
      </c>
      <c r="M812" s="2" t="s">
        <v>2364</v>
      </c>
    </row>
    <row r="813" spans="1:13" x14ac:dyDescent="0.3">
      <c r="A813" s="2" t="s">
        <v>837</v>
      </c>
      <c r="B813" s="5">
        <v>46138</v>
      </c>
      <c r="C813" s="2" t="s">
        <v>838</v>
      </c>
      <c r="D813" s="2" t="s">
        <v>24</v>
      </c>
      <c r="E813" s="2" t="s">
        <v>104</v>
      </c>
      <c r="F813" s="2" t="s">
        <v>63</v>
      </c>
      <c r="G813" s="2" t="s">
        <v>15</v>
      </c>
      <c r="H813" s="2">
        <v>6</v>
      </c>
      <c r="I813" s="7">
        <v>68.040000000000006</v>
      </c>
      <c r="J813" s="2">
        <v>20</v>
      </c>
      <c r="K813" s="7">
        <v>326.58999999999997</v>
      </c>
      <c r="L813" s="2" t="s">
        <v>69</v>
      </c>
      <c r="M813" s="2" t="s">
        <v>2365</v>
      </c>
    </row>
    <row r="814" spans="1:13" x14ac:dyDescent="0.3">
      <c r="A814" s="2" t="s">
        <v>545</v>
      </c>
      <c r="B814" s="5">
        <v>46281</v>
      </c>
      <c r="C814" s="2" t="s">
        <v>546</v>
      </c>
      <c r="D814" s="2" t="s">
        <v>24</v>
      </c>
      <c r="E814" s="2" t="s">
        <v>104</v>
      </c>
      <c r="F814" s="2" t="s">
        <v>63</v>
      </c>
      <c r="G814" s="2" t="s">
        <v>15</v>
      </c>
      <c r="H814" s="2">
        <v>18</v>
      </c>
      <c r="I814" s="7">
        <v>26.65</v>
      </c>
      <c r="J814" s="2">
        <v>10</v>
      </c>
      <c r="K814" s="7">
        <v>431.73</v>
      </c>
      <c r="L814" s="2" t="s">
        <v>49</v>
      </c>
      <c r="M814" s="2" t="s">
        <v>2364</v>
      </c>
    </row>
    <row r="815" spans="1:13" x14ac:dyDescent="0.3">
      <c r="A815" s="2" t="s">
        <v>61</v>
      </c>
      <c r="B815" s="5">
        <v>45680</v>
      </c>
      <c r="C815" s="2" t="s">
        <v>62</v>
      </c>
      <c r="D815" s="2" t="s">
        <v>24</v>
      </c>
      <c r="E815" s="2" t="s">
        <v>59</v>
      </c>
      <c r="F815" s="2" t="s">
        <v>63</v>
      </c>
      <c r="G815" s="2" t="s">
        <v>15</v>
      </c>
      <c r="H815" s="2">
        <v>11</v>
      </c>
      <c r="I815" s="7">
        <v>54.47</v>
      </c>
      <c r="J815" s="2">
        <v>5</v>
      </c>
      <c r="K815" s="7">
        <v>569.21</v>
      </c>
      <c r="L815" s="2" t="s">
        <v>27</v>
      </c>
      <c r="M815" s="2" t="s">
        <v>2364</v>
      </c>
    </row>
    <row r="816" spans="1:13" x14ac:dyDescent="0.3">
      <c r="A816" s="2" t="s">
        <v>1396</v>
      </c>
      <c r="B816" s="5">
        <v>45769</v>
      </c>
      <c r="C816" s="2" t="s">
        <v>368</v>
      </c>
      <c r="D816" s="2" t="s">
        <v>53</v>
      </c>
      <c r="E816" s="2" t="s">
        <v>170</v>
      </c>
      <c r="F816" s="2" t="s">
        <v>63</v>
      </c>
      <c r="G816" s="2" t="s">
        <v>15</v>
      </c>
      <c r="H816" s="2">
        <v>16</v>
      </c>
      <c r="I816" s="7">
        <v>35.79</v>
      </c>
      <c r="J816" s="2">
        <v>0</v>
      </c>
      <c r="K816" s="7">
        <v>572.64</v>
      </c>
      <c r="L816" s="2" t="s">
        <v>31</v>
      </c>
      <c r="M816" s="2" t="s">
        <v>2364</v>
      </c>
    </row>
    <row r="817" spans="1:13" x14ac:dyDescent="0.3">
      <c r="A817" s="2" t="s">
        <v>1711</v>
      </c>
      <c r="B817" s="5">
        <v>45800</v>
      </c>
      <c r="C817" s="2" t="s">
        <v>1712</v>
      </c>
      <c r="D817" s="2" t="s">
        <v>16</v>
      </c>
      <c r="E817" s="2" t="s">
        <v>111</v>
      </c>
      <c r="F817" s="2" t="s">
        <v>63</v>
      </c>
      <c r="G817" s="2" t="s">
        <v>15</v>
      </c>
      <c r="H817" s="2">
        <v>17</v>
      </c>
      <c r="I817" s="7">
        <v>34.25</v>
      </c>
      <c r="J817" s="2">
        <v>0</v>
      </c>
      <c r="K817" s="7">
        <v>582.25</v>
      </c>
      <c r="L817" s="2" t="s">
        <v>49</v>
      </c>
      <c r="M817" s="2" t="s">
        <v>2364</v>
      </c>
    </row>
    <row r="818" spans="1:13" x14ac:dyDescent="0.3">
      <c r="A818" s="2" t="s">
        <v>1361</v>
      </c>
      <c r="B818" s="5">
        <v>46044</v>
      </c>
      <c r="C818" s="2" t="s">
        <v>1099</v>
      </c>
      <c r="D818" s="2" t="s">
        <v>53</v>
      </c>
      <c r="E818" s="2" t="s">
        <v>54</v>
      </c>
      <c r="F818" s="2" t="s">
        <v>63</v>
      </c>
      <c r="G818" s="2" t="s">
        <v>15</v>
      </c>
      <c r="H818" s="2">
        <v>18</v>
      </c>
      <c r="I818" s="7">
        <v>40.07</v>
      </c>
      <c r="J818" s="2">
        <v>10</v>
      </c>
      <c r="K818" s="7">
        <v>649.13</v>
      </c>
      <c r="L818" s="2" t="s">
        <v>2347</v>
      </c>
      <c r="M818" s="2" t="s">
        <v>2364</v>
      </c>
    </row>
    <row r="819" spans="1:13" x14ac:dyDescent="0.3">
      <c r="A819" s="2" t="s">
        <v>2335</v>
      </c>
      <c r="B819" s="5">
        <v>46224</v>
      </c>
      <c r="C819" s="2" t="s">
        <v>625</v>
      </c>
      <c r="D819" s="2" t="s">
        <v>24</v>
      </c>
      <c r="E819" s="2" t="s">
        <v>104</v>
      </c>
      <c r="F819" s="2" t="s">
        <v>63</v>
      </c>
      <c r="G819" s="2" t="s">
        <v>15</v>
      </c>
      <c r="H819" s="2">
        <v>13</v>
      </c>
      <c r="I819" s="7">
        <v>53.27</v>
      </c>
      <c r="J819" s="2">
        <v>0</v>
      </c>
      <c r="K819" s="7">
        <v>692.51</v>
      </c>
      <c r="L819" s="2" t="s">
        <v>49</v>
      </c>
      <c r="M819" s="2" t="s">
        <v>2364</v>
      </c>
    </row>
    <row r="820" spans="1:13" x14ac:dyDescent="0.3">
      <c r="A820" s="2" t="s">
        <v>1392</v>
      </c>
      <c r="B820" s="5">
        <v>46061</v>
      </c>
      <c r="C820" s="2" t="s">
        <v>1393</v>
      </c>
      <c r="D820" s="2" t="s">
        <v>16</v>
      </c>
      <c r="E820" s="2" t="s">
        <v>91</v>
      </c>
      <c r="F820" s="2" t="s">
        <v>63</v>
      </c>
      <c r="G820" s="2" t="s">
        <v>15</v>
      </c>
      <c r="H820" s="2">
        <v>16</v>
      </c>
      <c r="I820" s="7">
        <v>55.14</v>
      </c>
      <c r="J820" s="2">
        <v>20</v>
      </c>
      <c r="K820" s="7">
        <v>705.79</v>
      </c>
      <c r="L820" s="2" t="s">
        <v>27</v>
      </c>
      <c r="M820" s="2" t="s">
        <v>2364</v>
      </c>
    </row>
    <row r="821" spans="1:13" x14ac:dyDescent="0.3">
      <c r="A821" s="2" t="s">
        <v>1583</v>
      </c>
      <c r="B821" s="5">
        <v>45863</v>
      </c>
      <c r="C821" s="2" t="s">
        <v>1584</v>
      </c>
      <c r="D821" s="2" t="s">
        <v>16</v>
      </c>
      <c r="E821" s="2" t="s">
        <v>91</v>
      </c>
      <c r="F821" s="2" t="s">
        <v>63</v>
      </c>
      <c r="G821" s="2" t="s">
        <v>15</v>
      </c>
      <c r="H821" s="2">
        <v>24</v>
      </c>
      <c r="I821" s="7">
        <v>37.840000000000003</v>
      </c>
      <c r="J821" s="2">
        <v>20</v>
      </c>
      <c r="K821" s="7">
        <v>726.53</v>
      </c>
      <c r="L821" s="2" t="s">
        <v>2347</v>
      </c>
      <c r="M821" s="2" t="s">
        <v>2364</v>
      </c>
    </row>
    <row r="822" spans="1:13" x14ac:dyDescent="0.3">
      <c r="A822" s="2" t="s">
        <v>1745</v>
      </c>
      <c r="B822" s="5">
        <v>46091</v>
      </c>
      <c r="C822" s="2" t="s">
        <v>1746</v>
      </c>
      <c r="D822" s="2" t="s">
        <v>46</v>
      </c>
      <c r="E822" s="2" t="s">
        <v>47</v>
      </c>
      <c r="F822" s="2" t="s">
        <v>63</v>
      </c>
      <c r="G822" s="2" t="s">
        <v>15</v>
      </c>
      <c r="H822" s="2">
        <v>14</v>
      </c>
      <c r="I822" s="7">
        <v>56.99</v>
      </c>
      <c r="J822" s="2">
        <v>5</v>
      </c>
      <c r="K822" s="7">
        <v>757.97</v>
      </c>
      <c r="L822" s="2" t="s">
        <v>2347</v>
      </c>
      <c r="M822" s="2" t="s">
        <v>2364</v>
      </c>
    </row>
    <row r="823" spans="1:13" x14ac:dyDescent="0.3">
      <c r="A823" s="2" t="s">
        <v>1644</v>
      </c>
      <c r="B823" s="5">
        <v>45632</v>
      </c>
      <c r="C823" s="2" t="s">
        <v>1645</v>
      </c>
      <c r="D823" s="2" t="s">
        <v>46</v>
      </c>
      <c r="E823" s="2" t="s">
        <v>244</v>
      </c>
      <c r="F823" s="2" t="s">
        <v>63</v>
      </c>
      <c r="G823" s="2" t="s">
        <v>15</v>
      </c>
      <c r="H823" s="2">
        <v>24</v>
      </c>
      <c r="I823" s="7">
        <v>31.83</v>
      </c>
      <c r="J823" s="2">
        <v>0</v>
      </c>
      <c r="K823" s="7">
        <v>763.92</v>
      </c>
      <c r="L823" s="2" t="s">
        <v>2347</v>
      </c>
      <c r="M823" s="2" t="s">
        <v>2364</v>
      </c>
    </row>
    <row r="824" spans="1:13" x14ac:dyDescent="0.3">
      <c r="A824" s="2" t="s">
        <v>1983</v>
      </c>
      <c r="B824" s="5">
        <v>45662</v>
      </c>
      <c r="C824" s="2" t="s">
        <v>1180</v>
      </c>
      <c r="D824" s="2" t="s">
        <v>46</v>
      </c>
      <c r="E824" s="2" t="s">
        <v>78</v>
      </c>
      <c r="F824" s="2" t="s">
        <v>63</v>
      </c>
      <c r="G824" s="2" t="s">
        <v>15</v>
      </c>
      <c r="H824" s="2">
        <v>10</v>
      </c>
      <c r="I824" s="7">
        <v>79.69</v>
      </c>
      <c r="J824" s="2">
        <v>0</v>
      </c>
      <c r="K824" s="7">
        <v>796.9</v>
      </c>
      <c r="L824" s="2" t="s">
        <v>69</v>
      </c>
      <c r="M824" s="2" t="s">
        <v>2365</v>
      </c>
    </row>
    <row r="825" spans="1:13" x14ac:dyDescent="0.3">
      <c r="A825" s="2" t="s">
        <v>1841</v>
      </c>
      <c r="B825" s="5">
        <v>45883</v>
      </c>
      <c r="C825" s="2" t="s">
        <v>1842</v>
      </c>
      <c r="D825" s="2" t="s">
        <v>16</v>
      </c>
      <c r="E825" s="2" t="s">
        <v>91</v>
      </c>
      <c r="F825" s="2" t="s">
        <v>63</v>
      </c>
      <c r="G825" s="2" t="s">
        <v>15</v>
      </c>
      <c r="H825" s="2">
        <v>22</v>
      </c>
      <c r="I825" s="7">
        <v>38.549999999999997</v>
      </c>
      <c r="J825" s="2">
        <v>5</v>
      </c>
      <c r="K825" s="7">
        <v>805.69</v>
      </c>
      <c r="L825" s="2" t="s">
        <v>2347</v>
      </c>
      <c r="M825" s="2" t="s">
        <v>2365</v>
      </c>
    </row>
    <row r="826" spans="1:13" x14ac:dyDescent="0.3">
      <c r="A826" s="2" t="s">
        <v>510</v>
      </c>
      <c r="B826" s="5">
        <v>46123</v>
      </c>
      <c r="C826" s="2" t="s">
        <v>511</v>
      </c>
      <c r="D826" s="2" t="s">
        <v>53</v>
      </c>
      <c r="E826" s="2" t="s">
        <v>170</v>
      </c>
      <c r="F826" s="2" t="s">
        <v>63</v>
      </c>
      <c r="G826" s="2" t="s">
        <v>15</v>
      </c>
      <c r="H826" s="2">
        <v>13</v>
      </c>
      <c r="I826" s="7">
        <v>65.83</v>
      </c>
      <c r="J826" s="2">
        <v>0</v>
      </c>
      <c r="K826" s="7">
        <v>855.79</v>
      </c>
      <c r="L826" s="2" t="s">
        <v>2347</v>
      </c>
      <c r="M826" s="2" t="s">
        <v>2364</v>
      </c>
    </row>
    <row r="827" spans="1:13" x14ac:dyDescent="0.3">
      <c r="A827" s="2" t="s">
        <v>449</v>
      </c>
      <c r="B827" s="5">
        <v>46139</v>
      </c>
      <c r="C827" s="2" t="s">
        <v>450</v>
      </c>
      <c r="D827" s="2" t="s">
        <v>16</v>
      </c>
      <c r="E827" s="2" t="s">
        <v>17</v>
      </c>
      <c r="F827" s="2" t="s">
        <v>63</v>
      </c>
      <c r="G827" s="2" t="s">
        <v>15</v>
      </c>
      <c r="H827" s="2">
        <v>24</v>
      </c>
      <c r="I827" s="7">
        <v>47.71</v>
      </c>
      <c r="J827" s="2">
        <v>20</v>
      </c>
      <c r="K827" s="7">
        <v>916.03</v>
      </c>
      <c r="L827" s="2" t="s">
        <v>27</v>
      </c>
      <c r="M827" s="2" t="s">
        <v>2365</v>
      </c>
    </row>
    <row r="828" spans="1:13" x14ac:dyDescent="0.3">
      <c r="A828" s="2" t="s">
        <v>1653</v>
      </c>
      <c r="B828" s="5">
        <v>45962</v>
      </c>
      <c r="C828" s="2" t="s">
        <v>1654</v>
      </c>
      <c r="D828" s="2" t="s">
        <v>46</v>
      </c>
      <c r="E828" s="2" t="s">
        <v>83</v>
      </c>
      <c r="F828" s="2" t="s">
        <v>63</v>
      </c>
      <c r="G828" s="2" t="s">
        <v>15</v>
      </c>
      <c r="H828" s="2">
        <v>16</v>
      </c>
      <c r="I828" s="7">
        <v>61.48</v>
      </c>
      <c r="J828" s="2">
        <v>5</v>
      </c>
      <c r="K828" s="7">
        <v>934.5</v>
      </c>
      <c r="L828" s="2" t="s">
        <v>69</v>
      </c>
      <c r="M828" s="2" t="s">
        <v>2364</v>
      </c>
    </row>
    <row r="829" spans="1:13" x14ac:dyDescent="0.3">
      <c r="A829" s="2" t="s">
        <v>1020</v>
      </c>
      <c r="B829" s="5">
        <v>45900</v>
      </c>
      <c r="C829" s="2" t="s">
        <v>1021</v>
      </c>
      <c r="D829" s="2" t="s">
        <v>46</v>
      </c>
      <c r="E829" s="2" t="s">
        <v>78</v>
      </c>
      <c r="F829" s="2" t="s">
        <v>63</v>
      </c>
      <c r="G829" s="2" t="s">
        <v>15</v>
      </c>
      <c r="H829" s="2">
        <v>31</v>
      </c>
      <c r="I829" s="7">
        <v>36.51</v>
      </c>
      <c r="J829" s="2">
        <v>10</v>
      </c>
      <c r="K829" s="7">
        <v>1018.63</v>
      </c>
      <c r="L829" s="2" t="s">
        <v>49</v>
      </c>
      <c r="M829" s="2" t="s">
        <v>2365</v>
      </c>
    </row>
    <row r="830" spans="1:13" x14ac:dyDescent="0.3">
      <c r="A830" s="2" t="s">
        <v>1348</v>
      </c>
      <c r="B830" s="5">
        <v>46182</v>
      </c>
      <c r="C830" s="2" t="s">
        <v>1349</v>
      </c>
      <c r="D830" s="2" t="s">
        <v>24</v>
      </c>
      <c r="E830" s="2" t="s">
        <v>41</v>
      </c>
      <c r="F830" s="2" t="s">
        <v>63</v>
      </c>
      <c r="G830" s="2" t="s">
        <v>15</v>
      </c>
      <c r="H830" s="2">
        <v>15</v>
      </c>
      <c r="I830" s="7">
        <v>78.209999999999994</v>
      </c>
      <c r="J830" s="2">
        <v>5</v>
      </c>
      <c r="K830" s="7">
        <v>1114.49</v>
      </c>
      <c r="L830" s="2" t="s">
        <v>69</v>
      </c>
      <c r="M830" s="2" t="s">
        <v>2365</v>
      </c>
    </row>
    <row r="831" spans="1:13" x14ac:dyDescent="0.3">
      <c r="A831" s="2" t="s">
        <v>1012</v>
      </c>
      <c r="B831" s="5">
        <v>45999</v>
      </c>
      <c r="C831" s="2" t="s">
        <v>522</v>
      </c>
      <c r="D831" s="2" t="s">
        <v>16</v>
      </c>
      <c r="E831" s="2" t="s">
        <v>160</v>
      </c>
      <c r="F831" s="2" t="s">
        <v>63</v>
      </c>
      <c r="G831" s="2" t="s">
        <v>15</v>
      </c>
      <c r="H831" s="2">
        <v>16</v>
      </c>
      <c r="I831" s="7">
        <v>78.27</v>
      </c>
      <c r="J831" s="2">
        <v>10</v>
      </c>
      <c r="K831" s="7">
        <v>1127.0899999999999</v>
      </c>
      <c r="L831" s="2" t="s">
        <v>31</v>
      </c>
      <c r="M831" s="2" t="s">
        <v>2365</v>
      </c>
    </row>
    <row r="832" spans="1:13" x14ac:dyDescent="0.3">
      <c r="A832" s="2" t="s">
        <v>896</v>
      </c>
      <c r="B832" s="5">
        <v>45719</v>
      </c>
      <c r="C832" s="2" t="s">
        <v>897</v>
      </c>
      <c r="D832" s="2" t="s">
        <v>24</v>
      </c>
      <c r="E832" s="2" t="s">
        <v>59</v>
      </c>
      <c r="F832" s="2" t="s">
        <v>63</v>
      </c>
      <c r="G832" s="2" t="s">
        <v>15</v>
      </c>
      <c r="H832" s="2">
        <v>35</v>
      </c>
      <c r="I832" s="7">
        <v>35.79</v>
      </c>
      <c r="J832" s="2">
        <v>5</v>
      </c>
      <c r="K832" s="7">
        <v>1190.02</v>
      </c>
      <c r="L832" s="2" t="s">
        <v>69</v>
      </c>
      <c r="M832" s="2" t="s">
        <v>2365</v>
      </c>
    </row>
    <row r="833" spans="1:13" x14ac:dyDescent="0.3">
      <c r="A833" s="2" t="s">
        <v>295</v>
      </c>
      <c r="B833" s="5">
        <v>46172</v>
      </c>
      <c r="C833" s="2" t="s">
        <v>296</v>
      </c>
      <c r="D833" s="2" t="s">
        <v>46</v>
      </c>
      <c r="E833" s="2" t="s">
        <v>83</v>
      </c>
      <c r="F833" s="2" t="s">
        <v>63</v>
      </c>
      <c r="G833" s="2" t="s">
        <v>15</v>
      </c>
      <c r="H833" s="2">
        <v>30</v>
      </c>
      <c r="I833" s="7">
        <v>43.97</v>
      </c>
      <c r="J833" s="2">
        <v>5</v>
      </c>
      <c r="K833" s="7">
        <v>1253.1400000000001</v>
      </c>
      <c r="L833" s="2" t="s">
        <v>2347</v>
      </c>
      <c r="M833" s="2" t="s">
        <v>2364</v>
      </c>
    </row>
    <row r="834" spans="1:13" x14ac:dyDescent="0.3">
      <c r="A834" s="2" t="s">
        <v>1798</v>
      </c>
      <c r="B834" s="5">
        <v>46056</v>
      </c>
      <c r="C834" s="2" t="s">
        <v>1799</v>
      </c>
      <c r="D834" s="2" t="s">
        <v>46</v>
      </c>
      <c r="E834" s="2" t="s">
        <v>244</v>
      </c>
      <c r="F834" s="2" t="s">
        <v>63</v>
      </c>
      <c r="G834" s="2" t="s">
        <v>15</v>
      </c>
      <c r="H834" s="2">
        <v>38</v>
      </c>
      <c r="I834" s="7">
        <v>34.840000000000003</v>
      </c>
      <c r="J834" s="2">
        <v>5</v>
      </c>
      <c r="K834" s="7">
        <v>1257.72</v>
      </c>
      <c r="L834" s="2" t="s">
        <v>49</v>
      </c>
      <c r="M834" s="2" t="s">
        <v>2364</v>
      </c>
    </row>
    <row r="835" spans="1:13" x14ac:dyDescent="0.3">
      <c r="A835" s="2" t="s">
        <v>1485</v>
      </c>
      <c r="B835" s="5">
        <v>45726</v>
      </c>
      <c r="C835" s="2" t="s">
        <v>1486</v>
      </c>
      <c r="D835" s="2" t="s">
        <v>53</v>
      </c>
      <c r="E835" s="2" t="s">
        <v>54</v>
      </c>
      <c r="F835" s="2" t="s">
        <v>63</v>
      </c>
      <c r="G835" s="2" t="s">
        <v>15</v>
      </c>
      <c r="H835" s="2">
        <v>17</v>
      </c>
      <c r="I835" s="7">
        <v>74.180000000000007</v>
      </c>
      <c r="J835" s="2">
        <v>0</v>
      </c>
      <c r="K835" s="7">
        <v>1261.06</v>
      </c>
      <c r="L835" s="2" t="s">
        <v>69</v>
      </c>
      <c r="M835" s="2" t="s">
        <v>2365</v>
      </c>
    </row>
    <row r="836" spans="1:13" x14ac:dyDescent="0.3">
      <c r="A836" s="2" t="s">
        <v>2310</v>
      </c>
      <c r="B836" s="5">
        <v>45731</v>
      </c>
      <c r="C836" s="2" t="s">
        <v>2311</v>
      </c>
      <c r="D836" s="2" t="s">
        <v>24</v>
      </c>
      <c r="E836" s="2" t="s">
        <v>41</v>
      </c>
      <c r="F836" s="2" t="s">
        <v>63</v>
      </c>
      <c r="G836" s="2" t="s">
        <v>15</v>
      </c>
      <c r="H836" s="2">
        <v>39</v>
      </c>
      <c r="I836" s="7">
        <v>36.21</v>
      </c>
      <c r="J836" s="2">
        <v>10</v>
      </c>
      <c r="K836" s="7">
        <v>1270.97</v>
      </c>
      <c r="L836" s="2" t="s">
        <v>49</v>
      </c>
      <c r="M836" s="2" t="s">
        <v>2364</v>
      </c>
    </row>
    <row r="837" spans="1:13" x14ac:dyDescent="0.3">
      <c r="A837" s="2" t="s">
        <v>1849</v>
      </c>
      <c r="B837" s="5">
        <v>45990</v>
      </c>
      <c r="C837" s="2" t="s">
        <v>827</v>
      </c>
      <c r="D837" s="2" t="s">
        <v>16</v>
      </c>
      <c r="E837" s="2" t="s">
        <v>160</v>
      </c>
      <c r="F837" s="2" t="s">
        <v>63</v>
      </c>
      <c r="G837" s="2" t="s">
        <v>15</v>
      </c>
      <c r="H837" s="2">
        <v>25</v>
      </c>
      <c r="I837" s="7">
        <v>51.16</v>
      </c>
      <c r="J837" s="2">
        <v>0</v>
      </c>
      <c r="K837" s="7">
        <v>1279</v>
      </c>
      <c r="L837" s="2" t="s">
        <v>2347</v>
      </c>
      <c r="M837" s="2" t="s">
        <v>2364</v>
      </c>
    </row>
    <row r="838" spans="1:13" x14ac:dyDescent="0.3">
      <c r="A838" s="2" t="s">
        <v>606</v>
      </c>
      <c r="B838" s="5">
        <v>45706</v>
      </c>
      <c r="C838" s="2" t="s">
        <v>607</v>
      </c>
      <c r="D838" s="2" t="s">
        <v>46</v>
      </c>
      <c r="E838" s="2" t="s">
        <v>124</v>
      </c>
      <c r="F838" s="2" t="s">
        <v>63</v>
      </c>
      <c r="G838" s="2" t="s">
        <v>15</v>
      </c>
      <c r="H838" s="2">
        <v>28</v>
      </c>
      <c r="I838" s="7">
        <v>57.94</v>
      </c>
      <c r="J838" s="2">
        <v>20</v>
      </c>
      <c r="K838" s="7">
        <v>1297.8599999999999</v>
      </c>
      <c r="L838" s="2" t="s">
        <v>31</v>
      </c>
      <c r="M838" s="2" t="s">
        <v>2364</v>
      </c>
    </row>
    <row r="839" spans="1:13" x14ac:dyDescent="0.3">
      <c r="A839" s="2" t="s">
        <v>884</v>
      </c>
      <c r="B839" s="5">
        <v>45854</v>
      </c>
      <c r="C839" s="2" t="s">
        <v>885</v>
      </c>
      <c r="D839" s="2" t="s">
        <v>16</v>
      </c>
      <c r="E839" s="2" t="s">
        <v>160</v>
      </c>
      <c r="F839" s="2" t="s">
        <v>63</v>
      </c>
      <c r="G839" s="2" t="s">
        <v>15</v>
      </c>
      <c r="H839" s="2">
        <v>30</v>
      </c>
      <c r="I839" s="7">
        <v>49.53</v>
      </c>
      <c r="J839" s="2">
        <v>10</v>
      </c>
      <c r="K839" s="7">
        <v>1337.31</v>
      </c>
      <c r="L839" s="2" t="s">
        <v>31</v>
      </c>
      <c r="M839" s="2" t="s">
        <v>2365</v>
      </c>
    </row>
    <row r="840" spans="1:13" x14ac:dyDescent="0.3">
      <c r="A840" s="2" t="s">
        <v>1682</v>
      </c>
      <c r="B840" s="5">
        <v>45801</v>
      </c>
      <c r="C840" s="2" t="s">
        <v>1683</v>
      </c>
      <c r="D840" s="2" t="s">
        <v>53</v>
      </c>
      <c r="E840" s="2" t="s">
        <v>170</v>
      </c>
      <c r="F840" s="2" t="s">
        <v>63</v>
      </c>
      <c r="G840" s="2" t="s">
        <v>15</v>
      </c>
      <c r="H840" s="2">
        <v>32</v>
      </c>
      <c r="I840" s="7">
        <v>45.15</v>
      </c>
      <c r="J840" s="2">
        <v>5</v>
      </c>
      <c r="K840" s="7">
        <v>1372.56</v>
      </c>
      <c r="L840" s="2" t="s">
        <v>49</v>
      </c>
      <c r="M840" s="2" t="s">
        <v>2364</v>
      </c>
    </row>
    <row r="841" spans="1:13" x14ac:dyDescent="0.3">
      <c r="A841" s="2" t="s">
        <v>219</v>
      </c>
      <c r="B841" s="5">
        <v>46224</v>
      </c>
      <c r="C841" s="2" t="s">
        <v>220</v>
      </c>
      <c r="D841" s="2" t="s">
        <v>53</v>
      </c>
      <c r="E841" s="2" t="s">
        <v>170</v>
      </c>
      <c r="F841" s="2" t="s">
        <v>63</v>
      </c>
      <c r="G841" s="2" t="s">
        <v>15</v>
      </c>
      <c r="H841" s="2">
        <v>36</v>
      </c>
      <c r="I841" s="7">
        <v>42.5</v>
      </c>
      <c r="J841" s="2">
        <v>10</v>
      </c>
      <c r="K841" s="7">
        <v>1377</v>
      </c>
      <c r="L841" s="2" t="s">
        <v>2347</v>
      </c>
      <c r="M841" s="2" t="s">
        <v>2364</v>
      </c>
    </row>
    <row r="842" spans="1:13" x14ac:dyDescent="0.3">
      <c r="A842" s="2" t="s">
        <v>1689</v>
      </c>
      <c r="B842" s="5">
        <v>46080</v>
      </c>
      <c r="C842" s="2" t="s">
        <v>66</v>
      </c>
      <c r="D842" s="2" t="s">
        <v>24</v>
      </c>
      <c r="E842" s="2" t="s">
        <v>25</v>
      </c>
      <c r="F842" s="2" t="s">
        <v>63</v>
      </c>
      <c r="G842" s="2" t="s">
        <v>15</v>
      </c>
      <c r="H842" s="2">
        <v>33</v>
      </c>
      <c r="I842" s="7">
        <v>45.36</v>
      </c>
      <c r="J842" s="2">
        <v>5</v>
      </c>
      <c r="K842" s="7">
        <v>1422.04</v>
      </c>
      <c r="L842" s="2" t="s">
        <v>2347</v>
      </c>
      <c r="M842" s="2" t="s">
        <v>2364</v>
      </c>
    </row>
    <row r="843" spans="1:13" x14ac:dyDescent="0.3">
      <c r="A843" s="2" t="s">
        <v>1864</v>
      </c>
      <c r="B843" s="5">
        <v>45574</v>
      </c>
      <c r="C843" s="2" t="s">
        <v>1865</v>
      </c>
      <c r="D843" s="2" t="s">
        <v>46</v>
      </c>
      <c r="E843" s="2" t="s">
        <v>244</v>
      </c>
      <c r="F843" s="2" t="s">
        <v>63</v>
      </c>
      <c r="G843" s="2" t="s">
        <v>15</v>
      </c>
      <c r="H843" s="2">
        <v>50</v>
      </c>
      <c r="I843" s="7">
        <v>34.21</v>
      </c>
      <c r="J843" s="2">
        <v>15</v>
      </c>
      <c r="K843" s="7">
        <v>1453.93</v>
      </c>
      <c r="L843" s="2" t="s">
        <v>2347</v>
      </c>
      <c r="M843" s="2" t="s">
        <v>2364</v>
      </c>
    </row>
    <row r="844" spans="1:13" x14ac:dyDescent="0.3">
      <c r="A844" s="2" t="s">
        <v>416</v>
      </c>
      <c r="B844" s="5">
        <v>46074</v>
      </c>
      <c r="C844" s="2" t="s">
        <v>417</v>
      </c>
      <c r="D844" s="2" t="s">
        <v>46</v>
      </c>
      <c r="E844" s="2" t="s">
        <v>47</v>
      </c>
      <c r="F844" s="2" t="s">
        <v>63</v>
      </c>
      <c r="G844" s="2" t="s">
        <v>15</v>
      </c>
      <c r="H844" s="2">
        <v>29</v>
      </c>
      <c r="I844" s="7">
        <v>53.16</v>
      </c>
      <c r="J844" s="2">
        <v>5</v>
      </c>
      <c r="K844" s="7">
        <v>1464.56</v>
      </c>
      <c r="L844" s="2" t="s">
        <v>27</v>
      </c>
      <c r="M844" s="2" t="s">
        <v>2364</v>
      </c>
    </row>
    <row r="845" spans="1:13" x14ac:dyDescent="0.3">
      <c r="A845" s="2" t="s">
        <v>562</v>
      </c>
      <c r="B845" s="5">
        <v>45747</v>
      </c>
      <c r="C845" s="2" t="s">
        <v>563</v>
      </c>
      <c r="D845" s="2" t="s">
        <v>24</v>
      </c>
      <c r="E845" s="2" t="s">
        <v>59</v>
      </c>
      <c r="F845" s="2" t="s">
        <v>63</v>
      </c>
      <c r="G845" s="2" t="s">
        <v>15</v>
      </c>
      <c r="H845" s="2">
        <v>37</v>
      </c>
      <c r="I845" s="7">
        <v>49.64</v>
      </c>
      <c r="J845" s="2">
        <v>20</v>
      </c>
      <c r="K845" s="7">
        <v>1469.34</v>
      </c>
      <c r="L845" s="2" t="s">
        <v>2347</v>
      </c>
      <c r="M845" s="2" t="s">
        <v>2364</v>
      </c>
    </row>
    <row r="846" spans="1:13" x14ac:dyDescent="0.3">
      <c r="A846" s="2" t="s">
        <v>916</v>
      </c>
      <c r="B846" s="5">
        <v>45886</v>
      </c>
      <c r="C846" s="2" t="s">
        <v>917</v>
      </c>
      <c r="D846" s="2" t="s">
        <v>16</v>
      </c>
      <c r="E846" s="2" t="s">
        <v>160</v>
      </c>
      <c r="F846" s="2" t="s">
        <v>63</v>
      </c>
      <c r="G846" s="2" t="s">
        <v>15</v>
      </c>
      <c r="H846" s="2">
        <v>26</v>
      </c>
      <c r="I846" s="7">
        <v>63.33</v>
      </c>
      <c r="J846" s="2">
        <v>10</v>
      </c>
      <c r="K846" s="7">
        <v>1481.92</v>
      </c>
      <c r="L846" s="2" t="s">
        <v>69</v>
      </c>
      <c r="M846" s="2" t="s">
        <v>2364</v>
      </c>
    </row>
    <row r="847" spans="1:13" x14ac:dyDescent="0.3">
      <c r="A847" s="2" t="s">
        <v>1742</v>
      </c>
      <c r="B847" s="5">
        <v>46194</v>
      </c>
      <c r="C847" s="2" t="s">
        <v>1058</v>
      </c>
      <c r="D847" s="2" t="s">
        <v>53</v>
      </c>
      <c r="E847" s="2" t="s">
        <v>141</v>
      </c>
      <c r="F847" s="2" t="s">
        <v>63</v>
      </c>
      <c r="G847" s="2" t="s">
        <v>15</v>
      </c>
      <c r="H847" s="2">
        <v>28</v>
      </c>
      <c r="I847" s="7">
        <v>53.14</v>
      </c>
      <c r="J847" s="2">
        <v>0</v>
      </c>
      <c r="K847" s="7">
        <v>1487.92</v>
      </c>
      <c r="L847" s="2" t="s">
        <v>69</v>
      </c>
      <c r="M847" s="2" t="s">
        <v>2364</v>
      </c>
    </row>
    <row r="848" spans="1:13" x14ac:dyDescent="0.3">
      <c r="A848" s="2" t="s">
        <v>1316</v>
      </c>
      <c r="B848" s="5">
        <v>45991</v>
      </c>
      <c r="C848" s="2" t="s">
        <v>1317</v>
      </c>
      <c r="D848" s="2" t="s">
        <v>24</v>
      </c>
      <c r="E848" s="2" t="s">
        <v>104</v>
      </c>
      <c r="F848" s="2" t="s">
        <v>63</v>
      </c>
      <c r="G848" s="2" t="s">
        <v>15</v>
      </c>
      <c r="H848" s="2">
        <v>45</v>
      </c>
      <c r="I848" s="7">
        <v>34.86</v>
      </c>
      <c r="J848" s="2">
        <v>5</v>
      </c>
      <c r="K848" s="7">
        <v>1490.27</v>
      </c>
      <c r="L848" s="2" t="s">
        <v>31</v>
      </c>
      <c r="M848" s="2" t="s">
        <v>2364</v>
      </c>
    </row>
    <row r="849" spans="1:13" x14ac:dyDescent="0.3">
      <c r="A849" s="2" t="s">
        <v>1594</v>
      </c>
      <c r="B849" s="5">
        <v>45891</v>
      </c>
      <c r="C849" s="2" t="s">
        <v>1595</v>
      </c>
      <c r="D849" s="2" t="s">
        <v>24</v>
      </c>
      <c r="E849" s="2" t="s">
        <v>36</v>
      </c>
      <c r="F849" s="2" t="s">
        <v>63</v>
      </c>
      <c r="G849" s="2" t="s">
        <v>15</v>
      </c>
      <c r="H849" s="2">
        <v>44</v>
      </c>
      <c r="I849" s="7">
        <v>36.85</v>
      </c>
      <c r="J849" s="2">
        <v>5</v>
      </c>
      <c r="K849" s="7">
        <v>1540.33</v>
      </c>
      <c r="L849" s="2" t="s">
        <v>27</v>
      </c>
      <c r="M849" s="2" t="s">
        <v>2364</v>
      </c>
    </row>
    <row r="850" spans="1:13" x14ac:dyDescent="0.3">
      <c r="A850" s="2" t="s">
        <v>1143</v>
      </c>
      <c r="B850" s="5">
        <v>46301</v>
      </c>
      <c r="C850" s="2" t="s">
        <v>1144</v>
      </c>
      <c r="D850" s="2" t="s">
        <v>46</v>
      </c>
      <c r="E850" s="2" t="s">
        <v>47</v>
      </c>
      <c r="F850" s="2" t="s">
        <v>63</v>
      </c>
      <c r="G850" s="2" t="s">
        <v>15</v>
      </c>
      <c r="H850" s="2">
        <v>33</v>
      </c>
      <c r="I850" s="7">
        <v>53.39</v>
      </c>
      <c r="J850" s="2">
        <v>5</v>
      </c>
      <c r="K850" s="7">
        <v>1673.78</v>
      </c>
      <c r="L850" s="2" t="s">
        <v>69</v>
      </c>
      <c r="M850" s="2" t="s">
        <v>2364</v>
      </c>
    </row>
    <row r="851" spans="1:13" x14ac:dyDescent="0.3">
      <c r="A851" s="2" t="s">
        <v>2289</v>
      </c>
      <c r="B851" s="5">
        <v>45792</v>
      </c>
      <c r="C851" s="2" t="s">
        <v>2290</v>
      </c>
      <c r="D851" s="2" t="s">
        <v>53</v>
      </c>
      <c r="E851" s="2" t="s">
        <v>67</v>
      </c>
      <c r="F851" s="2" t="s">
        <v>63</v>
      </c>
      <c r="G851" s="2" t="s">
        <v>15</v>
      </c>
      <c r="H851" s="2">
        <v>29</v>
      </c>
      <c r="I851" s="7">
        <v>72.930000000000007</v>
      </c>
      <c r="J851" s="2">
        <v>20</v>
      </c>
      <c r="K851" s="7">
        <v>1691.98</v>
      </c>
      <c r="L851" s="2" t="s">
        <v>49</v>
      </c>
      <c r="M851" s="2" t="s">
        <v>2364</v>
      </c>
    </row>
    <row r="852" spans="1:13" x14ac:dyDescent="0.3">
      <c r="A852" s="2" t="s">
        <v>2096</v>
      </c>
      <c r="B852" s="5">
        <v>46069</v>
      </c>
      <c r="C852" s="2" t="s">
        <v>885</v>
      </c>
      <c r="D852" s="2" t="s">
        <v>46</v>
      </c>
      <c r="E852" s="2" t="s">
        <v>47</v>
      </c>
      <c r="F852" s="2" t="s">
        <v>63</v>
      </c>
      <c r="G852" s="2" t="s">
        <v>15</v>
      </c>
      <c r="H852" s="2">
        <v>24</v>
      </c>
      <c r="I852" s="7">
        <v>79.900000000000006</v>
      </c>
      <c r="J852" s="2">
        <v>10</v>
      </c>
      <c r="K852" s="7">
        <v>1725.84</v>
      </c>
      <c r="L852" s="2" t="s">
        <v>31</v>
      </c>
      <c r="M852" s="2" t="s">
        <v>2365</v>
      </c>
    </row>
    <row r="853" spans="1:13" x14ac:dyDescent="0.3">
      <c r="A853" s="2" t="s">
        <v>76</v>
      </c>
      <c r="B853" s="5">
        <v>45782</v>
      </c>
      <c r="C853" s="2" t="s">
        <v>77</v>
      </c>
      <c r="D853" s="2" t="s">
        <v>46</v>
      </c>
      <c r="E853" s="2" t="s">
        <v>78</v>
      </c>
      <c r="F853" s="2" t="s">
        <v>63</v>
      </c>
      <c r="G853" s="2" t="s">
        <v>15</v>
      </c>
      <c r="H853" s="2">
        <v>28</v>
      </c>
      <c r="I853" s="7">
        <v>67.16</v>
      </c>
      <c r="J853" s="2">
        <v>5</v>
      </c>
      <c r="K853" s="7">
        <v>1786.46</v>
      </c>
      <c r="L853" s="2" t="s">
        <v>27</v>
      </c>
      <c r="M853" s="2" t="s">
        <v>2365</v>
      </c>
    </row>
    <row r="854" spans="1:13" x14ac:dyDescent="0.3">
      <c r="A854" s="2" t="s">
        <v>2168</v>
      </c>
      <c r="B854" s="5">
        <v>45868</v>
      </c>
      <c r="C854" s="2" t="s">
        <v>1498</v>
      </c>
      <c r="D854" s="2" t="s">
        <v>16</v>
      </c>
      <c r="E854" s="2" t="s">
        <v>91</v>
      </c>
      <c r="F854" s="2" t="s">
        <v>63</v>
      </c>
      <c r="G854" s="2" t="s">
        <v>15</v>
      </c>
      <c r="H854" s="2">
        <v>34</v>
      </c>
      <c r="I854" s="7">
        <v>56.53</v>
      </c>
      <c r="J854" s="2">
        <v>5</v>
      </c>
      <c r="K854" s="7">
        <v>1825.92</v>
      </c>
      <c r="L854" s="2" t="s">
        <v>69</v>
      </c>
      <c r="M854" s="2" t="s">
        <v>2364</v>
      </c>
    </row>
    <row r="855" spans="1:13" x14ac:dyDescent="0.3">
      <c r="A855" s="2" t="s">
        <v>1766</v>
      </c>
      <c r="B855" s="5">
        <v>46007</v>
      </c>
      <c r="C855" s="2" t="s">
        <v>1767</v>
      </c>
      <c r="D855" s="2" t="s">
        <v>46</v>
      </c>
      <c r="E855" s="2" t="s">
        <v>124</v>
      </c>
      <c r="F855" s="2" t="s">
        <v>63</v>
      </c>
      <c r="G855" s="2" t="s">
        <v>15</v>
      </c>
      <c r="H855" s="2">
        <v>34</v>
      </c>
      <c r="I855" s="7">
        <v>67.02</v>
      </c>
      <c r="J855" s="2">
        <v>15</v>
      </c>
      <c r="K855" s="7">
        <v>1936.88</v>
      </c>
      <c r="L855" s="2" t="s">
        <v>31</v>
      </c>
      <c r="M855" s="2" t="s">
        <v>2364</v>
      </c>
    </row>
    <row r="856" spans="1:13" x14ac:dyDescent="0.3">
      <c r="A856" s="2" t="s">
        <v>332</v>
      </c>
      <c r="B856" s="5">
        <v>45770</v>
      </c>
      <c r="C856" s="2" t="s">
        <v>333</v>
      </c>
      <c r="D856" s="2" t="s">
        <v>53</v>
      </c>
      <c r="E856" s="2" t="s">
        <v>67</v>
      </c>
      <c r="F856" s="2" t="s">
        <v>63</v>
      </c>
      <c r="G856" s="2" t="s">
        <v>15</v>
      </c>
      <c r="H856" s="2">
        <v>46</v>
      </c>
      <c r="I856" s="7">
        <v>50.31</v>
      </c>
      <c r="J856" s="2">
        <v>10</v>
      </c>
      <c r="K856" s="7">
        <v>2082.83</v>
      </c>
      <c r="L856" s="2" t="s">
        <v>69</v>
      </c>
      <c r="M856" s="2" t="s">
        <v>2364</v>
      </c>
    </row>
    <row r="857" spans="1:13" x14ac:dyDescent="0.3">
      <c r="A857" s="2" t="s">
        <v>2254</v>
      </c>
      <c r="B857" s="5">
        <v>45828</v>
      </c>
      <c r="C857" s="2" t="s">
        <v>2255</v>
      </c>
      <c r="D857" s="2" t="s">
        <v>16</v>
      </c>
      <c r="E857" s="2" t="s">
        <v>160</v>
      </c>
      <c r="F857" s="2" t="s">
        <v>63</v>
      </c>
      <c r="G857" s="2" t="s">
        <v>15</v>
      </c>
      <c r="H857" s="2">
        <v>37</v>
      </c>
      <c r="I857" s="7">
        <v>63.98</v>
      </c>
      <c r="J857" s="2">
        <v>10</v>
      </c>
      <c r="K857" s="7">
        <v>2130.5300000000002</v>
      </c>
      <c r="L857" s="2" t="s">
        <v>49</v>
      </c>
      <c r="M857" s="2" t="s">
        <v>2365</v>
      </c>
    </row>
    <row r="858" spans="1:13" x14ac:dyDescent="0.3">
      <c r="A858" s="2" t="s">
        <v>765</v>
      </c>
      <c r="B858" s="5">
        <v>45883</v>
      </c>
      <c r="C858" s="2" t="s">
        <v>490</v>
      </c>
      <c r="D858" s="2" t="s">
        <v>46</v>
      </c>
      <c r="E858" s="2" t="s">
        <v>124</v>
      </c>
      <c r="F858" s="2" t="s">
        <v>63</v>
      </c>
      <c r="G858" s="2" t="s">
        <v>15</v>
      </c>
      <c r="H858" s="2">
        <v>35</v>
      </c>
      <c r="I858" s="7">
        <v>64.849999999999994</v>
      </c>
      <c r="J858" s="2">
        <v>5</v>
      </c>
      <c r="K858" s="7">
        <v>2156.2600000000002</v>
      </c>
      <c r="L858" s="2" t="s">
        <v>27</v>
      </c>
      <c r="M858" s="2" t="s">
        <v>2364</v>
      </c>
    </row>
    <row r="859" spans="1:13" x14ac:dyDescent="0.3">
      <c r="A859" s="2" t="s">
        <v>1561</v>
      </c>
      <c r="B859" s="5">
        <v>45706</v>
      </c>
      <c r="C859" s="2" t="s">
        <v>1562</v>
      </c>
      <c r="D859" s="2" t="s">
        <v>53</v>
      </c>
      <c r="E859" s="2" t="s">
        <v>67</v>
      </c>
      <c r="F859" s="2" t="s">
        <v>63</v>
      </c>
      <c r="G859" s="2" t="s">
        <v>15</v>
      </c>
      <c r="H859" s="2">
        <v>37</v>
      </c>
      <c r="I859" s="7">
        <v>65.87</v>
      </c>
      <c r="J859" s="2">
        <v>10</v>
      </c>
      <c r="K859" s="7">
        <v>2193.4699999999998</v>
      </c>
      <c r="L859" s="2" t="s">
        <v>2347</v>
      </c>
      <c r="M859" s="2" t="s">
        <v>2364</v>
      </c>
    </row>
    <row r="860" spans="1:13" x14ac:dyDescent="0.3">
      <c r="A860" s="2" t="s">
        <v>1847</v>
      </c>
      <c r="B860" s="5">
        <v>45862</v>
      </c>
      <c r="C860" s="2" t="s">
        <v>1848</v>
      </c>
      <c r="D860" s="2" t="s">
        <v>46</v>
      </c>
      <c r="E860" s="2" t="s">
        <v>78</v>
      </c>
      <c r="F860" s="2" t="s">
        <v>63</v>
      </c>
      <c r="G860" s="2" t="s">
        <v>15</v>
      </c>
      <c r="H860" s="2">
        <v>38</v>
      </c>
      <c r="I860" s="7">
        <v>73.22</v>
      </c>
      <c r="J860" s="2">
        <v>20</v>
      </c>
      <c r="K860" s="7">
        <v>2225.89</v>
      </c>
      <c r="L860" s="2" t="s">
        <v>49</v>
      </c>
      <c r="M860" s="2" t="s">
        <v>2364</v>
      </c>
    </row>
    <row r="861" spans="1:13" x14ac:dyDescent="0.3">
      <c r="A861" s="2" t="s">
        <v>390</v>
      </c>
      <c r="B861" s="5">
        <v>45626</v>
      </c>
      <c r="C861" s="2" t="s">
        <v>391</v>
      </c>
      <c r="D861" s="2" t="s">
        <v>53</v>
      </c>
      <c r="E861" s="2" t="s">
        <v>141</v>
      </c>
      <c r="F861" s="2" t="s">
        <v>63</v>
      </c>
      <c r="G861" s="2" t="s">
        <v>15</v>
      </c>
      <c r="H861" s="2">
        <v>34</v>
      </c>
      <c r="I861" s="7">
        <v>75.25</v>
      </c>
      <c r="J861" s="2">
        <v>10</v>
      </c>
      <c r="K861" s="7">
        <v>2302.65</v>
      </c>
      <c r="L861" s="2" t="s">
        <v>49</v>
      </c>
      <c r="M861" s="2" t="s">
        <v>2364</v>
      </c>
    </row>
    <row r="862" spans="1:13" x14ac:dyDescent="0.3">
      <c r="A862" s="2" t="s">
        <v>1209</v>
      </c>
      <c r="B862" s="5">
        <v>46076</v>
      </c>
      <c r="C862" s="2" t="s">
        <v>1210</v>
      </c>
      <c r="D862" s="2" t="s">
        <v>53</v>
      </c>
      <c r="E862" s="2" t="s">
        <v>134</v>
      </c>
      <c r="F862" s="2" t="s">
        <v>63</v>
      </c>
      <c r="G862" s="2" t="s">
        <v>15</v>
      </c>
      <c r="H862" s="2">
        <v>37</v>
      </c>
      <c r="I862" s="7">
        <v>70.73</v>
      </c>
      <c r="J862" s="2">
        <v>10</v>
      </c>
      <c r="K862" s="7">
        <v>2355.31</v>
      </c>
      <c r="L862" s="2" t="s">
        <v>31</v>
      </c>
      <c r="M862" s="2" t="s">
        <v>2364</v>
      </c>
    </row>
    <row r="863" spans="1:13" x14ac:dyDescent="0.3">
      <c r="A863" s="2" t="s">
        <v>1575</v>
      </c>
      <c r="B863" s="5">
        <v>46016</v>
      </c>
      <c r="C863" s="2" t="s">
        <v>1562</v>
      </c>
      <c r="D863" s="2" t="s">
        <v>46</v>
      </c>
      <c r="E863" s="2" t="s">
        <v>124</v>
      </c>
      <c r="F863" s="2" t="s">
        <v>63</v>
      </c>
      <c r="G863" s="2" t="s">
        <v>15</v>
      </c>
      <c r="H863" s="2">
        <v>45</v>
      </c>
      <c r="I863" s="7">
        <v>66.099999999999994</v>
      </c>
      <c r="J863" s="2">
        <v>20</v>
      </c>
      <c r="K863" s="7">
        <v>2379.6</v>
      </c>
      <c r="L863" s="2" t="s">
        <v>69</v>
      </c>
      <c r="M863" s="2" t="s">
        <v>2365</v>
      </c>
    </row>
    <row r="864" spans="1:13" x14ac:dyDescent="0.3">
      <c r="A864" s="2" t="s">
        <v>452</v>
      </c>
      <c r="B864" s="5">
        <v>46131</v>
      </c>
      <c r="C864" s="2" t="s">
        <v>29</v>
      </c>
      <c r="D864" s="2" t="s">
        <v>16</v>
      </c>
      <c r="E864" s="2" t="s">
        <v>17</v>
      </c>
      <c r="F864" s="2" t="s">
        <v>63</v>
      </c>
      <c r="G864" s="2" t="s">
        <v>15</v>
      </c>
      <c r="H864" s="2">
        <v>32</v>
      </c>
      <c r="I864" s="7">
        <v>76.89</v>
      </c>
      <c r="J864" s="2">
        <v>0</v>
      </c>
      <c r="K864" s="7">
        <v>2460.48</v>
      </c>
      <c r="L864" s="2" t="s">
        <v>69</v>
      </c>
      <c r="M864" s="2" t="s">
        <v>2364</v>
      </c>
    </row>
    <row r="865" spans="1:13" x14ac:dyDescent="0.3">
      <c r="A865" s="2" t="s">
        <v>1345</v>
      </c>
      <c r="B865" s="5">
        <v>45616</v>
      </c>
      <c r="C865" s="2" t="s">
        <v>107</v>
      </c>
      <c r="D865" s="2" t="s">
        <v>16</v>
      </c>
      <c r="E865" s="2" t="s">
        <v>74</v>
      </c>
      <c r="F865" s="2" t="s">
        <v>63</v>
      </c>
      <c r="G865" s="2" t="s">
        <v>15</v>
      </c>
      <c r="H865" s="2">
        <v>37</v>
      </c>
      <c r="I865" s="7">
        <v>66.59</v>
      </c>
      <c r="J865" s="2">
        <v>0</v>
      </c>
      <c r="K865" s="7">
        <v>2463.83</v>
      </c>
      <c r="L865" s="2" t="s">
        <v>69</v>
      </c>
      <c r="M865" s="2" t="s">
        <v>2364</v>
      </c>
    </row>
    <row r="866" spans="1:13" x14ac:dyDescent="0.3">
      <c r="A866" s="2" t="s">
        <v>1404</v>
      </c>
      <c r="B866" s="5">
        <v>45633</v>
      </c>
      <c r="C866" s="2" t="s">
        <v>1405</v>
      </c>
      <c r="D866" s="2" t="s">
        <v>24</v>
      </c>
      <c r="E866" s="2" t="s">
        <v>36</v>
      </c>
      <c r="F866" s="2" t="s">
        <v>63</v>
      </c>
      <c r="G866" s="2" t="s">
        <v>15</v>
      </c>
      <c r="H866" s="2">
        <v>35</v>
      </c>
      <c r="I866" s="7">
        <v>72.040000000000006</v>
      </c>
      <c r="J866" s="2">
        <v>0</v>
      </c>
      <c r="K866" s="7">
        <v>2521.4</v>
      </c>
      <c r="L866" s="2" t="s">
        <v>2347</v>
      </c>
      <c r="M866" s="2" t="s">
        <v>2364</v>
      </c>
    </row>
    <row r="867" spans="1:13" x14ac:dyDescent="0.3">
      <c r="A867" s="2" t="s">
        <v>2244</v>
      </c>
      <c r="B867" s="5">
        <v>45622</v>
      </c>
      <c r="C867" s="2" t="s">
        <v>2245</v>
      </c>
      <c r="D867" s="2" t="s">
        <v>24</v>
      </c>
      <c r="E867" s="2" t="s">
        <v>59</v>
      </c>
      <c r="F867" s="2" t="s">
        <v>63</v>
      </c>
      <c r="G867" s="2" t="s">
        <v>15</v>
      </c>
      <c r="H867" s="2">
        <v>44</v>
      </c>
      <c r="I867" s="7">
        <v>68.2</v>
      </c>
      <c r="J867" s="2">
        <v>10</v>
      </c>
      <c r="K867" s="7">
        <v>2700.72</v>
      </c>
      <c r="L867" s="2" t="s">
        <v>27</v>
      </c>
      <c r="M867" s="2" t="s">
        <v>2364</v>
      </c>
    </row>
    <row r="868" spans="1:13" x14ac:dyDescent="0.3">
      <c r="A868" s="2" t="s">
        <v>116</v>
      </c>
      <c r="B868" s="5">
        <v>46143</v>
      </c>
      <c r="C868" s="2" t="s">
        <v>117</v>
      </c>
      <c r="D868" s="2" t="s">
        <v>53</v>
      </c>
      <c r="E868" s="2" t="s">
        <v>67</v>
      </c>
      <c r="F868" s="2" t="s">
        <v>63</v>
      </c>
      <c r="G868" s="2" t="s">
        <v>15</v>
      </c>
      <c r="H868" s="2">
        <v>49</v>
      </c>
      <c r="I868" s="7">
        <v>77.010000000000005</v>
      </c>
      <c r="J868" s="2">
        <v>0</v>
      </c>
      <c r="K868" s="7">
        <v>3773.49</v>
      </c>
      <c r="L868" s="2" t="s">
        <v>31</v>
      </c>
      <c r="M868" s="2" t="s">
        <v>2364</v>
      </c>
    </row>
    <row r="869" spans="1:13" x14ac:dyDescent="0.3">
      <c r="A869" s="2" t="s">
        <v>2306</v>
      </c>
      <c r="B869" s="5">
        <v>46212</v>
      </c>
      <c r="C869" s="2" t="s">
        <v>2307</v>
      </c>
      <c r="D869" s="2" t="s">
        <v>46</v>
      </c>
      <c r="E869" s="2" t="s">
        <v>83</v>
      </c>
      <c r="F869" s="2" t="s">
        <v>123</v>
      </c>
      <c r="G869" s="2" t="s">
        <v>15</v>
      </c>
      <c r="H869" s="2">
        <v>1</v>
      </c>
      <c r="I869" s="7">
        <v>29.21</v>
      </c>
      <c r="J869" s="2">
        <v>15</v>
      </c>
      <c r="K869" s="7">
        <v>24.83</v>
      </c>
      <c r="L869" s="2" t="s">
        <v>69</v>
      </c>
      <c r="M869" s="2" t="s">
        <v>2364</v>
      </c>
    </row>
    <row r="870" spans="1:13" x14ac:dyDescent="0.3">
      <c r="A870" s="2" t="s">
        <v>121</v>
      </c>
      <c r="B870" s="5">
        <v>45678</v>
      </c>
      <c r="C870" s="2" t="s">
        <v>122</v>
      </c>
      <c r="D870" s="2" t="s">
        <v>46</v>
      </c>
      <c r="E870" s="2" t="s">
        <v>124</v>
      </c>
      <c r="F870" s="2" t="s">
        <v>123</v>
      </c>
      <c r="G870" s="2" t="s">
        <v>15</v>
      </c>
      <c r="H870" s="2">
        <v>1</v>
      </c>
      <c r="I870" s="7">
        <v>27.61</v>
      </c>
      <c r="J870" s="2">
        <v>0</v>
      </c>
      <c r="K870" s="7">
        <v>27.61</v>
      </c>
      <c r="L870" s="2" t="s">
        <v>49</v>
      </c>
      <c r="M870" s="2" t="s">
        <v>2364</v>
      </c>
    </row>
    <row r="871" spans="1:13" x14ac:dyDescent="0.3">
      <c r="A871" s="2" t="s">
        <v>1488</v>
      </c>
      <c r="B871" s="5">
        <v>45602</v>
      </c>
      <c r="C871" s="2" t="s">
        <v>1489</v>
      </c>
      <c r="D871" s="2" t="s">
        <v>24</v>
      </c>
      <c r="E871" s="2" t="s">
        <v>59</v>
      </c>
      <c r="F871" s="2" t="s">
        <v>123</v>
      </c>
      <c r="G871" s="2" t="s">
        <v>15</v>
      </c>
      <c r="H871" s="2">
        <v>2</v>
      </c>
      <c r="I871" s="7">
        <v>27.32</v>
      </c>
      <c r="J871" s="2">
        <v>10</v>
      </c>
      <c r="K871" s="7">
        <v>49.18</v>
      </c>
      <c r="L871" s="2" t="s">
        <v>2347</v>
      </c>
      <c r="M871" s="2" t="s">
        <v>2364</v>
      </c>
    </row>
    <row r="872" spans="1:13" x14ac:dyDescent="0.3">
      <c r="A872" s="2" t="s">
        <v>495</v>
      </c>
      <c r="B872" s="5">
        <v>46284</v>
      </c>
      <c r="C872" s="2" t="s">
        <v>496</v>
      </c>
      <c r="D872" s="2" t="s">
        <v>53</v>
      </c>
      <c r="E872" s="2" t="s">
        <v>170</v>
      </c>
      <c r="F872" s="2" t="s">
        <v>123</v>
      </c>
      <c r="G872" s="2" t="s">
        <v>15</v>
      </c>
      <c r="H872" s="2">
        <v>2</v>
      </c>
      <c r="I872" s="7">
        <v>31.76</v>
      </c>
      <c r="J872" s="2">
        <v>10</v>
      </c>
      <c r="K872" s="7">
        <v>57.17</v>
      </c>
      <c r="L872" s="2" t="s">
        <v>31</v>
      </c>
      <c r="M872" s="2" t="s">
        <v>2364</v>
      </c>
    </row>
    <row r="873" spans="1:13" x14ac:dyDescent="0.3">
      <c r="A873" s="2" t="s">
        <v>997</v>
      </c>
      <c r="B873" s="5">
        <v>45904</v>
      </c>
      <c r="C873" s="2" t="s">
        <v>998</v>
      </c>
      <c r="D873" s="2" t="s">
        <v>24</v>
      </c>
      <c r="E873" s="2" t="s">
        <v>104</v>
      </c>
      <c r="F873" s="2" t="s">
        <v>123</v>
      </c>
      <c r="G873" s="2" t="s">
        <v>15</v>
      </c>
      <c r="H873" s="2">
        <v>7</v>
      </c>
      <c r="I873" s="7">
        <v>16.32</v>
      </c>
      <c r="J873" s="2">
        <v>20</v>
      </c>
      <c r="K873" s="7">
        <v>91.39</v>
      </c>
      <c r="L873" s="2" t="s">
        <v>69</v>
      </c>
      <c r="M873" s="2" t="s">
        <v>2365</v>
      </c>
    </row>
    <row r="874" spans="1:13" x14ac:dyDescent="0.3">
      <c r="A874" s="2" t="s">
        <v>1773</v>
      </c>
      <c r="B874" s="5">
        <v>45732</v>
      </c>
      <c r="C874" s="2" t="s">
        <v>1774</v>
      </c>
      <c r="D874" s="2" t="s">
        <v>16</v>
      </c>
      <c r="E874" s="2" t="s">
        <v>74</v>
      </c>
      <c r="F874" s="2" t="s">
        <v>123</v>
      </c>
      <c r="G874" s="2" t="s">
        <v>15</v>
      </c>
      <c r="H874" s="2">
        <v>5</v>
      </c>
      <c r="I874" s="7">
        <v>24.69</v>
      </c>
      <c r="J874" s="2">
        <v>20</v>
      </c>
      <c r="K874" s="7">
        <v>98.76</v>
      </c>
      <c r="L874" s="2" t="s">
        <v>69</v>
      </c>
      <c r="M874" s="2" t="s">
        <v>2364</v>
      </c>
    </row>
    <row r="875" spans="1:13" x14ac:dyDescent="0.3">
      <c r="A875" s="2" t="s">
        <v>1268</v>
      </c>
      <c r="B875" s="5">
        <v>46133</v>
      </c>
      <c r="C875" s="2" t="s">
        <v>1269</v>
      </c>
      <c r="D875" s="2" t="s">
        <v>24</v>
      </c>
      <c r="E875" s="2" t="s">
        <v>59</v>
      </c>
      <c r="F875" s="2" t="s">
        <v>123</v>
      </c>
      <c r="G875" s="2" t="s">
        <v>15</v>
      </c>
      <c r="H875" s="2">
        <v>9</v>
      </c>
      <c r="I875" s="7">
        <v>15.36</v>
      </c>
      <c r="J875" s="2">
        <v>0</v>
      </c>
      <c r="K875" s="7">
        <v>138.24</v>
      </c>
      <c r="L875" s="2" t="s">
        <v>2347</v>
      </c>
      <c r="M875" s="2" t="s">
        <v>2364</v>
      </c>
    </row>
    <row r="876" spans="1:13" x14ac:dyDescent="0.3">
      <c r="A876" s="2" t="s">
        <v>2033</v>
      </c>
      <c r="B876" s="5">
        <v>45607</v>
      </c>
      <c r="C876" s="2" t="s">
        <v>2034</v>
      </c>
      <c r="D876" s="2" t="s">
        <v>53</v>
      </c>
      <c r="E876" s="2" t="s">
        <v>54</v>
      </c>
      <c r="F876" s="2" t="s">
        <v>123</v>
      </c>
      <c r="G876" s="2" t="s">
        <v>15</v>
      </c>
      <c r="H876" s="2">
        <v>5</v>
      </c>
      <c r="I876" s="7">
        <v>34.11</v>
      </c>
      <c r="J876" s="2">
        <v>5</v>
      </c>
      <c r="K876" s="7">
        <v>162.02000000000001</v>
      </c>
      <c r="L876" s="2" t="s">
        <v>2347</v>
      </c>
      <c r="M876" s="2" t="s">
        <v>2364</v>
      </c>
    </row>
    <row r="877" spans="1:13" x14ac:dyDescent="0.3">
      <c r="A877" s="2" t="s">
        <v>973</v>
      </c>
      <c r="B877" s="5">
        <v>45990</v>
      </c>
      <c r="C877" s="2" t="s">
        <v>974</v>
      </c>
      <c r="D877" s="2" t="s">
        <v>46</v>
      </c>
      <c r="E877" s="2" t="s">
        <v>83</v>
      </c>
      <c r="F877" s="2" t="s">
        <v>123</v>
      </c>
      <c r="G877" s="2" t="s">
        <v>15</v>
      </c>
      <c r="H877" s="2">
        <v>6</v>
      </c>
      <c r="I877" s="7">
        <v>34.479999999999997</v>
      </c>
      <c r="J877" s="2">
        <v>10</v>
      </c>
      <c r="K877" s="7">
        <v>186.19</v>
      </c>
      <c r="L877" s="2" t="s">
        <v>31</v>
      </c>
      <c r="M877" s="2" t="s">
        <v>2364</v>
      </c>
    </row>
    <row r="878" spans="1:13" x14ac:dyDescent="0.3">
      <c r="A878" s="2" t="s">
        <v>401</v>
      </c>
      <c r="B878" s="5">
        <v>45918</v>
      </c>
      <c r="C878" s="2" t="s">
        <v>402</v>
      </c>
      <c r="D878" s="2" t="s">
        <v>16</v>
      </c>
      <c r="E878" s="2" t="s">
        <v>74</v>
      </c>
      <c r="F878" s="2" t="s">
        <v>123</v>
      </c>
      <c r="G878" s="2" t="s">
        <v>15</v>
      </c>
      <c r="H878" s="2">
        <v>7</v>
      </c>
      <c r="I878" s="7">
        <v>39.840000000000003</v>
      </c>
      <c r="J878" s="2">
        <v>10</v>
      </c>
      <c r="K878" s="7">
        <v>250.99</v>
      </c>
      <c r="L878" s="2" t="s">
        <v>31</v>
      </c>
      <c r="M878" s="2" t="s">
        <v>2364</v>
      </c>
    </row>
    <row r="879" spans="1:13" x14ac:dyDescent="0.3">
      <c r="A879" s="2" t="s">
        <v>237</v>
      </c>
      <c r="B879" s="5">
        <v>45598</v>
      </c>
      <c r="C879" s="2" t="s">
        <v>238</v>
      </c>
      <c r="D879" s="2" t="s">
        <v>46</v>
      </c>
      <c r="E879" s="2" t="s">
        <v>78</v>
      </c>
      <c r="F879" s="2" t="s">
        <v>123</v>
      </c>
      <c r="G879" s="2" t="s">
        <v>15</v>
      </c>
      <c r="H879" s="2">
        <v>14</v>
      </c>
      <c r="I879" s="7">
        <v>22.43</v>
      </c>
      <c r="J879" s="2">
        <v>20</v>
      </c>
      <c r="K879" s="7">
        <v>251.22</v>
      </c>
      <c r="L879" s="2" t="s">
        <v>49</v>
      </c>
      <c r="M879" s="2" t="s">
        <v>2365</v>
      </c>
    </row>
    <row r="880" spans="1:13" x14ac:dyDescent="0.3">
      <c r="A880" s="2" t="s">
        <v>1542</v>
      </c>
      <c r="B880" s="5">
        <v>45643</v>
      </c>
      <c r="C880" s="2" t="s">
        <v>1543</v>
      </c>
      <c r="D880" s="2" t="s">
        <v>46</v>
      </c>
      <c r="E880" s="2" t="s">
        <v>47</v>
      </c>
      <c r="F880" s="2" t="s">
        <v>123</v>
      </c>
      <c r="G880" s="2" t="s">
        <v>15</v>
      </c>
      <c r="H880" s="2">
        <v>9</v>
      </c>
      <c r="I880" s="7">
        <v>29.81</v>
      </c>
      <c r="J880" s="2">
        <v>0</v>
      </c>
      <c r="K880" s="7">
        <v>268.29000000000002</v>
      </c>
      <c r="L880" s="2" t="s">
        <v>49</v>
      </c>
      <c r="M880" s="2" t="s">
        <v>2364</v>
      </c>
    </row>
    <row r="881" spans="1:13" x14ac:dyDescent="0.3">
      <c r="A881" s="2" t="s">
        <v>2229</v>
      </c>
      <c r="B881" s="5">
        <v>46046</v>
      </c>
      <c r="C881" s="2" t="s">
        <v>2230</v>
      </c>
      <c r="D881" s="2" t="s">
        <v>16</v>
      </c>
      <c r="E881" s="2" t="s">
        <v>160</v>
      </c>
      <c r="F881" s="2" t="s">
        <v>123</v>
      </c>
      <c r="G881" s="2" t="s">
        <v>15</v>
      </c>
      <c r="H881" s="2">
        <v>6</v>
      </c>
      <c r="I881" s="7">
        <v>45.59</v>
      </c>
      <c r="J881" s="2">
        <v>0</v>
      </c>
      <c r="K881" s="7">
        <v>273.54000000000002</v>
      </c>
      <c r="L881" s="2" t="s">
        <v>49</v>
      </c>
      <c r="M881" s="2" t="s">
        <v>2364</v>
      </c>
    </row>
    <row r="882" spans="1:13" x14ac:dyDescent="0.3">
      <c r="A882" s="2" t="s">
        <v>1281</v>
      </c>
      <c r="B882" s="5">
        <v>45989</v>
      </c>
      <c r="C882" s="2" t="s">
        <v>238</v>
      </c>
      <c r="D882" s="2" t="s">
        <v>16</v>
      </c>
      <c r="E882" s="2" t="s">
        <v>111</v>
      </c>
      <c r="F882" s="2" t="s">
        <v>123</v>
      </c>
      <c r="G882" s="2" t="s">
        <v>15</v>
      </c>
      <c r="H882" s="2">
        <v>12</v>
      </c>
      <c r="I882" s="7">
        <v>24.64</v>
      </c>
      <c r="J882" s="2">
        <v>0</v>
      </c>
      <c r="K882" s="7">
        <v>295.68</v>
      </c>
      <c r="L882" s="2" t="s">
        <v>49</v>
      </c>
      <c r="M882" s="2" t="s">
        <v>2364</v>
      </c>
    </row>
    <row r="883" spans="1:13" x14ac:dyDescent="0.3">
      <c r="A883" s="2" t="s">
        <v>1064</v>
      </c>
      <c r="B883" s="5">
        <v>46111</v>
      </c>
      <c r="C883" s="2" t="s">
        <v>1065</v>
      </c>
      <c r="D883" s="2" t="s">
        <v>46</v>
      </c>
      <c r="E883" s="2" t="s">
        <v>78</v>
      </c>
      <c r="F883" s="2" t="s">
        <v>123</v>
      </c>
      <c r="G883" s="2" t="s">
        <v>15</v>
      </c>
      <c r="H883" s="2">
        <v>18</v>
      </c>
      <c r="I883" s="7">
        <v>17.809999999999999</v>
      </c>
      <c r="J883" s="2">
        <v>5</v>
      </c>
      <c r="K883" s="7">
        <v>304.55</v>
      </c>
      <c r="L883" s="2" t="s">
        <v>2347</v>
      </c>
      <c r="M883" s="2" t="s">
        <v>2365</v>
      </c>
    </row>
    <row r="884" spans="1:13" x14ac:dyDescent="0.3">
      <c r="A884" s="2" t="s">
        <v>1087</v>
      </c>
      <c r="B884" s="5">
        <v>45601</v>
      </c>
      <c r="C884" s="2" t="s">
        <v>1088</v>
      </c>
      <c r="D884" s="2" t="s">
        <v>53</v>
      </c>
      <c r="E884" s="2" t="s">
        <v>170</v>
      </c>
      <c r="F884" s="2" t="s">
        <v>123</v>
      </c>
      <c r="G884" s="2" t="s">
        <v>15</v>
      </c>
      <c r="H884" s="2">
        <v>9</v>
      </c>
      <c r="I884" s="7">
        <v>49.57</v>
      </c>
      <c r="J884" s="2">
        <v>20</v>
      </c>
      <c r="K884" s="7">
        <v>356.9</v>
      </c>
      <c r="L884" s="2" t="s">
        <v>31</v>
      </c>
      <c r="M884" s="2" t="s">
        <v>2365</v>
      </c>
    </row>
    <row r="885" spans="1:13" x14ac:dyDescent="0.3">
      <c r="A885" s="2" t="s">
        <v>1655</v>
      </c>
      <c r="B885" s="5">
        <v>45886</v>
      </c>
      <c r="C885" s="2" t="s">
        <v>144</v>
      </c>
      <c r="D885" s="2" t="s">
        <v>53</v>
      </c>
      <c r="E885" s="2" t="s">
        <v>170</v>
      </c>
      <c r="F885" s="2" t="s">
        <v>123</v>
      </c>
      <c r="G885" s="2" t="s">
        <v>15</v>
      </c>
      <c r="H885" s="2">
        <v>16</v>
      </c>
      <c r="I885" s="7">
        <v>26.31</v>
      </c>
      <c r="J885" s="2">
        <v>10</v>
      </c>
      <c r="K885" s="7">
        <v>378.86</v>
      </c>
      <c r="L885" s="2" t="s">
        <v>2347</v>
      </c>
      <c r="M885" s="2" t="s">
        <v>2365</v>
      </c>
    </row>
    <row r="886" spans="1:13" x14ac:dyDescent="0.3">
      <c r="A886" s="2" t="s">
        <v>474</v>
      </c>
      <c r="B886" s="5">
        <v>45803</v>
      </c>
      <c r="C886" s="2" t="s">
        <v>475</v>
      </c>
      <c r="D886" s="2" t="s">
        <v>46</v>
      </c>
      <c r="E886" s="2" t="s">
        <v>124</v>
      </c>
      <c r="F886" s="2" t="s">
        <v>123</v>
      </c>
      <c r="G886" s="2" t="s">
        <v>15</v>
      </c>
      <c r="H886" s="2">
        <v>11</v>
      </c>
      <c r="I886" s="7">
        <v>35.03</v>
      </c>
      <c r="J886" s="2">
        <v>0</v>
      </c>
      <c r="K886" s="7">
        <v>385.33</v>
      </c>
      <c r="L886" s="2" t="s">
        <v>2347</v>
      </c>
      <c r="M886" s="2" t="s">
        <v>2365</v>
      </c>
    </row>
    <row r="887" spans="1:13" x14ac:dyDescent="0.3">
      <c r="A887" s="2" t="s">
        <v>1205</v>
      </c>
      <c r="B887" s="5">
        <v>45756</v>
      </c>
      <c r="C887" s="2" t="s">
        <v>1206</v>
      </c>
      <c r="D887" s="2" t="s">
        <v>46</v>
      </c>
      <c r="E887" s="2" t="s">
        <v>83</v>
      </c>
      <c r="F887" s="2" t="s">
        <v>123</v>
      </c>
      <c r="G887" s="2" t="s">
        <v>15</v>
      </c>
      <c r="H887" s="2">
        <v>9</v>
      </c>
      <c r="I887" s="7">
        <v>43.04</v>
      </c>
      <c r="J887" s="2">
        <v>0</v>
      </c>
      <c r="K887" s="7">
        <v>387.36</v>
      </c>
      <c r="L887" s="2" t="s">
        <v>27</v>
      </c>
      <c r="M887" s="2" t="s">
        <v>2365</v>
      </c>
    </row>
    <row r="888" spans="1:13" x14ac:dyDescent="0.3">
      <c r="A888" s="2" t="s">
        <v>1495</v>
      </c>
      <c r="B888" s="5">
        <v>45912</v>
      </c>
      <c r="C888" s="2" t="s">
        <v>1496</v>
      </c>
      <c r="D888" s="2" t="s">
        <v>46</v>
      </c>
      <c r="E888" s="2" t="s">
        <v>124</v>
      </c>
      <c r="F888" s="2" t="s">
        <v>123</v>
      </c>
      <c r="G888" s="2" t="s">
        <v>15</v>
      </c>
      <c r="H888" s="2">
        <v>14</v>
      </c>
      <c r="I888" s="7">
        <v>31.76</v>
      </c>
      <c r="J888" s="2">
        <v>10</v>
      </c>
      <c r="K888" s="7">
        <v>400.18</v>
      </c>
      <c r="L888" s="2" t="s">
        <v>49</v>
      </c>
      <c r="M888" s="2" t="s">
        <v>2364</v>
      </c>
    </row>
    <row r="889" spans="1:13" x14ac:dyDescent="0.3">
      <c r="A889" s="2" t="s">
        <v>240</v>
      </c>
      <c r="B889" s="5">
        <v>45962</v>
      </c>
      <c r="C889" s="2" t="s">
        <v>241</v>
      </c>
      <c r="D889" s="2" t="s">
        <v>16</v>
      </c>
      <c r="E889" s="2" t="s">
        <v>91</v>
      </c>
      <c r="F889" s="2" t="s">
        <v>123</v>
      </c>
      <c r="G889" s="2" t="s">
        <v>15</v>
      </c>
      <c r="H889" s="2">
        <v>16</v>
      </c>
      <c r="I889" s="7">
        <v>28.48</v>
      </c>
      <c r="J889" s="2">
        <v>10</v>
      </c>
      <c r="K889" s="7">
        <v>410.11</v>
      </c>
      <c r="L889" s="2" t="s">
        <v>27</v>
      </c>
      <c r="M889" s="2" t="s">
        <v>2364</v>
      </c>
    </row>
    <row r="890" spans="1:13" x14ac:dyDescent="0.3">
      <c r="A890" s="2" t="s">
        <v>1370</v>
      </c>
      <c r="B890" s="5">
        <v>45828</v>
      </c>
      <c r="C890" s="2" t="s">
        <v>1371</v>
      </c>
      <c r="D890" s="2" t="s">
        <v>16</v>
      </c>
      <c r="E890" s="2" t="s">
        <v>160</v>
      </c>
      <c r="F890" s="2" t="s">
        <v>123</v>
      </c>
      <c r="G890" s="2" t="s">
        <v>15</v>
      </c>
      <c r="H890" s="2">
        <v>10</v>
      </c>
      <c r="I890" s="7">
        <v>45.93</v>
      </c>
      <c r="J890" s="2">
        <v>10</v>
      </c>
      <c r="K890" s="7">
        <v>413.37</v>
      </c>
      <c r="L890" s="2" t="s">
        <v>27</v>
      </c>
      <c r="M890" s="2" t="s">
        <v>2364</v>
      </c>
    </row>
    <row r="891" spans="1:13" x14ac:dyDescent="0.3">
      <c r="A891" s="2" t="s">
        <v>2108</v>
      </c>
      <c r="B891" s="5">
        <v>46276</v>
      </c>
      <c r="C891" s="2" t="s">
        <v>2109</v>
      </c>
      <c r="D891" s="2" t="s">
        <v>16</v>
      </c>
      <c r="E891" s="2" t="s">
        <v>111</v>
      </c>
      <c r="F891" s="2" t="s">
        <v>123</v>
      </c>
      <c r="G891" s="2" t="s">
        <v>15</v>
      </c>
      <c r="H891" s="2">
        <v>23</v>
      </c>
      <c r="I891" s="7">
        <v>18.940000000000001</v>
      </c>
      <c r="J891" s="2">
        <v>5</v>
      </c>
      <c r="K891" s="7">
        <v>413.84</v>
      </c>
      <c r="L891" s="2" t="s">
        <v>49</v>
      </c>
      <c r="M891" s="2" t="s">
        <v>2364</v>
      </c>
    </row>
    <row r="892" spans="1:13" x14ac:dyDescent="0.3">
      <c r="A892" s="2" t="s">
        <v>1808</v>
      </c>
      <c r="B892" s="5">
        <v>45702</v>
      </c>
      <c r="C892" s="2" t="s">
        <v>841</v>
      </c>
      <c r="D892" s="2" t="s">
        <v>16</v>
      </c>
      <c r="E892" s="2" t="s">
        <v>91</v>
      </c>
      <c r="F892" s="2" t="s">
        <v>123</v>
      </c>
      <c r="G892" s="2" t="s">
        <v>15</v>
      </c>
      <c r="H892" s="2">
        <v>27</v>
      </c>
      <c r="I892" s="7">
        <v>15.98</v>
      </c>
      <c r="J892" s="2">
        <v>0</v>
      </c>
      <c r="K892" s="7">
        <v>431.46</v>
      </c>
      <c r="L892" s="2" t="s">
        <v>2347</v>
      </c>
      <c r="M892" s="2" t="s">
        <v>2364</v>
      </c>
    </row>
    <row r="893" spans="1:13" x14ac:dyDescent="0.3">
      <c r="A893" s="2" t="s">
        <v>1055</v>
      </c>
      <c r="B893" s="5">
        <v>45811</v>
      </c>
      <c r="C893" s="2" t="s">
        <v>1056</v>
      </c>
      <c r="D893" s="2" t="s">
        <v>46</v>
      </c>
      <c r="E893" s="2" t="s">
        <v>244</v>
      </c>
      <c r="F893" s="2" t="s">
        <v>123</v>
      </c>
      <c r="G893" s="2" t="s">
        <v>15</v>
      </c>
      <c r="H893" s="2">
        <v>22</v>
      </c>
      <c r="I893" s="7">
        <v>25.84</v>
      </c>
      <c r="J893" s="2">
        <v>15</v>
      </c>
      <c r="K893" s="7">
        <v>483.21</v>
      </c>
      <c r="L893" s="2" t="s">
        <v>69</v>
      </c>
      <c r="M893" s="2" t="s">
        <v>2364</v>
      </c>
    </row>
    <row r="894" spans="1:13" x14ac:dyDescent="0.3">
      <c r="A894" s="2" t="s">
        <v>1499</v>
      </c>
      <c r="B894" s="5">
        <v>46204</v>
      </c>
      <c r="C894" s="2" t="s">
        <v>768</v>
      </c>
      <c r="D894" s="2" t="s">
        <v>24</v>
      </c>
      <c r="E894" s="2" t="s">
        <v>104</v>
      </c>
      <c r="F894" s="2" t="s">
        <v>123</v>
      </c>
      <c r="G894" s="2" t="s">
        <v>15</v>
      </c>
      <c r="H894" s="2">
        <v>17</v>
      </c>
      <c r="I894" s="7">
        <v>31.91</v>
      </c>
      <c r="J894" s="2">
        <v>10</v>
      </c>
      <c r="K894" s="7">
        <v>488.22</v>
      </c>
      <c r="L894" s="2" t="s">
        <v>49</v>
      </c>
      <c r="M894" s="2" t="s">
        <v>2364</v>
      </c>
    </row>
    <row r="895" spans="1:13" x14ac:dyDescent="0.3">
      <c r="A895" s="2" t="s">
        <v>1324</v>
      </c>
      <c r="B895" s="5">
        <v>46156</v>
      </c>
      <c r="C895" s="2" t="s">
        <v>1325</v>
      </c>
      <c r="D895" s="2" t="s">
        <v>24</v>
      </c>
      <c r="E895" s="2" t="s">
        <v>41</v>
      </c>
      <c r="F895" s="2" t="s">
        <v>123</v>
      </c>
      <c r="G895" s="2" t="s">
        <v>15</v>
      </c>
      <c r="H895" s="2">
        <v>21</v>
      </c>
      <c r="I895" s="7">
        <v>26.95</v>
      </c>
      <c r="J895" s="2">
        <v>10</v>
      </c>
      <c r="K895" s="7">
        <v>509.35</v>
      </c>
      <c r="L895" s="2" t="s">
        <v>49</v>
      </c>
      <c r="M895" s="2" t="s">
        <v>2364</v>
      </c>
    </row>
    <row r="896" spans="1:13" x14ac:dyDescent="0.3">
      <c r="A896" s="2" t="s">
        <v>2098</v>
      </c>
      <c r="B896" s="5">
        <v>46246</v>
      </c>
      <c r="C896" s="2" t="s">
        <v>2099</v>
      </c>
      <c r="D896" s="2" t="s">
        <v>24</v>
      </c>
      <c r="E896" s="2" t="s">
        <v>104</v>
      </c>
      <c r="F896" s="2" t="s">
        <v>123</v>
      </c>
      <c r="G896" s="2" t="s">
        <v>15</v>
      </c>
      <c r="H896" s="2">
        <v>17</v>
      </c>
      <c r="I896" s="7">
        <v>37.71</v>
      </c>
      <c r="J896" s="2">
        <v>20</v>
      </c>
      <c r="K896" s="7">
        <v>512.86</v>
      </c>
      <c r="L896" s="2" t="s">
        <v>31</v>
      </c>
      <c r="M896" s="2" t="s">
        <v>2364</v>
      </c>
    </row>
    <row r="897" spans="1:13" x14ac:dyDescent="0.3">
      <c r="A897" s="2" t="s">
        <v>1216</v>
      </c>
      <c r="B897" s="5">
        <v>45710</v>
      </c>
      <c r="C897" s="2" t="s">
        <v>1217</v>
      </c>
      <c r="D897" s="2" t="s">
        <v>16</v>
      </c>
      <c r="E897" s="2" t="s">
        <v>111</v>
      </c>
      <c r="F897" s="2" t="s">
        <v>123</v>
      </c>
      <c r="G897" s="2" t="s">
        <v>15</v>
      </c>
      <c r="H897" s="2">
        <v>30</v>
      </c>
      <c r="I897" s="7">
        <v>17.690000000000001</v>
      </c>
      <c r="J897" s="2">
        <v>0</v>
      </c>
      <c r="K897" s="7">
        <v>530.70000000000005</v>
      </c>
      <c r="L897" s="2" t="s">
        <v>2347</v>
      </c>
      <c r="M897" s="2" t="s">
        <v>2364</v>
      </c>
    </row>
    <row r="898" spans="1:13" x14ac:dyDescent="0.3">
      <c r="A898" s="2" t="s">
        <v>584</v>
      </c>
      <c r="B898" s="5">
        <v>45642</v>
      </c>
      <c r="C898" s="2" t="s">
        <v>585</v>
      </c>
      <c r="D898" s="2" t="s">
        <v>24</v>
      </c>
      <c r="E898" s="2" t="s">
        <v>25</v>
      </c>
      <c r="F898" s="2" t="s">
        <v>123</v>
      </c>
      <c r="G898" s="2" t="s">
        <v>15</v>
      </c>
      <c r="H898" s="2">
        <v>31</v>
      </c>
      <c r="I898" s="7">
        <v>19.77</v>
      </c>
      <c r="J898" s="2">
        <v>0</v>
      </c>
      <c r="K898" s="7">
        <v>612.87</v>
      </c>
      <c r="L898" s="2" t="s">
        <v>27</v>
      </c>
      <c r="M898" s="2" t="s">
        <v>2364</v>
      </c>
    </row>
    <row r="899" spans="1:13" x14ac:dyDescent="0.3">
      <c r="A899" s="2" t="s">
        <v>617</v>
      </c>
      <c r="B899" s="5">
        <v>45955</v>
      </c>
      <c r="C899" s="2" t="s">
        <v>618</v>
      </c>
      <c r="D899" s="2" t="s">
        <v>46</v>
      </c>
      <c r="E899" s="2" t="s">
        <v>78</v>
      </c>
      <c r="F899" s="2" t="s">
        <v>123</v>
      </c>
      <c r="G899" s="2" t="s">
        <v>15</v>
      </c>
      <c r="H899" s="2">
        <v>27</v>
      </c>
      <c r="I899" s="7">
        <v>23.16</v>
      </c>
      <c r="J899" s="2">
        <v>0</v>
      </c>
      <c r="K899" s="7">
        <v>625.32000000000005</v>
      </c>
      <c r="L899" s="2" t="s">
        <v>31</v>
      </c>
      <c r="M899" s="2" t="s">
        <v>2364</v>
      </c>
    </row>
    <row r="900" spans="1:13" x14ac:dyDescent="0.3">
      <c r="A900" s="2" t="s">
        <v>938</v>
      </c>
      <c r="B900" s="5">
        <v>45928</v>
      </c>
      <c r="C900" s="2" t="s">
        <v>939</v>
      </c>
      <c r="D900" s="2" t="s">
        <v>46</v>
      </c>
      <c r="E900" s="2" t="s">
        <v>83</v>
      </c>
      <c r="F900" s="2" t="s">
        <v>123</v>
      </c>
      <c r="G900" s="2" t="s">
        <v>15</v>
      </c>
      <c r="H900" s="2">
        <v>15</v>
      </c>
      <c r="I900" s="7">
        <v>42.02</v>
      </c>
      <c r="J900" s="2">
        <v>0</v>
      </c>
      <c r="K900" s="7">
        <v>630.29999999999995</v>
      </c>
      <c r="L900" s="2" t="s">
        <v>69</v>
      </c>
      <c r="M900" s="2" t="s">
        <v>2364</v>
      </c>
    </row>
    <row r="901" spans="1:13" x14ac:dyDescent="0.3">
      <c r="A901" s="2" t="s">
        <v>834</v>
      </c>
      <c r="B901" s="5">
        <v>45838</v>
      </c>
      <c r="C901" s="2" t="s">
        <v>835</v>
      </c>
      <c r="D901" s="2" t="s">
        <v>16</v>
      </c>
      <c r="E901" s="2" t="s">
        <v>17</v>
      </c>
      <c r="F901" s="2" t="s">
        <v>123</v>
      </c>
      <c r="G901" s="2" t="s">
        <v>15</v>
      </c>
      <c r="H901" s="2">
        <v>29</v>
      </c>
      <c r="I901" s="7">
        <v>25.35</v>
      </c>
      <c r="J901" s="2">
        <v>10</v>
      </c>
      <c r="K901" s="7">
        <v>661.64</v>
      </c>
      <c r="L901" s="2" t="s">
        <v>49</v>
      </c>
      <c r="M901" s="2" t="s">
        <v>2364</v>
      </c>
    </row>
    <row r="902" spans="1:13" x14ac:dyDescent="0.3">
      <c r="A902" s="2" t="s">
        <v>2026</v>
      </c>
      <c r="B902" s="5">
        <v>45952</v>
      </c>
      <c r="C902" s="2" t="s">
        <v>2027</v>
      </c>
      <c r="D902" s="2" t="s">
        <v>16</v>
      </c>
      <c r="E902" s="2" t="s">
        <v>74</v>
      </c>
      <c r="F902" s="2" t="s">
        <v>123</v>
      </c>
      <c r="G902" s="2" t="s">
        <v>15</v>
      </c>
      <c r="H902" s="2">
        <v>38</v>
      </c>
      <c r="I902" s="7">
        <v>21.77</v>
      </c>
      <c r="J902" s="2">
        <v>15</v>
      </c>
      <c r="K902" s="7">
        <v>703.17</v>
      </c>
      <c r="L902" s="2" t="s">
        <v>2347</v>
      </c>
      <c r="M902" s="2" t="s">
        <v>2364</v>
      </c>
    </row>
    <row r="903" spans="1:13" x14ac:dyDescent="0.3">
      <c r="A903" s="2" t="s">
        <v>2205</v>
      </c>
      <c r="B903" s="5">
        <v>45620</v>
      </c>
      <c r="C903" s="2" t="s">
        <v>1288</v>
      </c>
      <c r="D903" s="2" t="s">
        <v>46</v>
      </c>
      <c r="E903" s="2" t="s">
        <v>83</v>
      </c>
      <c r="F903" s="2" t="s">
        <v>123</v>
      </c>
      <c r="G903" s="2" t="s">
        <v>15</v>
      </c>
      <c r="H903" s="2">
        <v>27</v>
      </c>
      <c r="I903" s="7">
        <v>27.68</v>
      </c>
      <c r="J903" s="2">
        <v>5</v>
      </c>
      <c r="K903" s="7">
        <v>709.99</v>
      </c>
      <c r="L903" s="2" t="s">
        <v>27</v>
      </c>
      <c r="M903" s="2" t="s">
        <v>2364</v>
      </c>
    </row>
    <row r="904" spans="1:13" x14ac:dyDescent="0.3">
      <c r="A904" s="2" t="s">
        <v>2242</v>
      </c>
      <c r="B904" s="5">
        <v>46112</v>
      </c>
      <c r="C904" s="2" t="s">
        <v>2243</v>
      </c>
      <c r="D904" s="2" t="s">
        <v>16</v>
      </c>
      <c r="E904" s="2" t="s">
        <v>74</v>
      </c>
      <c r="F904" s="2" t="s">
        <v>123</v>
      </c>
      <c r="G904" s="2" t="s">
        <v>15</v>
      </c>
      <c r="H904" s="2">
        <v>40</v>
      </c>
      <c r="I904" s="7">
        <v>18.350000000000001</v>
      </c>
      <c r="J904" s="2">
        <v>0</v>
      </c>
      <c r="K904" s="7">
        <v>734</v>
      </c>
      <c r="L904" s="2" t="s">
        <v>31</v>
      </c>
      <c r="M904" s="2" t="s">
        <v>2364</v>
      </c>
    </row>
    <row r="905" spans="1:13" x14ac:dyDescent="0.3">
      <c r="A905" s="2" t="s">
        <v>2324</v>
      </c>
      <c r="B905" s="5">
        <v>45957</v>
      </c>
      <c r="C905" s="2" t="s">
        <v>865</v>
      </c>
      <c r="D905" s="2" t="s">
        <v>46</v>
      </c>
      <c r="E905" s="2" t="s">
        <v>124</v>
      </c>
      <c r="F905" s="2" t="s">
        <v>123</v>
      </c>
      <c r="G905" s="2" t="s">
        <v>15</v>
      </c>
      <c r="H905" s="2">
        <v>29</v>
      </c>
      <c r="I905" s="7">
        <v>27.82</v>
      </c>
      <c r="J905" s="2">
        <v>5</v>
      </c>
      <c r="K905" s="7">
        <v>766.44</v>
      </c>
      <c r="L905" s="2" t="s">
        <v>69</v>
      </c>
      <c r="M905" s="2" t="s">
        <v>2365</v>
      </c>
    </row>
    <row r="906" spans="1:13" x14ac:dyDescent="0.3">
      <c r="A906" s="2" t="s">
        <v>1666</v>
      </c>
      <c r="B906" s="5">
        <v>46091</v>
      </c>
      <c r="C906" s="2" t="s">
        <v>1667</v>
      </c>
      <c r="D906" s="2" t="s">
        <v>24</v>
      </c>
      <c r="E906" s="2" t="s">
        <v>36</v>
      </c>
      <c r="F906" s="2" t="s">
        <v>123</v>
      </c>
      <c r="G906" s="2" t="s">
        <v>15</v>
      </c>
      <c r="H906" s="2">
        <v>50</v>
      </c>
      <c r="I906" s="7">
        <v>15.48</v>
      </c>
      <c r="J906" s="2">
        <v>0</v>
      </c>
      <c r="K906" s="7">
        <v>774</v>
      </c>
      <c r="L906" s="2" t="s">
        <v>69</v>
      </c>
      <c r="M906" s="2" t="s">
        <v>2365</v>
      </c>
    </row>
    <row r="907" spans="1:13" x14ac:dyDescent="0.3">
      <c r="A907" s="2" t="s">
        <v>2273</v>
      </c>
      <c r="B907" s="5">
        <v>46120</v>
      </c>
      <c r="C907" s="2" t="s">
        <v>368</v>
      </c>
      <c r="D907" s="2" t="s">
        <v>16</v>
      </c>
      <c r="E907" s="2" t="s">
        <v>111</v>
      </c>
      <c r="F907" s="2" t="s">
        <v>123</v>
      </c>
      <c r="G907" s="2" t="s">
        <v>15</v>
      </c>
      <c r="H907" s="2">
        <v>17</v>
      </c>
      <c r="I907" s="7">
        <v>49.43</v>
      </c>
      <c r="J907" s="2">
        <v>0</v>
      </c>
      <c r="K907" s="7">
        <v>840.31</v>
      </c>
      <c r="L907" s="2" t="s">
        <v>27</v>
      </c>
      <c r="M907" s="2" t="s">
        <v>2364</v>
      </c>
    </row>
    <row r="908" spans="1:13" x14ac:dyDescent="0.3">
      <c r="A908" s="2" t="s">
        <v>1356</v>
      </c>
      <c r="B908" s="5">
        <v>45656</v>
      </c>
      <c r="C908" s="2" t="s">
        <v>1357</v>
      </c>
      <c r="D908" s="2" t="s">
        <v>46</v>
      </c>
      <c r="E908" s="2" t="s">
        <v>83</v>
      </c>
      <c r="F908" s="2" t="s">
        <v>123</v>
      </c>
      <c r="G908" s="2" t="s">
        <v>15</v>
      </c>
      <c r="H908" s="2">
        <v>36</v>
      </c>
      <c r="I908" s="7">
        <v>26.24</v>
      </c>
      <c r="J908" s="2">
        <v>10</v>
      </c>
      <c r="K908" s="7">
        <v>850.18</v>
      </c>
      <c r="L908" s="2" t="s">
        <v>2347</v>
      </c>
      <c r="M908" s="2" t="s">
        <v>2365</v>
      </c>
    </row>
    <row r="909" spans="1:13" x14ac:dyDescent="0.3">
      <c r="A909" s="2" t="s">
        <v>437</v>
      </c>
      <c r="B909" s="5">
        <v>45708</v>
      </c>
      <c r="C909" s="2" t="s">
        <v>438</v>
      </c>
      <c r="D909" s="2" t="s">
        <v>46</v>
      </c>
      <c r="E909" s="2" t="s">
        <v>124</v>
      </c>
      <c r="F909" s="2" t="s">
        <v>123</v>
      </c>
      <c r="G909" s="2" t="s">
        <v>15</v>
      </c>
      <c r="H909" s="2">
        <v>45</v>
      </c>
      <c r="I909" s="7">
        <v>24.38</v>
      </c>
      <c r="J909" s="2">
        <v>20</v>
      </c>
      <c r="K909" s="7">
        <v>877.68</v>
      </c>
      <c r="L909" s="2" t="s">
        <v>27</v>
      </c>
      <c r="M909" s="2" t="s">
        <v>2364</v>
      </c>
    </row>
    <row r="910" spans="1:13" x14ac:dyDescent="0.3">
      <c r="A910" s="2" t="s">
        <v>1282</v>
      </c>
      <c r="B910" s="5">
        <v>45970</v>
      </c>
      <c r="C910" s="2" t="s">
        <v>941</v>
      </c>
      <c r="D910" s="2" t="s">
        <v>46</v>
      </c>
      <c r="E910" s="2" t="s">
        <v>47</v>
      </c>
      <c r="F910" s="2" t="s">
        <v>123</v>
      </c>
      <c r="G910" s="2" t="s">
        <v>15</v>
      </c>
      <c r="H910" s="2">
        <v>40</v>
      </c>
      <c r="I910" s="7">
        <v>22.75</v>
      </c>
      <c r="J910" s="2">
        <v>0</v>
      </c>
      <c r="K910" s="7">
        <v>910</v>
      </c>
      <c r="L910" s="2" t="s">
        <v>31</v>
      </c>
      <c r="M910" s="2" t="s">
        <v>2364</v>
      </c>
    </row>
    <row r="911" spans="1:13" x14ac:dyDescent="0.3">
      <c r="A911" s="2" t="s">
        <v>1627</v>
      </c>
      <c r="B911" s="5">
        <v>46081</v>
      </c>
      <c r="C911" s="2" t="s">
        <v>1628</v>
      </c>
      <c r="D911" s="2" t="s">
        <v>24</v>
      </c>
      <c r="E911" s="2" t="s">
        <v>59</v>
      </c>
      <c r="F911" s="2" t="s">
        <v>123</v>
      </c>
      <c r="G911" s="2" t="s">
        <v>15</v>
      </c>
      <c r="H911" s="2">
        <v>19</v>
      </c>
      <c r="I911" s="7">
        <v>49.36</v>
      </c>
      <c r="J911" s="2">
        <v>0</v>
      </c>
      <c r="K911" s="7">
        <v>937.84</v>
      </c>
      <c r="L911" s="2" t="s">
        <v>2347</v>
      </c>
      <c r="M911" s="2" t="s">
        <v>2364</v>
      </c>
    </row>
    <row r="912" spans="1:13" x14ac:dyDescent="0.3">
      <c r="A912" s="2" t="s">
        <v>951</v>
      </c>
      <c r="B912" s="5">
        <v>46009</v>
      </c>
      <c r="C912" s="2" t="s">
        <v>952</v>
      </c>
      <c r="D912" s="2" t="s">
        <v>24</v>
      </c>
      <c r="E912" s="2" t="s">
        <v>25</v>
      </c>
      <c r="F912" s="2" t="s">
        <v>123</v>
      </c>
      <c r="G912" s="2" t="s">
        <v>15</v>
      </c>
      <c r="H912" s="2">
        <v>39</v>
      </c>
      <c r="I912" s="7">
        <v>30.3</v>
      </c>
      <c r="J912" s="2">
        <v>15</v>
      </c>
      <c r="K912" s="7">
        <v>1004.45</v>
      </c>
      <c r="L912" s="2" t="s">
        <v>49</v>
      </c>
      <c r="M912" s="2" t="s">
        <v>2364</v>
      </c>
    </row>
    <row r="913" spans="1:13" x14ac:dyDescent="0.3">
      <c r="A913" s="2" t="s">
        <v>756</v>
      </c>
      <c r="B913" s="5">
        <v>46016</v>
      </c>
      <c r="C913" s="2" t="s">
        <v>757</v>
      </c>
      <c r="D913" s="2" t="s">
        <v>24</v>
      </c>
      <c r="E913" s="2" t="s">
        <v>104</v>
      </c>
      <c r="F913" s="2" t="s">
        <v>123</v>
      </c>
      <c r="G913" s="2" t="s">
        <v>15</v>
      </c>
      <c r="H913" s="2">
        <v>35</v>
      </c>
      <c r="I913" s="7">
        <v>28.89</v>
      </c>
      <c r="J913" s="2">
        <v>0</v>
      </c>
      <c r="K913" s="7">
        <v>1011.15</v>
      </c>
      <c r="L913" s="2" t="s">
        <v>49</v>
      </c>
      <c r="M913" s="2" t="s">
        <v>2365</v>
      </c>
    </row>
    <row r="914" spans="1:13" x14ac:dyDescent="0.3">
      <c r="A914" s="2" t="s">
        <v>965</v>
      </c>
      <c r="B914" s="5">
        <v>46061</v>
      </c>
      <c r="C914" s="2" t="s">
        <v>966</v>
      </c>
      <c r="D914" s="2" t="s">
        <v>53</v>
      </c>
      <c r="E914" s="2" t="s">
        <v>170</v>
      </c>
      <c r="F914" s="2" t="s">
        <v>123</v>
      </c>
      <c r="G914" s="2" t="s">
        <v>15</v>
      </c>
      <c r="H914" s="2">
        <v>31</v>
      </c>
      <c r="I914" s="7">
        <v>32.93</v>
      </c>
      <c r="J914" s="2">
        <v>0</v>
      </c>
      <c r="K914" s="7">
        <v>1020.83</v>
      </c>
      <c r="L914" s="2" t="s">
        <v>49</v>
      </c>
      <c r="M914" s="2" t="s">
        <v>2365</v>
      </c>
    </row>
    <row r="915" spans="1:13" x14ac:dyDescent="0.3">
      <c r="A915" s="2" t="s">
        <v>1083</v>
      </c>
      <c r="B915" s="5">
        <v>46176</v>
      </c>
      <c r="C915" s="2" t="s">
        <v>1084</v>
      </c>
      <c r="D915" s="2" t="s">
        <v>16</v>
      </c>
      <c r="E915" s="2" t="s">
        <v>74</v>
      </c>
      <c r="F915" s="2" t="s">
        <v>123</v>
      </c>
      <c r="G915" s="2" t="s">
        <v>15</v>
      </c>
      <c r="H915" s="2">
        <v>25</v>
      </c>
      <c r="I915" s="7">
        <v>40.89</v>
      </c>
      <c r="J915" s="2">
        <v>0</v>
      </c>
      <c r="K915" s="7">
        <v>1022.25</v>
      </c>
      <c r="L915" s="2" t="s">
        <v>27</v>
      </c>
      <c r="M915" s="2" t="s">
        <v>2365</v>
      </c>
    </row>
    <row r="916" spans="1:13" x14ac:dyDescent="0.3">
      <c r="A916" s="2" t="s">
        <v>762</v>
      </c>
      <c r="B916" s="5">
        <v>46160</v>
      </c>
      <c r="C916" s="2" t="s">
        <v>763</v>
      </c>
      <c r="D916" s="2" t="s">
        <v>24</v>
      </c>
      <c r="E916" s="2" t="s">
        <v>104</v>
      </c>
      <c r="F916" s="2" t="s">
        <v>123</v>
      </c>
      <c r="G916" s="2" t="s">
        <v>15</v>
      </c>
      <c r="H916" s="2">
        <v>50</v>
      </c>
      <c r="I916" s="7">
        <v>20.6</v>
      </c>
      <c r="J916" s="2">
        <v>0</v>
      </c>
      <c r="K916" s="7">
        <v>1030</v>
      </c>
      <c r="L916" s="2" t="s">
        <v>69</v>
      </c>
      <c r="M916" s="2" t="s">
        <v>2364</v>
      </c>
    </row>
    <row r="917" spans="1:13" x14ac:dyDescent="0.3">
      <c r="A917" s="2" t="s">
        <v>298</v>
      </c>
      <c r="B917" s="5">
        <v>45800</v>
      </c>
      <c r="C917" s="2" t="s">
        <v>299</v>
      </c>
      <c r="D917" s="2" t="s">
        <v>16</v>
      </c>
      <c r="E917" s="2" t="s">
        <v>17</v>
      </c>
      <c r="F917" s="2" t="s">
        <v>123</v>
      </c>
      <c r="G917" s="2" t="s">
        <v>15</v>
      </c>
      <c r="H917" s="2">
        <v>33</v>
      </c>
      <c r="I917" s="7">
        <v>33.409999999999997</v>
      </c>
      <c r="J917" s="2">
        <v>5</v>
      </c>
      <c r="K917" s="7">
        <v>1047.4000000000001</v>
      </c>
      <c r="L917" s="2" t="s">
        <v>27</v>
      </c>
      <c r="M917" s="2" t="s">
        <v>2365</v>
      </c>
    </row>
    <row r="918" spans="1:13" x14ac:dyDescent="0.3">
      <c r="A918" s="2" t="s">
        <v>208</v>
      </c>
      <c r="B918" s="5">
        <v>45668</v>
      </c>
      <c r="C918" s="2" t="s">
        <v>209</v>
      </c>
      <c r="D918" s="2" t="s">
        <v>16</v>
      </c>
      <c r="E918" s="2" t="s">
        <v>74</v>
      </c>
      <c r="F918" s="2" t="s">
        <v>123</v>
      </c>
      <c r="G918" s="2" t="s">
        <v>15</v>
      </c>
      <c r="H918" s="2">
        <v>26</v>
      </c>
      <c r="I918" s="7">
        <v>41.19</v>
      </c>
      <c r="J918" s="2">
        <v>0</v>
      </c>
      <c r="K918" s="7">
        <v>1070.94</v>
      </c>
      <c r="L918" s="2" t="s">
        <v>2347</v>
      </c>
      <c r="M918" s="2" t="s">
        <v>2364</v>
      </c>
    </row>
    <row r="919" spans="1:13" x14ac:dyDescent="0.3">
      <c r="A919" s="2" t="s">
        <v>940</v>
      </c>
      <c r="B919" s="5">
        <v>45735</v>
      </c>
      <c r="C919" s="2" t="s">
        <v>941</v>
      </c>
      <c r="D919" s="2" t="s">
        <v>16</v>
      </c>
      <c r="E919" s="2" t="s">
        <v>74</v>
      </c>
      <c r="F919" s="2" t="s">
        <v>123</v>
      </c>
      <c r="G919" s="2" t="s">
        <v>15</v>
      </c>
      <c r="H919" s="2">
        <v>47</v>
      </c>
      <c r="I919" s="7">
        <v>24.28</v>
      </c>
      <c r="J919" s="2">
        <v>5</v>
      </c>
      <c r="K919" s="7">
        <v>1084.0999999999999</v>
      </c>
      <c r="L919" s="2" t="s">
        <v>31</v>
      </c>
      <c r="M919" s="2" t="s">
        <v>2364</v>
      </c>
    </row>
    <row r="920" spans="1:13" x14ac:dyDescent="0.3">
      <c r="A920" s="2" t="s">
        <v>2215</v>
      </c>
      <c r="B920" s="5">
        <v>45797</v>
      </c>
      <c r="C920" s="2" t="s">
        <v>2216</v>
      </c>
      <c r="D920" s="2" t="s">
        <v>16</v>
      </c>
      <c r="E920" s="2" t="s">
        <v>91</v>
      </c>
      <c r="F920" s="2" t="s">
        <v>123</v>
      </c>
      <c r="G920" s="2" t="s">
        <v>15</v>
      </c>
      <c r="H920" s="2">
        <v>48</v>
      </c>
      <c r="I920" s="7">
        <v>29.37</v>
      </c>
      <c r="J920" s="2">
        <v>20</v>
      </c>
      <c r="K920" s="7">
        <v>1127.81</v>
      </c>
      <c r="L920" s="2" t="s">
        <v>49</v>
      </c>
      <c r="M920" s="2" t="s">
        <v>2364</v>
      </c>
    </row>
    <row r="921" spans="1:13" x14ac:dyDescent="0.3">
      <c r="A921" s="2" t="s">
        <v>1698</v>
      </c>
      <c r="B921" s="5">
        <v>45874</v>
      </c>
      <c r="C921" s="2" t="s">
        <v>1699</v>
      </c>
      <c r="D921" s="2" t="s">
        <v>53</v>
      </c>
      <c r="E921" s="2" t="s">
        <v>134</v>
      </c>
      <c r="F921" s="2" t="s">
        <v>123</v>
      </c>
      <c r="G921" s="2" t="s">
        <v>15</v>
      </c>
      <c r="H921" s="2">
        <v>28</v>
      </c>
      <c r="I921" s="7">
        <v>42.43</v>
      </c>
      <c r="J921" s="2">
        <v>0</v>
      </c>
      <c r="K921" s="7">
        <v>1188.04</v>
      </c>
      <c r="L921" s="2" t="s">
        <v>69</v>
      </c>
      <c r="M921" s="2" t="s">
        <v>2364</v>
      </c>
    </row>
    <row r="922" spans="1:13" x14ac:dyDescent="0.3">
      <c r="A922" s="2" t="s">
        <v>1274</v>
      </c>
      <c r="B922" s="5">
        <v>46284</v>
      </c>
      <c r="C922" s="2" t="s">
        <v>1275</v>
      </c>
      <c r="D922" s="2" t="s">
        <v>46</v>
      </c>
      <c r="E922" s="2" t="s">
        <v>244</v>
      </c>
      <c r="F922" s="2" t="s">
        <v>123</v>
      </c>
      <c r="G922" s="2" t="s">
        <v>15</v>
      </c>
      <c r="H922" s="2">
        <v>41</v>
      </c>
      <c r="I922" s="7">
        <v>36.479999999999997</v>
      </c>
      <c r="J922" s="2">
        <v>20</v>
      </c>
      <c r="K922" s="7">
        <v>1196.54</v>
      </c>
      <c r="L922" s="2" t="s">
        <v>69</v>
      </c>
      <c r="M922" s="2" t="s">
        <v>2364</v>
      </c>
    </row>
    <row r="923" spans="1:13" x14ac:dyDescent="0.3">
      <c r="A923" s="2" t="s">
        <v>1993</v>
      </c>
      <c r="B923" s="5">
        <v>46090</v>
      </c>
      <c r="C923" s="2" t="s">
        <v>1994</v>
      </c>
      <c r="D923" s="2" t="s">
        <v>24</v>
      </c>
      <c r="E923" s="2" t="s">
        <v>36</v>
      </c>
      <c r="F923" s="2" t="s">
        <v>123</v>
      </c>
      <c r="G923" s="2" t="s">
        <v>15</v>
      </c>
      <c r="H923" s="2">
        <v>33</v>
      </c>
      <c r="I923" s="7">
        <v>38.200000000000003</v>
      </c>
      <c r="J923" s="2">
        <v>5</v>
      </c>
      <c r="K923" s="7">
        <v>1197.57</v>
      </c>
      <c r="L923" s="2" t="s">
        <v>27</v>
      </c>
      <c r="M923" s="2" t="s">
        <v>2364</v>
      </c>
    </row>
    <row r="924" spans="1:13" x14ac:dyDescent="0.3">
      <c r="A924" s="2" t="s">
        <v>358</v>
      </c>
      <c r="B924" s="5">
        <v>45825</v>
      </c>
      <c r="C924" s="2" t="s">
        <v>359</v>
      </c>
      <c r="D924" s="2" t="s">
        <v>24</v>
      </c>
      <c r="E924" s="2" t="s">
        <v>41</v>
      </c>
      <c r="F924" s="2" t="s">
        <v>123</v>
      </c>
      <c r="G924" s="2" t="s">
        <v>15</v>
      </c>
      <c r="H924" s="2">
        <v>34</v>
      </c>
      <c r="I924" s="7">
        <v>44.07</v>
      </c>
      <c r="J924" s="2">
        <v>10</v>
      </c>
      <c r="K924" s="7">
        <v>1348.54</v>
      </c>
      <c r="L924" s="2" t="s">
        <v>31</v>
      </c>
      <c r="M924" s="2" t="s">
        <v>2364</v>
      </c>
    </row>
    <row r="925" spans="1:13" x14ac:dyDescent="0.3">
      <c r="A925" s="2" t="s">
        <v>1175</v>
      </c>
      <c r="B925" s="5">
        <v>45950</v>
      </c>
      <c r="C925" s="2" t="s">
        <v>882</v>
      </c>
      <c r="D925" s="2" t="s">
        <v>16</v>
      </c>
      <c r="E925" s="2" t="s">
        <v>74</v>
      </c>
      <c r="F925" s="2" t="s">
        <v>123</v>
      </c>
      <c r="G925" s="2" t="s">
        <v>15</v>
      </c>
      <c r="H925" s="2">
        <v>43</v>
      </c>
      <c r="I925" s="7">
        <v>34.79</v>
      </c>
      <c r="J925" s="2">
        <v>5</v>
      </c>
      <c r="K925" s="7">
        <v>1421.17</v>
      </c>
      <c r="L925" s="2" t="s">
        <v>69</v>
      </c>
      <c r="M925" s="2" t="s">
        <v>2364</v>
      </c>
    </row>
    <row r="926" spans="1:13" x14ac:dyDescent="0.3">
      <c r="A926" s="2" t="s">
        <v>431</v>
      </c>
      <c r="B926" s="5">
        <v>46251</v>
      </c>
      <c r="C926" s="2" t="s">
        <v>432</v>
      </c>
      <c r="D926" s="2" t="s">
        <v>24</v>
      </c>
      <c r="E926" s="2" t="s">
        <v>25</v>
      </c>
      <c r="F926" s="2" t="s">
        <v>123</v>
      </c>
      <c r="G926" s="2" t="s">
        <v>15</v>
      </c>
      <c r="H926" s="2">
        <v>39</v>
      </c>
      <c r="I926" s="7">
        <v>39.200000000000003</v>
      </c>
      <c r="J926" s="2">
        <v>5</v>
      </c>
      <c r="K926" s="7">
        <v>1452.36</v>
      </c>
      <c r="L926" s="2" t="s">
        <v>2347</v>
      </c>
      <c r="M926" s="2" t="s">
        <v>2364</v>
      </c>
    </row>
    <row r="927" spans="1:13" x14ac:dyDescent="0.3">
      <c r="A927" s="2" t="s">
        <v>269</v>
      </c>
      <c r="B927" s="5">
        <v>46225</v>
      </c>
      <c r="C927" s="2" t="s">
        <v>270</v>
      </c>
      <c r="D927" s="2" t="s">
        <v>46</v>
      </c>
      <c r="E927" s="2" t="s">
        <v>83</v>
      </c>
      <c r="F927" s="2" t="s">
        <v>123</v>
      </c>
      <c r="G927" s="2" t="s">
        <v>15</v>
      </c>
      <c r="H927" s="2">
        <v>32</v>
      </c>
      <c r="I927" s="7">
        <v>45.39</v>
      </c>
      <c r="J927" s="2">
        <v>0</v>
      </c>
      <c r="K927" s="7">
        <v>1452.48</v>
      </c>
      <c r="L927" s="2" t="s">
        <v>2347</v>
      </c>
      <c r="M927" s="2" t="s">
        <v>2365</v>
      </c>
    </row>
    <row r="928" spans="1:13" x14ac:dyDescent="0.3">
      <c r="A928" s="2" t="s">
        <v>2110</v>
      </c>
      <c r="B928" s="5">
        <v>46164</v>
      </c>
      <c r="C928" s="2" t="s">
        <v>2111</v>
      </c>
      <c r="D928" s="2" t="s">
        <v>53</v>
      </c>
      <c r="E928" s="2" t="s">
        <v>141</v>
      </c>
      <c r="F928" s="2" t="s">
        <v>123</v>
      </c>
      <c r="G928" s="2" t="s">
        <v>15</v>
      </c>
      <c r="H928" s="2">
        <v>34</v>
      </c>
      <c r="I928" s="7">
        <v>48.24</v>
      </c>
      <c r="J928" s="2">
        <v>0</v>
      </c>
      <c r="K928" s="7">
        <v>1640.16</v>
      </c>
      <c r="L928" s="2" t="s">
        <v>31</v>
      </c>
      <c r="M928" s="2" t="s">
        <v>2364</v>
      </c>
    </row>
    <row r="929" spans="1:13" x14ac:dyDescent="0.3">
      <c r="A929" s="2" t="s">
        <v>1687</v>
      </c>
      <c r="B929" s="5">
        <v>45866</v>
      </c>
      <c r="C929" s="2" t="s">
        <v>1688</v>
      </c>
      <c r="D929" s="2" t="s">
        <v>16</v>
      </c>
      <c r="E929" s="2" t="s">
        <v>17</v>
      </c>
      <c r="F929" s="2" t="s">
        <v>123</v>
      </c>
      <c r="G929" s="2" t="s">
        <v>15</v>
      </c>
      <c r="H929" s="2">
        <v>47</v>
      </c>
      <c r="I929" s="7">
        <v>35.04</v>
      </c>
      <c r="J929" s="2">
        <v>0</v>
      </c>
      <c r="K929" s="7">
        <v>1646.88</v>
      </c>
      <c r="L929" s="2" t="s">
        <v>27</v>
      </c>
      <c r="M929" s="2" t="s">
        <v>2364</v>
      </c>
    </row>
    <row r="930" spans="1:13" x14ac:dyDescent="0.3">
      <c r="A930" s="2" t="s">
        <v>1128</v>
      </c>
      <c r="B930" s="5">
        <v>45748</v>
      </c>
      <c r="C930" s="2" t="s">
        <v>1129</v>
      </c>
      <c r="D930" s="2" t="s">
        <v>24</v>
      </c>
      <c r="E930" s="2" t="s">
        <v>25</v>
      </c>
      <c r="F930" s="2" t="s">
        <v>123</v>
      </c>
      <c r="G930" s="2" t="s">
        <v>15</v>
      </c>
      <c r="H930" s="2">
        <v>44</v>
      </c>
      <c r="I930" s="7">
        <v>46.78</v>
      </c>
      <c r="J930" s="2">
        <v>10</v>
      </c>
      <c r="K930" s="7">
        <v>1852.49</v>
      </c>
      <c r="L930" s="2" t="s">
        <v>69</v>
      </c>
      <c r="M930" s="2" t="s">
        <v>2364</v>
      </c>
    </row>
    <row r="931" spans="1:13" x14ac:dyDescent="0.3">
      <c r="A931" s="2" t="s">
        <v>1779</v>
      </c>
      <c r="B931" s="5">
        <v>46040</v>
      </c>
      <c r="C931" s="2" t="s">
        <v>932</v>
      </c>
      <c r="D931" s="2" t="s">
        <v>16</v>
      </c>
      <c r="E931" s="2" t="s">
        <v>111</v>
      </c>
      <c r="F931" s="2" t="s">
        <v>14</v>
      </c>
      <c r="G931" s="2" t="s">
        <v>15</v>
      </c>
      <c r="H931" s="2">
        <v>1</v>
      </c>
      <c r="I931" s="7">
        <v>62.8</v>
      </c>
      <c r="J931" s="2">
        <v>5</v>
      </c>
      <c r="K931" s="7">
        <v>59.66</v>
      </c>
      <c r="L931" s="2" t="s">
        <v>27</v>
      </c>
      <c r="M931" s="2" t="s">
        <v>2364</v>
      </c>
    </row>
    <row r="932" spans="1:13" x14ac:dyDescent="0.3">
      <c r="A932" s="2" t="s">
        <v>2285</v>
      </c>
      <c r="B932" s="5">
        <v>45995</v>
      </c>
      <c r="C932" s="2" t="s">
        <v>2127</v>
      </c>
      <c r="D932" s="2" t="s">
        <v>53</v>
      </c>
      <c r="E932" s="2" t="s">
        <v>170</v>
      </c>
      <c r="F932" s="2" t="s">
        <v>14</v>
      </c>
      <c r="G932" s="2" t="s">
        <v>15</v>
      </c>
      <c r="H932" s="2">
        <v>3</v>
      </c>
      <c r="I932" s="7">
        <v>54.83</v>
      </c>
      <c r="J932" s="2">
        <v>20</v>
      </c>
      <c r="K932" s="7">
        <v>131.59</v>
      </c>
      <c r="L932" s="2" t="s">
        <v>49</v>
      </c>
      <c r="M932" s="2" t="s">
        <v>2364</v>
      </c>
    </row>
    <row r="933" spans="1:13" x14ac:dyDescent="0.3">
      <c r="A933" s="2" t="s">
        <v>803</v>
      </c>
      <c r="B933" s="5">
        <v>46255</v>
      </c>
      <c r="C933" s="2" t="s">
        <v>804</v>
      </c>
      <c r="D933" s="2" t="s">
        <v>53</v>
      </c>
      <c r="E933" s="2" t="s">
        <v>141</v>
      </c>
      <c r="F933" s="2" t="s">
        <v>14</v>
      </c>
      <c r="G933" s="2" t="s">
        <v>15</v>
      </c>
      <c r="H933" s="2">
        <v>3</v>
      </c>
      <c r="I933" s="7">
        <v>53.83</v>
      </c>
      <c r="J933" s="2">
        <v>5</v>
      </c>
      <c r="K933" s="7">
        <v>153.41999999999999</v>
      </c>
      <c r="L933" s="2" t="s">
        <v>49</v>
      </c>
      <c r="M933" s="2" t="s">
        <v>2365</v>
      </c>
    </row>
    <row r="934" spans="1:13" x14ac:dyDescent="0.3">
      <c r="A934" s="2" t="s">
        <v>2115</v>
      </c>
      <c r="B934" s="5">
        <v>46024</v>
      </c>
      <c r="C934" s="2" t="s">
        <v>2116</v>
      </c>
      <c r="D934" s="2" t="s">
        <v>24</v>
      </c>
      <c r="E934" s="2" t="s">
        <v>25</v>
      </c>
      <c r="F934" s="2" t="s">
        <v>14</v>
      </c>
      <c r="G934" s="2" t="s">
        <v>15</v>
      </c>
      <c r="H934" s="2">
        <v>5</v>
      </c>
      <c r="I934" s="7">
        <v>50.89</v>
      </c>
      <c r="J934" s="2">
        <v>5</v>
      </c>
      <c r="K934" s="7">
        <v>241.73</v>
      </c>
      <c r="L934" s="2" t="s">
        <v>69</v>
      </c>
      <c r="M934" s="2" t="s">
        <v>2365</v>
      </c>
    </row>
    <row r="935" spans="1:13" x14ac:dyDescent="0.3">
      <c r="A935" s="2" t="s">
        <v>2339</v>
      </c>
      <c r="B935" s="5">
        <v>46199</v>
      </c>
      <c r="C935" s="2" t="s">
        <v>2032</v>
      </c>
      <c r="D935" s="2" t="s">
        <v>24</v>
      </c>
      <c r="E935" s="2" t="s">
        <v>41</v>
      </c>
      <c r="F935" s="2" t="s">
        <v>14</v>
      </c>
      <c r="G935" s="2" t="s">
        <v>15</v>
      </c>
      <c r="H935" s="2">
        <v>10</v>
      </c>
      <c r="I935" s="7">
        <v>42.74</v>
      </c>
      <c r="J935" s="2">
        <v>20</v>
      </c>
      <c r="K935" s="7">
        <v>341.92</v>
      </c>
      <c r="L935" s="2" t="s">
        <v>2347</v>
      </c>
      <c r="M935" s="2" t="s">
        <v>2364</v>
      </c>
    </row>
    <row r="936" spans="1:13" x14ac:dyDescent="0.3">
      <c r="A936" s="2" t="s">
        <v>1387</v>
      </c>
      <c r="B936" s="5">
        <v>46184</v>
      </c>
      <c r="C936" s="2" t="s">
        <v>1388</v>
      </c>
      <c r="D936" s="2" t="s">
        <v>24</v>
      </c>
      <c r="E936" s="2" t="s">
        <v>41</v>
      </c>
      <c r="F936" s="2" t="s">
        <v>14</v>
      </c>
      <c r="G936" s="2" t="s">
        <v>15</v>
      </c>
      <c r="H936" s="2">
        <v>5</v>
      </c>
      <c r="I936" s="7">
        <v>72.37</v>
      </c>
      <c r="J936" s="2">
        <v>5</v>
      </c>
      <c r="K936" s="7">
        <v>343.76</v>
      </c>
      <c r="L936" s="2" t="s">
        <v>31</v>
      </c>
      <c r="M936" s="2" t="s">
        <v>2364</v>
      </c>
    </row>
    <row r="937" spans="1:13" x14ac:dyDescent="0.3">
      <c r="A937" s="2" t="s">
        <v>2238</v>
      </c>
      <c r="B937" s="5">
        <v>45913</v>
      </c>
      <c r="C937" s="2" t="s">
        <v>1452</v>
      </c>
      <c r="D937" s="2" t="s">
        <v>53</v>
      </c>
      <c r="E937" s="2" t="s">
        <v>54</v>
      </c>
      <c r="F937" s="2" t="s">
        <v>14</v>
      </c>
      <c r="G937" s="2" t="s">
        <v>15</v>
      </c>
      <c r="H937" s="2">
        <v>7</v>
      </c>
      <c r="I937" s="7">
        <v>50.64</v>
      </c>
      <c r="J937" s="2">
        <v>0</v>
      </c>
      <c r="K937" s="7">
        <v>354.48</v>
      </c>
      <c r="L937" s="2" t="s">
        <v>49</v>
      </c>
      <c r="M937" s="2" t="s">
        <v>2365</v>
      </c>
    </row>
    <row r="938" spans="1:13" x14ac:dyDescent="0.3">
      <c r="A938" s="2" t="s">
        <v>1943</v>
      </c>
      <c r="B938" s="5">
        <v>46020</v>
      </c>
      <c r="C938" s="2" t="s">
        <v>1944</v>
      </c>
      <c r="D938" s="2" t="s">
        <v>46</v>
      </c>
      <c r="E938" s="2" t="s">
        <v>244</v>
      </c>
      <c r="F938" s="2" t="s">
        <v>14</v>
      </c>
      <c r="G938" s="2" t="s">
        <v>15</v>
      </c>
      <c r="H938" s="2">
        <v>10</v>
      </c>
      <c r="I938" s="7">
        <v>44.06</v>
      </c>
      <c r="J938" s="2">
        <v>15</v>
      </c>
      <c r="K938" s="7">
        <v>374.51</v>
      </c>
      <c r="L938" s="2" t="s">
        <v>31</v>
      </c>
      <c r="M938" s="2" t="s">
        <v>2364</v>
      </c>
    </row>
    <row r="939" spans="1:13" x14ac:dyDescent="0.3">
      <c r="A939" s="2" t="s">
        <v>2163</v>
      </c>
      <c r="B939" s="5">
        <v>45616</v>
      </c>
      <c r="C939" s="2" t="s">
        <v>1208</v>
      </c>
      <c r="D939" s="2" t="s">
        <v>24</v>
      </c>
      <c r="E939" s="2" t="s">
        <v>36</v>
      </c>
      <c r="F939" s="2" t="s">
        <v>14</v>
      </c>
      <c r="G939" s="2" t="s">
        <v>15</v>
      </c>
      <c r="H939" s="2">
        <v>16</v>
      </c>
      <c r="I939" s="7">
        <v>44.92</v>
      </c>
      <c r="J939" s="2">
        <v>20</v>
      </c>
      <c r="K939" s="7">
        <v>574.98</v>
      </c>
      <c r="L939" s="2" t="s">
        <v>31</v>
      </c>
      <c r="M939" s="2" t="s">
        <v>2364</v>
      </c>
    </row>
    <row r="940" spans="1:13" x14ac:dyDescent="0.3">
      <c r="A940" s="2" t="s">
        <v>1038</v>
      </c>
      <c r="B940" s="5">
        <v>46014</v>
      </c>
      <c r="C940" s="2" t="s">
        <v>879</v>
      </c>
      <c r="D940" s="2" t="s">
        <v>46</v>
      </c>
      <c r="E940" s="2" t="s">
        <v>124</v>
      </c>
      <c r="F940" s="2" t="s">
        <v>14</v>
      </c>
      <c r="G940" s="2" t="s">
        <v>15</v>
      </c>
      <c r="H940" s="2">
        <v>7</v>
      </c>
      <c r="I940" s="7">
        <v>104.55</v>
      </c>
      <c r="J940" s="2">
        <v>5</v>
      </c>
      <c r="K940" s="7">
        <v>695.26</v>
      </c>
      <c r="L940" s="2" t="s">
        <v>49</v>
      </c>
      <c r="M940" s="2" t="s">
        <v>2364</v>
      </c>
    </row>
    <row r="941" spans="1:13" x14ac:dyDescent="0.3">
      <c r="A941" s="2" t="s">
        <v>2038</v>
      </c>
      <c r="B941" s="5">
        <v>45729</v>
      </c>
      <c r="C941" s="2" t="s">
        <v>2039</v>
      </c>
      <c r="D941" s="2" t="s">
        <v>46</v>
      </c>
      <c r="E941" s="2" t="s">
        <v>47</v>
      </c>
      <c r="F941" s="2" t="s">
        <v>14</v>
      </c>
      <c r="G941" s="2" t="s">
        <v>15</v>
      </c>
      <c r="H941" s="2">
        <v>14</v>
      </c>
      <c r="I941" s="7">
        <v>50.92</v>
      </c>
      <c r="J941" s="2">
        <v>0</v>
      </c>
      <c r="K941" s="7">
        <v>712.88</v>
      </c>
      <c r="L941" s="2" t="s">
        <v>27</v>
      </c>
      <c r="M941" s="2" t="s">
        <v>2364</v>
      </c>
    </row>
    <row r="942" spans="1:13" x14ac:dyDescent="0.3">
      <c r="A942" s="2" t="s">
        <v>1456</v>
      </c>
      <c r="B942" s="5">
        <v>45721</v>
      </c>
      <c r="C942" s="2" t="s">
        <v>1457</v>
      </c>
      <c r="D942" s="2" t="s">
        <v>53</v>
      </c>
      <c r="E942" s="2" t="s">
        <v>170</v>
      </c>
      <c r="F942" s="2" t="s">
        <v>14</v>
      </c>
      <c r="G942" s="2" t="s">
        <v>15</v>
      </c>
      <c r="H942" s="2">
        <v>10</v>
      </c>
      <c r="I942" s="7">
        <v>91.1</v>
      </c>
      <c r="J942" s="2">
        <v>20</v>
      </c>
      <c r="K942" s="7">
        <v>728.8</v>
      </c>
      <c r="L942" s="2" t="s">
        <v>2347</v>
      </c>
      <c r="M942" s="2" t="s">
        <v>2365</v>
      </c>
    </row>
    <row r="943" spans="1:13" x14ac:dyDescent="0.3">
      <c r="A943" s="2" t="s">
        <v>1017</v>
      </c>
      <c r="B943" s="5">
        <v>45801</v>
      </c>
      <c r="C943" s="2" t="s">
        <v>1018</v>
      </c>
      <c r="D943" s="2" t="s">
        <v>53</v>
      </c>
      <c r="E943" s="2" t="s">
        <v>170</v>
      </c>
      <c r="F943" s="2" t="s">
        <v>14</v>
      </c>
      <c r="G943" s="2" t="s">
        <v>15</v>
      </c>
      <c r="H943" s="2">
        <v>8</v>
      </c>
      <c r="I943" s="7">
        <v>100.35</v>
      </c>
      <c r="J943" s="2">
        <v>0</v>
      </c>
      <c r="K943" s="7">
        <v>802.8</v>
      </c>
      <c r="L943" s="2" t="s">
        <v>49</v>
      </c>
      <c r="M943" s="2" t="s">
        <v>2364</v>
      </c>
    </row>
    <row r="944" spans="1:13" x14ac:dyDescent="0.3">
      <c r="A944" s="2" t="s">
        <v>2037</v>
      </c>
      <c r="B944" s="5">
        <v>46124</v>
      </c>
      <c r="C944" s="2" t="s">
        <v>217</v>
      </c>
      <c r="D944" s="2" t="s">
        <v>53</v>
      </c>
      <c r="E944" s="2" t="s">
        <v>54</v>
      </c>
      <c r="F944" s="2" t="s">
        <v>14</v>
      </c>
      <c r="G944" s="2" t="s">
        <v>15</v>
      </c>
      <c r="H944" s="2">
        <v>21</v>
      </c>
      <c r="I944" s="7">
        <v>43.09</v>
      </c>
      <c r="J944" s="2">
        <v>10</v>
      </c>
      <c r="K944" s="7">
        <v>814.4</v>
      </c>
      <c r="L944" s="2" t="s">
        <v>27</v>
      </c>
      <c r="M944" s="2" t="s">
        <v>2364</v>
      </c>
    </row>
    <row r="945" spans="1:13" x14ac:dyDescent="0.3">
      <c r="A945" s="2" t="s">
        <v>1464</v>
      </c>
      <c r="B945" s="5">
        <v>45732</v>
      </c>
      <c r="C945" s="2" t="s">
        <v>77</v>
      </c>
      <c r="D945" s="2" t="s">
        <v>24</v>
      </c>
      <c r="E945" s="2" t="s">
        <v>25</v>
      </c>
      <c r="F945" s="2" t="s">
        <v>14</v>
      </c>
      <c r="G945" s="2" t="s">
        <v>15</v>
      </c>
      <c r="H945" s="2">
        <v>21</v>
      </c>
      <c r="I945" s="7">
        <v>46.51</v>
      </c>
      <c r="J945" s="2">
        <v>15</v>
      </c>
      <c r="K945" s="7">
        <v>830.2</v>
      </c>
      <c r="L945" s="2" t="s">
        <v>31</v>
      </c>
      <c r="M945" s="2" t="s">
        <v>2364</v>
      </c>
    </row>
    <row r="946" spans="1:13" x14ac:dyDescent="0.3">
      <c r="A946" s="2" t="s">
        <v>1221</v>
      </c>
      <c r="B946" s="5">
        <v>45705</v>
      </c>
      <c r="C946" s="2" t="s">
        <v>1222</v>
      </c>
      <c r="D946" s="2" t="s">
        <v>16</v>
      </c>
      <c r="E946" s="2" t="s">
        <v>111</v>
      </c>
      <c r="F946" s="2" t="s">
        <v>14</v>
      </c>
      <c r="G946" s="2" t="s">
        <v>15</v>
      </c>
      <c r="H946" s="2">
        <v>11</v>
      </c>
      <c r="I946" s="7">
        <v>83.49</v>
      </c>
      <c r="J946" s="2">
        <v>0</v>
      </c>
      <c r="K946" s="7">
        <v>918.39</v>
      </c>
      <c r="L946" s="2" t="s">
        <v>27</v>
      </c>
      <c r="M946" s="2" t="s">
        <v>2364</v>
      </c>
    </row>
    <row r="947" spans="1:13" x14ac:dyDescent="0.3">
      <c r="A947" s="2" t="s">
        <v>1633</v>
      </c>
      <c r="B947" s="5">
        <v>45750</v>
      </c>
      <c r="C947" s="2" t="s">
        <v>1634</v>
      </c>
      <c r="D947" s="2" t="s">
        <v>16</v>
      </c>
      <c r="E947" s="2" t="s">
        <v>160</v>
      </c>
      <c r="F947" s="2" t="s">
        <v>14</v>
      </c>
      <c r="G947" s="2" t="s">
        <v>15</v>
      </c>
      <c r="H947" s="2">
        <v>12</v>
      </c>
      <c r="I947" s="7">
        <v>92.37</v>
      </c>
      <c r="J947" s="2">
        <v>15</v>
      </c>
      <c r="K947" s="7">
        <v>942.17</v>
      </c>
      <c r="L947" s="2" t="s">
        <v>27</v>
      </c>
      <c r="M947" s="2" t="s">
        <v>2364</v>
      </c>
    </row>
    <row r="948" spans="1:13" x14ac:dyDescent="0.3">
      <c r="A948" s="2" t="s">
        <v>1942</v>
      </c>
      <c r="B948" s="5">
        <v>45755</v>
      </c>
      <c r="C948" s="2" t="s">
        <v>150</v>
      </c>
      <c r="D948" s="2" t="s">
        <v>16</v>
      </c>
      <c r="E948" s="2" t="s">
        <v>91</v>
      </c>
      <c r="F948" s="2" t="s">
        <v>14</v>
      </c>
      <c r="G948" s="2" t="s">
        <v>15</v>
      </c>
      <c r="H948" s="2">
        <v>21</v>
      </c>
      <c r="I948" s="7">
        <v>45.77</v>
      </c>
      <c r="J948" s="2">
        <v>0</v>
      </c>
      <c r="K948" s="7">
        <v>961.17</v>
      </c>
      <c r="L948" s="2" t="s">
        <v>31</v>
      </c>
      <c r="M948" s="2" t="s">
        <v>2364</v>
      </c>
    </row>
    <row r="949" spans="1:13" x14ac:dyDescent="0.3">
      <c r="A949" s="2" t="s">
        <v>640</v>
      </c>
      <c r="B949" s="5">
        <v>45649</v>
      </c>
      <c r="C949" s="2" t="s">
        <v>641</v>
      </c>
      <c r="D949" s="2" t="s">
        <v>16</v>
      </c>
      <c r="E949" s="2" t="s">
        <v>74</v>
      </c>
      <c r="F949" s="2" t="s">
        <v>14</v>
      </c>
      <c r="G949" s="2" t="s">
        <v>15</v>
      </c>
      <c r="H949" s="2">
        <v>22</v>
      </c>
      <c r="I949" s="7">
        <v>55.03</v>
      </c>
      <c r="J949" s="2">
        <v>20</v>
      </c>
      <c r="K949" s="7">
        <v>968.53</v>
      </c>
      <c r="L949" s="2" t="s">
        <v>49</v>
      </c>
      <c r="M949" s="2" t="s">
        <v>2364</v>
      </c>
    </row>
    <row r="950" spans="1:13" x14ac:dyDescent="0.3">
      <c r="A950" s="2" t="s">
        <v>1997</v>
      </c>
      <c r="B950" s="5">
        <v>45961</v>
      </c>
      <c r="C950" s="2" t="s">
        <v>1998</v>
      </c>
      <c r="D950" s="2" t="s">
        <v>24</v>
      </c>
      <c r="E950" s="2" t="s">
        <v>41</v>
      </c>
      <c r="F950" s="2" t="s">
        <v>14</v>
      </c>
      <c r="G950" s="2" t="s">
        <v>15</v>
      </c>
      <c r="H950" s="2">
        <v>13</v>
      </c>
      <c r="I950" s="7">
        <v>78.92</v>
      </c>
      <c r="J950" s="2">
        <v>0</v>
      </c>
      <c r="K950" s="7">
        <v>1025.96</v>
      </c>
      <c r="L950" s="2" t="s">
        <v>49</v>
      </c>
      <c r="M950" s="2" t="s">
        <v>2364</v>
      </c>
    </row>
    <row r="951" spans="1:13" x14ac:dyDescent="0.3">
      <c r="A951" s="2" t="s">
        <v>315</v>
      </c>
      <c r="B951" s="5">
        <v>45746</v>
      </c>
      <c r="C951" s="2" t="s">
        <v>197</v>
      </c>
      <c r="D951" s="2" t="s">
        <v>53</v>
      </c>
      <c r="E951" s="2" t="s">
        <v>67</v>
      </c>
      <c r="F951" s="2" t="s">
        <v>14</v>
      </c>
      <c r="G951" s="2" t="s">
        <v>15</v>
      </c>
      <c r="H951" s="2">
        <v>16</v>
      </c>
      <c r="I951" s="7">
        <v>81.290000000000006</v>
      </c>
      <c r="J951" s="2">
        <v>15</v>
      </c>
      <c r="K951" s="7">
        <v>1105.54</v>
      </c>
      <c r="L951" s="2" t="s">
        <v>49</v>
      </c>
      <c r="M951" s="2" t="s">
        <v>2365</v>
      </c>
    </row>
    <row r="952" spans="1:13" x14ac:dyDescent="0.3">
      <c r="A952" s="2" t="s">
        <v>205</v>
      </c>
      <c r="B952" s="5">
        <v>45811</v>
      </c>
      <c r="C952" s="2" t="s">
        <v>206</v>
      </c>
      <c r="D952" s="2" t="s">
        <v>46</v>
      </c>
      <c r="E952" s="2" t="s">
        <v>78</v>
      </c>
      <c r="F952" s="2" t="s">
        <v>14</v>
      </c>
      <c r="G952" s="2" t="s">
        <v>15</v>
      </c>
      <c r="H952" s="2">
        <v>27</v>
      </c>
      <c r="I952" s="7">
        <v>60.57</v>
      </c>
      <c r="J952" s="2">
        <v>20</v>
      </c>
      <c r="K952" s="7">
        <v>1308.31</v>
      </c>
      <c r="L952" s="2" t="s">
        <v>2347</v>
      </c>
      <c r="M952" s="2" t="s">
        <v>2365</v>
      </c>
    </row>
    <row r="953" spans="1:13" x14ac:dyDescent="0.3">
      <c r="A953" s="2" t="s">
        <v>785</v>
      </c>
      <c r="B953" s="5">
        <v>46090</v>
      </c>
      <c r="C953" s="2" t="s">
        <v>786</v>
      </c>
      <c r="D953" s="2" t="s">
        <v>46</v>
      </c>
      <c r="E953" s="2" t="s">
        <v>83</v>
      </c>
      <c r="F953" s="2" t="s">
        <v>14</v>
      </c>
      <c r="G953" s="2" t="s">
        <v>15</v>
      </c>
      <c r="H953" s="2">
        <v>14</v>
      </c>
      <c r="I953" s="7">
        <v>99.27</v>
      </c>
      <c r="J953" s="2">
        <v>5</v>
      </c>
      <c r="K953" s="7">
        <v>1320.29</v>
      </c>
      <c r="L953" s="2" t="s">
        <v>31</v>
      </c>
      <c r="M953" s="2" t="s">
        <v>2365</v>
      </c>
    </row>
    <row r="954" spans="1:13" x14ac:dyDescent="0.3">
      <c r="A954" s="2" t="s">
        <v>1249</v>
      </c>
      <c r="B954" s="5">
        <v>45714</v>
      </c>
      <c r="C954" s="2" t="s">
        <v>1250</v>
      </c>
      <c r="D954" s="2" t="s">
        <v>53</v>
      </c>
      <c r="E954" s="2" t="s">
        <v>141</v>
      </c>
      <c r="F954" s="2" t="s">
        <v>14</v>
      </c>
      <c r="G954" s="2" t="s">
        <v>15</v>
      </c>
      <c r="H954" s="2">
        <v>32</v>
      </c>
      <c r="I954" s="7">
        <v>41.47</v>
      </c>
      <c r="J954" s="2">
        <v>0</v>
      </c>
      <c r="K954" s="7">
        <v>1327.04</v>
      </c>
      <c r="L954" s="2" t="s">
        <v>27</v>
      </c>
      <c r="M954" s="2" t="s">
        <v>2364</v>
      </c>
    </row>
    <row r="955" spans="1:13" x14ac:dyDescent="0.3">
      <c r="A955" s="2" t="s">
        <v>1135</v>
      </c>
      <c r="B955" s="5">
        <v>46098</v>
      </c>
      <c r="C955" s="2" t="s">
        <v>1136</v>
      </c>
      <c r="D955" s="2" t="s">
        <v>16</v>
      </c>
      <c r="E955" s="2" t="s">
        <v>91</v>
      </c>
      <c r="F955" s="2" t="s">
        <v>14</v>
      </c>
      <c r="G955" s="2" t="s">
        <v>15</v>
      </c>
      <c r="H955" s="2">
        <v>34</v>
      </c>
      <c r="I955" s="7">
        <v>41.92</v>
      </c>
      <c r="J955" s="2">
        <v>5</v>
      </c>
      <c r="K955" s="7">
        <v>1354.02</v>
      </c>
      <c r="L955" s="2" t="s">
        <v>31</v>
      </c>
      <c r="M955" s="2" t="s">
        <v>2364</v>
      </c>
    </row>
    <row r="956" spans="1:13" x14ac:dyDescent="0.3">
      <c r="A956" s="2" t="s">
        <v>1023</v>
      </c>
      <c r="B956" s="5">
        <v>46082</v>
      </c>
      <c r="C956" s="2" t="s">
        <v>1024</v>
      </c>
      <c r="D956" s="2" t="s">
        <v>16</v>
      </c>
      <c r="E956" s="2" t="s">
        <v>17</v>
      </c>
      <c r="F956" s="2" t="s">
        <v>14</v>
      </c>
      <c r="G956" s="2" t="s">
        <v>15</v>
      </c>
      <c r="H956" s="2">
        <v>17</v>
      </c>
      <c r="I956" s="7">
        <v>88.77</v>
      </c>
      <c r="J956" s="2">
        <v>5</v>
      </c>
      <c r="K956" s="7">
        <v>1433.64</v>
      </c>
      <c r="L956" s="2" t="s">
        <v>27</v>
      </c>
      <c r="M956" s="2" t="s">
        <v>2364</v>
      </c>
    </row>
    <row r="957" spans="1:13" x14ac:dyDescent="0.3">
      <c r="A957" s="2" t="s">
        <v>146</v>
      </c>
      <c r="B957" s="5">
        <v>45655</v>
      </c>
      <c r="C957" s="2" t="s">
        <v>147</v>
      </c>
      <c r="D957" s="2" t="s">
        <v>46</v>
      </c>
      <c r="E957" s="2" t="s">
        <v>47</v>
      </c>
      <c r="F957" s="2" t="s">
        <v>14</v>
      </c>
      <c r="G957" s="2" t="s">
        <v>15</v>
      </c>
      <c r="H957" s="2">
        <v>33</v>
      </c>
      <c r="I957" s="7">
        <v>45.28</v>
      </c>
      <c r="J957" s="2">
        <v>0</v>
      </c>
      <c r="K957" s="7">
        <v>1494.24</v>
      </c>
      <c r="L957" s="2" t="s">
        <v>31</v>
      </c>
      <c r="M957" s="2" t="s">
        <v>2364</v>
      </c>
    </row>
    <row r="958" spans="1:13" x14ac:dyDescent="0.3">
      <c r="A958" s="2" t="s">
        <v>2193</v>
      </c>
      <c r="B958" s="5">
        <v>45931</v>
      </c>
      <c r="C958" s="2" t="s">
        <v>2194</v>
      </c>
      <c r="D958" s="2" t="s">
        <v>24</v>
      </c>
      <c r="E958" s="2" t="s">
        <v>36</v>
      </c>
      <c r="F958" s="2" t="s">
        <v>14</v>
      </c>
      <c r="G958" s="2" t="s">
        <v>15</v>
      </c>
      <c r="H958" s="2">
        <v>14</v>
      </c>
      <c r="I958" s="7">
        <v>119.23</v>
      </c>
      <c r="J958" s="2">
        <v>10</v>
      </c>
      <c r="K958" s="7">
        <v>1502.3</v>
      </c>
      <c r="L958" s="2" t="s">
        <v>31</v>
      </c>
      <c r="M958" s="2" t="s">
        <v>2364</v>
      </c>
    </row>
    <row r="959" spans="1:13" x14ac:dyDescent="0.3">
      <c r="A959" s="2" t="s">
        <v>2091</v>
      </c>
      <c r="B959" s="5">
        <v>45629</v>
      </c>
      <c r="C959" s="2" t="s">
        <v>2092</v>
      </c>
      <c r="D959" s="2" t="s">
        <v>16</v>
      </c>
      <c r="E959" s="2" t="s">
        <v>160</v>
      </c>
      <c r="F959" s="2" t="s">
        <v>14</v>
      </c>
      <c r="G959" s="2" t="s">
        <v>15</v>
      </c>
      <c r="H959" s="2">
        <v>25</v>
      </c>
      <c r="I959" s="7">
        <v>61.35</v>
      </c>
      <c r="J959" s="2">
        <v>0</v>
      </c>
      <c r="K959" s="7">
        <v>1533.75</v>
      </c>
      <c r="L959" s="2" t="s">
        <v>69</v>
      </c>
      <c r="M959" s="2" t="s">
        <v>2364</v>
      </c>
    </row>
    <row r="960" spans="1:13" x14ac:dyDescent="0.3">
      <c r="A960" s="2" t="s">
        <v>1194</v>
      </c>
      <c r="B960" s="5">
        <v>45726</v>
      </c>
      <c r="C960" s="2" t="s">
        <v>1195</v>
      </c>
      <c r="D960" s="2" t="s">
        <v>53</v>
      </c>
      <c r="E960" s="2" t="s">
        <v>134</v>
      </c>
      <c r="F960" s="2" t="s">
        <v>14</v>
      </c>
      <c r="G960" s="2" t="s">
        <v>15</v>
      </c>
      <c r="H960" s="2">
        <v>25</v>
      </c>
      <c r="I960" s="7">
        <v>78.510000000000005</v>
      </c>
      <c r="J960" s="2">
        <v>20</v>
      </c>
      <c r="K960" s="7">
        <v>1570.2</v>
      </c>
      <c r="L960" s="2" t="s">
        <v>49</v>
      </c>
      <c r="M960" s="2" t="s">
        <v>2364</v>
      </c>
    </row>
    <row r="961" spans="1:13" x14ac:dyDescent="0.3">
      <c r="A961" s="2" t="s">
        <v>2023</v>
      </c>
      <c r="B961" s="5">
        <v>45797</v>
      </c>
      <c r="C961" s="2" t="s">
        <v>1797</v>
      </c>
      <c r="D961" s="2" t="s">
        <v>24</v>
      </c>
      <c r="E961" s="2" t="s">
        <v>36</v>
      </c>
      <c r="F961" s="2" t="s">
        <v>14</v>
      </c>
      <c r="G961" s="2" t="s">
        <v>15</v>
      </c>
      <c r="H961" s="2">
        <v>23</v>
      </c>
      <c r="I961" s="7">
        <v>73.03</v>
      </c>
      <c r="J961" s="2">
        <v>5</v>
      </c>
      <c r="K961" s="7">
        <v>1595.71</v>
      </c>
      <c r="L961" s="2" t="s">
        <v>2347</v>
      </c>
      <c r="M961" s="2" t="s">
        <v>2364</v>
      </c>
    </row>
    <row r="962" spans="1:13" x14ac:dyDescent="0.3">
      <c r="A962" s="2" t="s">
        <v>1923</v>
      </c>
      <c r="B962" s="5">
        <v>46259</v>
      </c>
      <c r="C962" s="2" t="s">
        <v>1924</v>
      </c>
      <c r="D962" s="2" t="s">
        <v>53</v>
      </c>
      <c r="E962" s="2" t="s">
        <v>134</v>
      </c>
      <c r="F962" s="2" t="s">
        <v>14</v>
      </c>
      <c r="G962" s="2" t="s">
        <v>15</v>
      </c>
      <c r="H962" s="2">
        <v>18</v>
      </c>
      <c r="I962" s="7">
        <v>94.82</v>
      </c>
      <c r="J962" s="2">
        <v>5</v>
      </c>
      <c r="K962" s="7">
        <v>1621.42</v>
      </c>
      <c r="L962" s="2" t="s">
        <v>31</v>
      </c>
      <c r="M962" s="2" t="s">
        <v>2364</v>
      </c>
    </row>
    <row r="963" spans="1:13" x14ac:dyDescent="0.3">
      <c r="A963" s="2" t="s">
        <v>149</v>
      </c>
      <c r="B963" s="5">
        <v>46159</v>
      </c>
      <c r="C963" s="2" t="s">
        <v>150</v>
      </c>
      <c r="D963" s="2" t="s">
        <v>24</v>
      </c>
      <c r="E963" s="2" t="s">
        <v>104</v>
      </c>
      <c r="F963" s="2" t="s">
        <v>14</v>
      </c>
      <c r="G963" s="2" t="s">
        <v>15</v>
      </c>
      <c r="H963" s="2">
        <v>20</v>
      </c>
      <c r="I963" s="7">
        <v>97.14</v>
      </c>
      <c r="J963" s="2">
        <v>15</v>
      </c>
      <c r="K963" s="7">
        <v>1651.38</v>
      </c>
      <c r="L963" s="2" t="s">
        <v>31</v>
      </c>
      <c r="M963" s="2" t="s">
        <v>2365</v>
      </c>
    </row>
    <row r="964" spans="1:13" x14ac:dyDescent="0.3">
      <c r="A964" s="2" t="s">
        <v>507</v>
      </c>
      <c r="B964" s="5">
        <v>45964</v>
      </c>
      <c r="C964" s="2" t="s">
        <v>508</v>
      </c>
      <c r="D964" s="2" t="s">
        <v>24</v>
      </c>
      <c r="E964" s="2" t="s">
        <v>25</v>
      </c>
      <c r="F964" s="2" t="s">
        <v>14</v>
      </c>
      <c r="G964" s="2" t="s">
        <v>15</v>
      </c>
      <c r="H964" s="2">
        <v>30</v>
      </c>
      <c r="I964" s="7">
        <v>59.43</v>
      </c>
      <c r="J964" s="2">
        <v>5</v>
      </c>
      <c r="K964" s="7">
        <v>1693.76</v>
      </c>
      <c r="L964" s="2" t="s">
        <v>69</v>
      </c>
      <c r="M964" s="2" t="s">
        <v>2364</v>
      </c>
    </row>
    <row r="965" spans="1:13" x14ac:dyDescent="0.3">
      <c r="A965" s="2" t="s">
        <v>2314</v>
      </c>
      <c r="B965" s="5">
        <v>45662</v>
      </c>
      <c r="C965" s="2" t="s">
        <v>1936</v>
      </c>
      <c r="D965" s="2" t="s">
        <v>24</v>
      </c>
      <c r="E965" s="2" t="s">
        <v>104</v>
      </c>
      <c r="F965" s="2" t="s">
        <v>14</v>
      </c>
      <c r="G965" s="2" t="s">
        <v>15</v>
      </c>
      <c r="H965" s="2">
        <v>34</v>
      </c>
      <c r="I965" s="7">
        <v>50.69</v>
      </c>
      <c r="J965" s="2">
        <v>0</v>
      </c>
      <c r="K965" s="7">
        <v>1723.46</v>
      </c>
      <c r="L965" s="2" t="s">
        <v>69</v>
      </c>
      <c r="M965" s="2" t="s">
        <v>2365</v>
      </c>
    </row>
    <row r="966" spans="1:13" x14ac:dyDescent="0.3">
      <c r="A966" s="2" t="s">
        <v>2166</v>
      </c>
      <c r="B966" s="5">
        <v>46246</v>
      </c>
      <c r="C966" s="2" t="s">
        <v>256</v>
      </c>
      <c r="D966" s="2" t="s">
        <v>16</v>
      </c>
      <c r="E966" s="2" t="s">
        <v>74</v>
      </c>
      <c r="F966" s="2" t="s">
        <v>14</v>
      </c>
      <c r="G966" s="2" t="s">
        <v>15</v>
      </c>
      <c r="H966" s="2">
        <v>23</v>
      </c>
      <c r="I966" s="7">
        <v>78.56</v>
      </c>
      <c r="J966" s="2">
        <v>0</v>
      </c>
      <c r="K966" s="7">
        <v>1806.88</v>
      </c>
      <c r="L966" s="2" t="s">
        <v>31</v>
      </c>
      <c r="M966" s="2" t="s">
        <v>2364</v>
      </c>
    </row>
    <row r="967" spans="1:13" x14ac:dyDescent="0.3">
      <c r="A967" s="2" t="s">
        <v>1612</v>
      </c>
      <c r="B967" s="5">
        <v>45587</v>
      </c>
      <c r="C967" s="2" t="s">
        <v>1613</v>
      </c>
      <c r="D967" s="2" t="s">
        <v>16</v>
      </c>
      <c r="E967" s="2" t="s">
        <v>111</v>
      </c>
      <c r="F967" s="2" t="s">
        <v>14</v>
      </c>
      <c r="G967" s="2" t="s">
        <v>15</v>
      </c>
      <c r="H967" s="2">
        <v>19</v>
      </c>
      <c r="I967" s="7">
        <v>102.04</v>
      </c>
      <c r="J967" s="2">
        <v>5</v>
      </c>
      <c r="K967" s="7">
        <v>1841.82</v>
      </c>
      <c r="L967" s="2" t="s">
        <v>69</v>
      </c>
      <c r="M967" s="2" t="s">
        <v>2365</v>
      </c>
    </row>
    <row r="968" spans="1:13" x14ac:dyDescent="0.3">
      <c r="A968" s="2" t="s">
        <v>384</v>
      </c>
      <c r="B968" s="5">
        <v>45779</v>
      </c>
      <c r="C968" s="2" t="s">
        <v>385</v>
      </c>
      <c r="D968" s="2" t="s">
        <v>16</v>
      </c>
      <c r="E968" s="2" t="s">
        <v>111</v>
      </c>
      <c r="F968" s="2" t="s">
        <v>14</v>
      </c>
      <c r="G968" s="2" t="s">
        <v>15</v>
      </c>
      <c r="H968" s="2">
        <v>22</v>
      </c>
      <c r="I968" s="7">
        <v>100.57</v>
      </c>
      <c r="J968" s="2">
        <v>10</v>
      </c>
      <c r="K968" s="7">
        <v>1991.29</v>
      </c>
      <c r="L968" s="2" t="s">
        <v>2347</v>
      </c>
      <c r="M968" s="2" t="s">
        <v>2364</v>
      </c>
    </row>
    <row r="969" spans="1:13" x14ac:dyDescent="0.3">
      <c r="A969" s="2" t="s">
        <v>2105</v>
      </c>
      <c r="B969" s="5">
        <v>46010</v>
      </c>
      <c r="C969" s="2" t="s">
        <v>2106</v>
      </c>
      <c r="D969" s="2" t="s">
        <v>16</v>
      </c>
      <c r="E969" s="2" t="s">
        <v>74</v>
      </c>
      <c r="F969" s="2" t="s">
        <v>14</v>
      </c>
      <c r="G969" s="2" t="s">
        <v>15</v>
      </c>
      <c r="H969" s="2">
        <v>30</v>
      </c>
      <c r="I969" s="7">
        <v>66.64</v>
      </c>
      <c r="J969" s="2">
        <v>0</v>
      </c>
      <c r="K969" s="7">
        <v>1999.2</v>
      </c>
      <c r="L969" s="2" t="s">
        <v>69</v>
      </c>
      <c r="M969" s="2" t="s">
        <v>2364</v>
      </c>
    </row>
    <row r="970" spans="1:13" x14ac:dyDescent="0.3">
      <c r="A970" s="2" t="s">
        <v>1573</v>
      </c>
      <c r="B970" s="5">
        <v>45617</v>
      </c>
      <c r="C970" s="2" t="s">
        <v>359</v>
      </c>
      <c r="D970" s="2" t="s">
        <v>24</v>
      </c>
      <c r="E970" s="2" t="s">
        <v>25</v>
      </c>
      <c r="F970" s="2" t="s">
        <v>14</v>
      </c>
      <c r="G970" s="2" t="s">
        <v>15</v>
      </c>
      <c r="H970" s="2">
        <v>29</v>
      </c>
      <c r="I970" s="7">
        <v>72.61</v>
      </c>
      <c r="J970" s="2">
        <v>0</v>
      </c>
      <c r="K970" s="7">
        <v>2105.69</v>
      </c>
      <c r="L970" s="2" t="s">
        <v>69</v>
      </c>
      <c r="M970" s="2" t="s">
        <v>2364</v>
      </c>
    </row>
    <row r="971" spans="1:13" x14ac:dyDescent="0.3">
      <c r="A971" s="2" t="s">
        <v>889</v>
      </c>
      <c r="B971" s="5">
        <v>45574</v>
      </c>
      <c r="C971" s="2" t="s">
        <v>890</v>
      </c>
      <c r="D971" s="2" t="s">
        <v>16</v>
      </c>
      <c r="E971" s="2" t="s">
        <v>17</v>
      </c>
      <c r="F971" s="2" t="s">
        <v>14</v>
      </c>
      <c r="G971" s="2" t="s">
        <v>15</v>
      </c>
      <c r="H971" s="2">
        <v>26</v>
      </c>
      <c r="I971" s="7">
        <v>91</v>
      </c>
      <c r="J971" s="2">
        <v>10</v>
      </c>
      <c r="K971" s="7">
        <v>2129.4</v>
      </c>
      <c r="L971" s="2" t="s">
        <v>69</v>
      </c>
      <c r="M971" s="2" t="s">
        <v>2364</v>
      </c>
    </row>
    <row r="972" spans="1:13" x14ac:dyDescent="0.3">
      <c r="A972" s="2" t="s">
        <v>1385</v>
      </c>
      <c r="B972" s="5">
        <v>45943</v>
      </c>
      <c r="C972" s="2" t="s">
        <v>1386</v>
      </c>
      <c r="D972" s="2" t="s">
        <v>46</v>
      </c>
      <c r="E972" s="2" t="s">
        <v>124</v>
      </c>
      <c r="F972" s="2" t="s">
        <v>14</v>
      </c>
      <c r="G972" s="2" t="s">
        <v>15</v>
      </c>
      <c r="H972" s="2">
        <v>43</v>
      </c>
      <c r="I972" s="7">
        <v>63.19</v>
      </c>
      <c r="J972" s="2">
        <v>20</v>
      </c>
      <c r="K972" s="7">
        <v>2173.7399999999998</v>
      </c>
      <c r="L972" s="2" t="s">
        <v>49</v>
      </c>
      <c r="M972" s="2" t="s">
        <v>2364</v>
      </c>
    </row>
    <row r="973" spans="1:13" x14ac:dyDescent="0.3">
      <c r="A973" s="2" t="s">
        <v>1580</v>
      </c>
      <c r="B973" s="5">
        <v>46036</v>
      </c>
      <c r="C973" s="2" t="s">
        <v>1581</v>
      </c>
      <c r="D973" s="2" t="s">
        <v>46</v>
      </c>
      <c r="E973" s="2" t="s">
        <v>124</v>
      </c>
      <c r="F973" s="2" t="s">
        <v>14</v>
      </c>
      <c r="G973" s="2" t="s">
        <v>15</v>
      </c>
      <c r="H973" s="2">
        <v>44</v>
      </c>
      <c r="I973" s="7">
        <v>55.8</v>
      </c>
      <c r="J973" s="2">
        <v>10</v>
      </c>
      <c r="K973" s="7">
        <v>2209.6799999999998</v>
      </c>
      <c r="L973" s="2" t="s">
        <v>69</v>
      </c>
      <c r="M973" s="2" t="s">
        <v>2364</v>
      </c>
    </row>
    <row r="974" spans="1:13" x14ac:dyDescent="0.3">
      <c r="A974" s="2" t="s">
        <v>1952</v>
      </c>
      <c r="B974" s="5">
        <v>46119</v>
      </c>
      <c r="C974" s="2" t="s">
        <v>1452</v>
      </c>
      <c r="D974" s="2" t="s">
        <v>53</v>
      </c>
      <c r="E974" s="2" t="s">
        <v>67</v>
      </c>
      <c r="F974" s="2" t="s">
        <v>14</v>
      </c>
      <c r="G974" s="2" t="s">
        <v>15</v>
      </c>
      <c r="H974" s="2">
        <v>38</v>
      </c>
      <c r="I974" s="7">
        <v>70.099999999999994</v>
      </c>
      <c r="J974" s="2">
        <v>15</v>
      </c>
      <c r="K974" s="7">
        <v>2264.23</v>
      </c>
      <c r="L974" s="2" t="s">
        <v>27</v>
      </c>
      <c r="M974" s="2" t="s">
        <v>2364</v>
      </c>
    </row>
    <row r="975" spans="1:13" x14ac:dyDescent="0.3">
      <c r="A975" s="2" t="s">
        <v>1080</v>
      </c>
      <c r="B975" s="5">
        <v>45684</v>
      </c>
      <c r="C975" s="2" t="s">
        <v>1081</v>
      </c>
      <c r="D975" s="2" t="s">
        <v>24</v>
      </c>
      <c r="E975" s="2" t="s">
        <v>104</v>
      </c>
      <c r="F975" s="2" t="s">
        <v>14</v>
      </c>
      <c r="G975" s="2" t="s">
        <v>15</v>
      </c>
      <c r="H975" s="2">
        <v>26</v>
      </c>
      <c r="I975" s="7">
        <v>97.89</v>
      </c>
      <c r="J975" s="2">
        <v>10</v>
      </c>
      <c r="K975" s="7">
        <v>2290.63</v>
      </c>
      <c r="L975" s="2" t="s">
        <v>27</v>
      </c>
      <c r="M975" s="2" t="s">
        <v>2364</v>
      </c>
    </row>
    <row r="976" spans="1:13" x14ac:dyDescent="0.3">
      <c r="A976" s="2" t="s">
        <v>1823</v>
      </c>
      <c r="B976" s="5">
        <v>45945</v>
      </c>
      <c r="C976" s="2" t="s">
        <v>1824</v>
      </c>
      <c r="D976" s="2" t="s">
        <v>16</v>
      </c>
      <c r="E976" s="2" t="s">
        <v>91</v>
      </c>
      <c r="F976" s="2" t="s">
        <v>14</v>
      </c>
      <c r="G976" s="2" t="s">
        <v>15</v>
      </c>
      <c r="H976" s="2">
        <v>42</v>
      </c>
      <c r="I976" s="7">
        <v>55.48</v>
      </c>
      <c r="J976" s="2">
        <v>0</v>
      </c>
      <c r="K976" s="7">
        <v>2330.16</v>
      </c>
      <c r="L976" s="2" t="s">
        <v>49</v>
      </c>
      <c r="M976" s="2" t="s">
        <v>2364</v>
      </c>
    </row>
    <row r="977" spans="1:13" x14ac:dyDescent="0.3">
      <c r="A977" s="2" t="s">
        <v>783</v>
      </c>
      <c r="B977" s="5">
        <v>45670</v>
      </c>
      <c r="C977" s="2" t="s">
        <v>784</v>
      </c>
      <c r="D977" s="2" t="s">
        <v>24</v>
      </c>
      <c r="E977" s="2" t="s">
        <v>41</v>
      </c>
      <c r="F977" s="2" t="s">
        <v>14</v>
      </c>
      <c r="G977" s="2" t="s">
        <v>15</v>
      </c>
      <c r="H977" s="2">
        <v>21</v>
      </c>
      <c r="I977" s="7">
        <v>113.63</v>
      </c>
      <c r="J977" s="2">
        <v>0</v>
      </c>
      <c r="K977" s="7">
        <v>2386.23</v>
      </c>
      <c r="L977" s="2" t="s">
        <v>2347</v>
      </c>
      <c r="M977" s="2" t="s">
        <v>2365</v>
      </c>
    </row>
    <row r="978" spans="1:13" x14ac:dyDescent="0.3">
      <c r="A978" s="2" t="s">
        <v>594</v>
      </c>
      <c r="B978" s="5">
        <v>45599</v>
      </c>
      <c r="C978" s="2" t="s">
        <v>595</v>
      </c>
      <c r="D978" s="2" t="s">
        <v>24</v>
      </c>
      <c r="E978" s="2" t="s">
        <v>41</v>
      </c>
      <c r="F978" s="2" t="s">
        <v>14</v>
      </c>
      <c r="G978" s="2" t="s">
        <v>15</v>
      </c>
      <c r="H978" s="2">
        <v>37</v>
      </c>
      <c r="I978" s="7">
        <v>70.95</v>
      </c>
      <c r="J978" s="2">
        <v>5</v>
      </c>
      <c r="K978" s="7">
        <v>2493.89</v>
      </c>
      <c r="L978" s="2" t="s">
        <v>2347</v>
      </c>
      <c r="M978" s="2" t="s">
        <v>2365</v>
      </c>
    </row>
    <row r="979" spans="1:13" x14ac:dyDescent="0.3">
      <c r="A979" s="2" t="s">
        <v>1988</v>
      </c>
      <c r="B979" s="5">
        <v>45631</v>
      </c>
      <c r="C979" s="2" t="s">
        <v>692</v>
      </c>
      <c r="D979" s="2" t="s">
        <v>16</v>
      </c>
      <c r="E979" s="2" t="s">
        <v>17</v>
      </c>
      <c r="F979" s="2" t="s">
        <v>14</v>
      </c>
      <c r="G979" s="2" t="s">
        <v>15</v>
      </c>
      <c r="H979" s="2">
        <v>33</v>
      </c>
      <c r="I979" s="7">
        <v>98.23</v>
      </c>
      <c r="J979" s="2">
        <v>20</v>
      </c>
      <c r="K979" s="7">
        <v>2593.27</v>
      </c>
      <c r="L979" s="2" t="s">
        <v>2347</v>
      </c>
      <c r="M979" s="2" t="s">
        <v>2364</v>
      </c>
    </row>
    <row r="980" spans="1:13" x14ac:dyDescent="0.3">
      <c r="A980" s="2" t="s">
        <v>1812</v>
      </c>
      <c r="B980" s="5">
        <v>45720</v>
      </c>
      <c r="C980" s="2" t="s">
        <v>1813</v>
      </c>
      <c r="D980" s="2" t="s">
        <v>53</v>
      </c>
      <c r="E980" s="2" t="s">
        <v>134</v>
      </c>
      <c r="F980" s="2" t="s">
        <v>14</v>
      </c>
      <c r="G980" s="2" t="s">
        <v>15</v>
      </c>
      <c r="H980" s="2">
        <v>28</v>
      </c>
      <c r="I980" s="7">
        <v>96.43</v>
      </c>
      <c r="J980" s="2">
        <v>0</v>
      </c>
      <c r="K980" s="7">
        <v>2700.04</v>
      </c>
      <c r="L980" s="2" t="s">
        <v>27</v>
      </c>
      <c r="M980" s="2" t="s">
        <v>2364</v>
      </c>
    </row>
    <row r="981" spans="1:13" x14ac:dyDescent="0.3">
      <c r="A981" s="2" t="s">
        <v>524</v>
      </c>
      <c r="B981" s="5">
        <v>45762</v>
      </c>
      <c r="C981" s="2" t="s">
        <v>525</v>
      </c>
      <c r="D981" s="2" t="s">
        <v>46</v>
      </c>
      <c r="E981" s="2" t="s">
        <v>78</v>
      </c>
      <c r="F981" s="2" t="s">
        <v>14</v>
      </c>
      <c r="G981" s="2" t="s">
        <v>15</v>
      </c>
      <c r="H981" s="2">
        <v>44</v>
      </c>
      <c r="I981" s="7">
        <v>67.94</v>
      </c>
      <c r="J981" s="2">
        <v>5</v>
      </c>
      <c r="K981" s="7">
        <v>2839.89</v>
      </c>
      <c r="L981" s="2" t="s">
        <v>31</v>
      </c>
      <c r="M981" s="2" t="s">
        <v>2364</v>
      </c>
    </row>
    <row r="982" spans="1:13" x14ac:dyDescent="0.3">
      <c r="A982" s="2" t="s">
        <v>12</v>
      </c>
      <c r="B982" s="5">
        <v>45682</v>
      </c>
      <c r="C982" s="2" t="s">
        <v>13</v>
      </c>
      <c r="D982" s="2" t="s">
        <v>16</v>
      </c>
      <c r="E982" s="2" t="s">
        <v>17</v>
      </c>
      <c r="F982" s="2" t="s">
        <v>14</v>
      </c>
      <c r="G982" s="2" t="s">
        <v>15</v>
      </c>
      <c r="H982" s="2">
        <v>31</v>
      </c>
      <c r="I982" s="7">
        <v>118.96</v>
      </c>
      <c r="J982" s="2">
        <v>20</v>
      </c>
      <c r="K982" s="7">
        <v>2950.21</v>
      </c>
      <c r="L982" s="2" t="s">
        <v>2347</v>
      </c>
      <c r="M982" s="2" t="s">
        <v>2364</v>
      </c>
    </row>
    <row r="983" spans="1:13" x14ac:dyDescent="0.3">
      <c r="A983" s="2" t="s">
        <v>927</v>
      </c>
      <c r="B983" s="5">
        <v>45915</v>
      </c>
      <c r="C983" s="2" t="s">
        <v>928</v>
      </c>
      <c r="D983" s="2" t="s">
        <v>46</v>
      </c>
      <c r="E983" s="2" t="s">
        <v>124</v>
      </c>
      <c r="F983" s="2" t="s">
        <v>14</v>
      </c>
      <c r="G983" s="2" t="s">
        <v>15</v>
      </c>
      <c r="H983" s="2">
        <v>31</v>
      </c>
      <c r="I983" s="7">
        <v>96.35</v>
      </c>
      <c r="J983" s="2">
        <v>0</v>
      </c>
      <c r="K983" s="7">
        <v>2986.85</v>
      </c>
      <c r="L983" s="2" t="s">
        <v>69</v>
      </c>
      <c r="M983" s="2" t="s">
        <v>2364</v>
      </c>
    </row>
    <row r="984" spans="1:13" x14ac:dyDescent="0.3">
      <c r="A984" s="2" t="s">
        <v>1515</v>
      </c>
      <c r="B984" s="5">
        <v>46300</v>
      </c>
      <c r="C984" s="2" t="s">
        <v>1516</v>
      </c>
      <c r="D984" s="2" t="s">
        <v>53</v>
      </c>
      <c r="E984" s="2" t="s">
        <v>67</v>
      </c>
      <c r="F984" s="2" t="s">
        <v>14</v>
      </c>
      <c r="G984" s="2" t="s">
        <v>15</v>
      </c>
      <c r="H984" s="2">
        <v>30</v>
      </c>
      <c r="I984" s="7">
        <v>105</v>
      </c>
      <c r="J984" s="2">
        <v>5</v>
      </c>
      <c r="K984" s="7">
        <v>2992.5</v>
      </c>
      <c r="L984" s="2" t="s">
        <v>31</v>
      </c>
      <c r="M984" s="2" t="s">
        <v>2365</v>
      </c>
    </row>
    <row r="985" spans="1:13" x14ac:dyDescent="0.3">
      <c r="A985" s="2" t="s">
        <v>413</v>
      </c>
      <c r="B985" s="5">
        <v>46022</v>
      </c>
      <c r="C985" s="2" t="s">
        <v>414</v>
      </c>
      <c r="D985" s="2" t="s">
        <v>53</v>
      </c>
      <c r="E985" s="2" t="s">
        <v>67</v>
      </c>
      <c r="F985" s="2" t="s">
        <v>14</v>
      </c>
      <c r="G985" s="2" t="s">
        <v>15</v>
      </c>
      <c r="H985" s="2">
        <v>36</v>
      </c>
      <c r="I985" s="7">
        <v>84.11</v>
      </c>
      <c r="J985" s="2">
        <v>0</v>
      </c>
      <c r="K985" s="7">
        <v>3027.96</v>
      </c>
      <c r="L985" s="2" t="s">
        <v>49</v>
      </c>
      <c r="M985" s="2" t="s">
        <v>2365</v>
      </c>
    </row>
    <row r="986" spans="1:13" x14ac:dyDescent="0.3">
      <c r="A986" s="2" t="s">
        <v>881</v>
      </c>
      <c r="B986" s="5">
        <v>45914</v>
      </c>
      <c r="C986" s="2" t="s">
        <v>882</v>
      </c>
      <c r="D986" s="2" t="s">
        <v>53</v>
      </c>
      <c r="E986" s="2" t="s">
        <v>54</v>
      </c>
      <c r="F986" s="2" t="s">
        <v>14</v>
      </c>
      <c r="G986" s="2" t="s">
        <v>15</v>
      </c>
      <c r="H986" s="2">
        <v>49</v>
      </c>
      <c r="I986" s="7">
        <v>63.26</v>
      </c>
      <c r="J986" s="2">
        <v>0</v>
      </c>
      <c r="K986" s="7">
        <v>3099.74</v>
      </c>
      <c r="L986" s="2" t="s">
        <v>31</v>
      </c>
      <c r="M986" s="2" t="s">
        <v>2364</v>
      </c>
    </row>
    <row r="987" spans="1:13" x14ac:dyDescent="0.3">
      <c r="A987" s="2" t="s">
        <v>341</v>
      </c>
      <c r="B987" s="5">
        <v>45974</v>
      </c>
      <c r="C987" s="2" t="s">
        <v>342</v>
      </c>
      <c r="D987" s="2" t="s">
        <v>46</v>
      </c>
      <c r="E987" s="2" t="s">
        <v>244</v>
      </c>
      <c r="F987" s="2" t="s">
        <v>14</v>
      </c>
      <c r="G987" s="2" t="s">
        <v>15</v>
      </c>
      <c r="H987" s="2">
        <v>42</v>
      </c>
      <c r="I987" s="7">
        <v>74.099999999999994</v>
      </c>
      <c r="J987" s="2">
        <v>0</v>
      </c>
      <c r="K987" s="7">
        <v>3112.2</v>
      </c>
      <c r="L987" s="2" t="s">
        <v>69</v>
      </c>
      <c r="M987" s="2" t="s">
        <v>2364</v>
      </c>
    </row>
    <row r="988" spans="1:13" x14ac:dyDescent="0.3">
      <c r="A988" s="2" t="s">
        <v>1631</v>
      </c>
      <c r="B988" s="5">
        <v>46237</v>
      </c>
      <c r="C988" s="2" t="s">
        <v>1632</v>
      </c>
      <c r="D988" s="2" t="s">
        <v>24</v>
      </c>
      <c r="E988" s="2" t="s">
        <v>36</v>
      </c>
      <c r="F988" s="2" t="s">
        <v>14</v>
      </c>
      <c r="G988" s="2" t="s">
        <v>15</v>
      </c>
      <c r="H988" s="2">
        <v>37</v>
      </c>
      <c r="I988" s="7">
        <v>92.54</v>
      </c>
      <c r="J988" s="2">
        <v>5</v>
      </c>
      <c r="K988" s="7">
        <v>3252.78</v>
      </c>
      <c r="L988" s="2" t="s">
        <v>31</v>
      </c>
      <c r="M988" s="2" t="s">
        <v>2364</v>
      </c>
    </row>
    <row r="989" spans="1:13" x14ac:dyDescent="0.3">
      <c r="A989" s="2" t="s">
        <v>972</v>
      </c>
      <c r="B989" s="5">
        <v>46254</v>
      </c>
      <c r="C989" s="2" t="s">
        <v>102</v>
      </c>
      <c r="D989" s="2" t="s">
        <v>53</v>
      </c>
      <c r="E989" s="2" t="s">
        <v>134</v>
      </c>
      <c r="F989" s="2" t="s">
        <v>14</v>
      </c>
      <c r="G989" s="2" t="s">
        <v>15</v>
      </c>
      <c r="H989" s="2">
        <v>40</v>
      </c>
      <c r="I989" s="7">
        <v>85.84</v>
      </c>
      <c r="J989" s="2">
        <v>5</v>
      </c>
      <c r="K989" s="7">
        <v>3261.92</v>
      </c>
      <c r="L989" s="2" t="s">
        <v>49</v>
      </c>
      <c r="M989" s="2" t="s">
        <v>2364</v>
      </c>
    </row>
    <row r="990" spans="1:13" x14ac:dyDescent="0.3">
      <c r="A990" s="2" t="s">
        <v>2261</v>
      </c>
      <c r="B990" s="5">
        <v>45651</v>
      </c>
      <c r="C990" s="2" t="s">
        <v>2262</v>
      </c>
      <c r="D990" s="2" t="s">
        <v>24</v>
      </c>
      <c r="E990" s="2" t="s">
        <v>59</v>
      </c>
      <c r="F990" s="2" t="s">
        <v>14</v>
      </c>
      <c r="G990" s="2" t="s">
        <v>15</v>
      </c>
      <c r="H990" s="2">
        <v>35</v>
      </c>
      <c r="I990" s="7">
        <v>96.63</v>
      </c>
      <c r="J990" s="2">
        <v>0</v>
      </c>
      <c r="K990" s="7">
        <v>3382.05</v>
      </c>
      <c r="L990" s="2" t="s">
        <v>2347</v>
      </c>
      <c r="M990" s="2" t="s">
        <v>2365</v>
      </c>
    </row>
    <row r="991" spans="1:13" x14ac:dyDescent="0.3">
      <c r="A991" s="2" t="s">
        <v>310</v>
      </c>
      <c r="B991" s="5">
        <v>46176</v>
      </c>
      <c r="C991" s="2" t="s">
        <v>311</v>
      </c>
      <c r="D991" s="2" t="s">
        <v>53</v>
      </c>
      <c r="E991" s="2" t="s">
        <v>67</v>
      </c>
      <c r="F991" s="2" t="s">
        <v>14</v>
      </c>
      <c r="G991" s="2" t="s">
        <v>15</v>
      </c>
      <c r="H991" s="2">
        <v>37</v>
      </c>
      <c r="I991" s="7">
        <v>98.32</v>
      </c>
      <c r="J991" s="2">
        <v>5</v>
      </c>
      <c r="K991" s="7">
        <v>3455.95</v>
      </c>
      <c r="L991" s="2" t="s">
        <v>31</v>
      </c>
      <c r="M991" s="2" t="s">
        <v>2364</v>
      </c>
    </row>
    <row r="992" spans="1:13" x14ac:dyDescent="0.3">
      <c r="A992" s="2" t="s">
        <v>591</v>
      </c>
      <c r="B992" s="5">
        <v>45670</v>
      </c>
      <c r="C992" s="2" t="s">
        <v>592</v>
      </c>
      <c r="D992" s="2" t="s">
        <v>24</v>
      </c>
      <c r="E992" s="2" t="s">
        <v>36</v>
      </c>
      <c r="F992" s="2" t="s">
        <v>14</v>
      </c>
      <c r="G992" s="2" t="s">
        <v>15</v>
      </c>
      <c r="H992" s="2">
        <v>40</v>
      </c>
      <c r="I992" s="7">
        <v>101.95</v>
      </c>
      <c r="J992" s="2">
        <v>15</v>
      </c>
      <c r="K992" s="7">
        <v>3466.3</v>
      </c>
      <c r="L992" s="2" t="s">
        <v>27</v>
      </c>
      <c r="M992" s="2" t="s">
        <v>2364</v>
      </c>
    </row>
    <row r="993" spans="1:13" x14ac:dyDescent="0.3">
      <c r="A993" s="2" t="s">
        <v>119</v>
      </c>
      <c r="B993" s="5">
        <v>45819</v>
      </c>
      <c r="C993" s="2" t="s">
        <v>120</v>
      </c>
      <c r="D993" s="2" t="s">
        <v>46</v>
      </c>
      <c r="E993" s="2" t="s">
        <v>83</v>
      </c>
      <c r="F993" s="2" t="s">
        <v>14</v>
      </c>
      <c r="G993" s="2" t="s">
        <v>15</v>
      </c>
      <c r="H993" s="2">
        <v>41</v>
      </c>
      <c r="I993" s="7">
        <v>102.97</v>
      </c>
      <c r="J993" s="2">
        <v>15</v>
      </c>
      <c r="K993" s="7">
        <v>3588.5</v>
      </c>
      <c r="L993" s="2" t="s">
        <v>2347</v>
      </c>
      <c r="M993" s="2" t="s">
        <v>2364</v>
      </c>
    </row>
    <row r="994" spans="1:13" x14ac:dyDescent="0.3">
      <c r="A994" s="2" t="s">
        <v>202</v>
      </c>
      <c r="B994" s="5">
        <v>46169</v>
      </c>
      <c r="C994" s="2" t="s">
        <v>203</v>
      </c>
      <c r="D994" s="2" t="s">
        <v>46</v>
      </c>
      <c r="E994" s="2" t="s">
        <v>124</v>
      </c>
      <c r="F994" s="2" t="s">
        <v>14</v>
      </c>
      <c r="G994" s="2" t="s">
        <v>15</v>
      </c>
      <c r="H994" s="2">
        <v>39</v>
      </c>
      <c r="I994" s="7">
        <v>104.76</v>
      </c>
      <c r="J994" s="2">
        <v>10</v>
      </c>
      <c r="K994" s="7">
        <v>3677.08</v>
      </c>
      <c r="L994" s="2" t="s">
        <v>2347</v>
      </c>
      <c r="M994" s="2" t="s">
        <v>2365</v>
      </c>
    </row>
    <row r="995" spans="1:13" x14ac:dyDescent="0.3">
      <c r="A995" s="2" t="s">
        <v>2156</v>
      </c>
      <c r="B995" s="5">
        <v>46029</v>
      </c>
      <c r="C995" s="2" t="s">
        <v>1091</v>
      </c>
      <c r="D995" s="2" t="s">
        <v>16</v>
      </c>
      <c r="E995" s="2" t="s">
        <v>111</v>
      </c>
      <c r="F995" s="2" t="s">
        <v>14</v>
      </c>
      <c r="G995" s="2" t="s">
        <v>15</v>
      </c>
      <c r="H995" s="2">
        <v>47</v>
      </c>
      <c r="I995" s="7">
        <v>79.760000000000005</v>
      </c>
      <c r="J995" s="2">
        <v>0</v>
      </c>
      <c r="K995" s="7">
        <v>3748.72</v>
      </c>
      <c r="L995" s="2" t="s">
        <v>69</v>
      </c>
      <c r="M995" s="2" t="s">
        <v>2365</v>
      </c>
    </row>
    <row r="996" spans="1:13" x14ac:dyDescent="0.3">
      <c r="A996" s="2" t="s">
        <v>643</v>
      </c>
      <c r="B996" s="5">
        <v>45711</v>
      </c>
      <c r="C996" s="2" t="s">
        <v>644</v>
      </c>
      <c r="D996" s="2" t="s">
        <v>24</v>
      </c>
      <c r="E996" s="2" t="s">
        <v>25</v>
      </c>
      <c r="F996" s="2" t="s">
        <v>14</v>
      </c>
      <c r="G996" s="2" t="s">
        <v>15</v>
      </c>
      <c r="H996" s="2">
        <v>50</v>
      </c>
      <c r="I996" s="7">
        <v>82.8</v>
      </c>
      <c r="J996" s="2">
        <v>0</v>
      </c>
      <c r="K996" s="7">
        <v>4140</v>
      </c>
      <c r="L996" s="2" t="s">
        <v>69</v>
      </c>
      <c r="M996" s="2" t="s">
        <v>2365</v>
      </c>
    </row>
    <row r="997" spans="1:13" x14ac:dyDescent="0.3">
      <c r="A997" s="2" t="s">
        <v>573</v>
      </c>
      <c r="B997" s="5">
        <v>46097</v>
      </c>
      <c r="C997" s="2" t="s">
        <v>574</v>
      </c>
      <c r="D997" s="2" t="s">
        <v>16</v>
      </c>
      <c r="E997" s="2" t="s">
        <v>160</v>
      </c>
      <c r="F997" s="2" t="s">
        <v>14</v>
      </c>
      <c r="G997" s="2" t="s">
        <v>15</v>
      </c>
      <c r="H997" s="2">
        <v>39</v>
      </c>
      <c r="I997" s="7">
        <v>119.39</v>
      </c>
      <c r="J997" s="2">
        <v>5</v>
      </c>
      <c r="K997" s="7">
        <v>4423.3999999999996</v>
      </c>
      <c r="L997" s="2" t="s">
        <v>2347</v>
      </c>
      <c r="M997" s="2" t="s">
        <v>2365</v>
      </c>
    </row>
    <row r="998" spans="1:13" x14ac:dyDescent="0.3">
      <c r="A998" s="2" t="s">
        <v>2160</v>
      </c>
      <c r="B998" s="5">
        <v>45688</v>
      </c>
      <c r="C998" s="2" t="s">
        <v>2161</v>
      </c>
      <c r="D998" s="2" t="s">
        <v>24</v>
      </c>
      <c r="E998" s="2" t="s">
        <v>41</v>
      </c>
      <c r="F998" s="2" t="s">
        <v>14</v>
      </c>
      <c r="G998" s="2" t="s">
        <v>15</v>
      </c>
      <c r="H998" s="2">
        <v>47</v>
      </c>
      <c r="I998" s="7">
        <v>95.56</v>
      </c>
      <c r="J998" s="2">
        <v>0</v>
      </c>
      <c r="K998" s="7">
        <v>4491.32</v>
      </c>
      <c r="L998" s="2" t="s">
        <v>49</v>
      </c>
      <c r="M998" s="2" t="s">
        <v>2365</v>
      </c>
    </row>
    <row r="999" spans="1:13" x14ac:dyDescent="0.3">
      <c r="A999" s="2" t="s">
        <v>1335</v>
      </c>
      <c r="B999" s="5">
        <v>45904</v>
      </c>
      <c r="C999" s="2" t="s">
        <v>1336</v>
      </c>
      <c r="D999" s="2" t="s">
        <v>46</v>
      </c>
      <c r="E999" s="2" t="s">
        <v>244</v>
      </c>
      <c r="F999" s="2" t="s">
        <v>14</v>
      </c>
      <c r="G999" s="2" t="s">
        <v>15</v>
      </c>
      <c r="H999" s="2">
        <v>49</v>
      </c>
      <c r="I999" s="7">
        <v>93.2</v>
      </c>
      <c r="J999" s="2">
        <v>0</v>
      </c>
      <c r="K999" s="7">
        <v>4566.8</v>
      </c>
      <c r="L999" s="2" t="s">
        <v>31</v>
      </c>
      <c r="M999" s="2" t="s">
        <v>2364</v>
      </c>
    </row>
    <row r="1000" spans="1:13" x14ac:dyDescent="0.3">
      <c r="A1000" s="2" t="s">
        <v>2008</v>
      </c>
      <c r="B1000" s="5">
        <v>45699</v>
      </c>
      <c r="C1000" s="2" t="s">
        <v>2009</v>
      </c>
      <c r="D1000" s="2" t="s">
        <v>53</v>
      </c>
      <c r="E1000" s="2" t="s">
        <v>141</v>
      </c>
      <c r="F1000" s="2" t="s">
        <v>14</v>
      </c>
      <c r="G1000" s="2" t="s">
        <v>15</v>
      </c>
      <c r="H1000" s="2">
        <v>48</v>
      </c>
      <c r="I1000" s="7">
        <v>108.02</v>
      </c>
      <c r="J1000" s="2">
        <v>10</v>
      </c>
      <c r="K1000" s="7">
        <v>4666.46</v>
      </c>
      <c r="L1000" s="2" t="s">
        <v>31</v>
      </c>
      <c r="M1000" s="2" t="s">
        <v>2364</v>
      </c>
    </row>
    <row r="1001" spans="1:13" x14ac:dyDescent="0.3">
      <c r="A1001" s="2" t="s">
        <v>2005</v>
      </c>
      <c r="B1001" s="5">
        <v>45807</v>
      </c>
      <c r="C1001" s="2" t="s">
        <v>2006</v>
      </c>
      <c r="D1001" s="2" t="s">
        <v>24</v>
      </c>
      <c r="E1001" s="2" t="s">
        <v>104</v>
      </c>
      <c r="F1001" s="2" t="s">
        <v>14</v>
      </c>
      <c r="G1001" s="2" t="s">
        <v>15</v>
      </c>
      <c r="H1001" s="2">
        <v>50</v>
      </c>
      <c r="I1001" s="7">
        <v>109.67</v>
      </c>
      <c r="J1001" s="2">
        <v>0</v>
      </c>
      <c r="K1001" s="7">
        <v>5483.5</v>
      </c>
      <c r="L1001" s="2" t="s">
        <v>31</v>
      </c>
      <c r="M1001" s="2" t="s">
        <v>2365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80564-760D-4469-8696-C9C1461D0D57}">
  <dimension ref="A1:K25"/>
  <sheetViews>
    <sheetView workbookViewId="0">
      <selection activeCell="I17" sqref="I17"/>
    </sheetView>
  </sheetViews>
  <sheetFormatPr defaultRowHeight="15.6" x14ac:dyDescent="0.3"/>
  <cols>
    <col min="1" max="1" width="22.19921875" bestFit="1" customWidth="1"/>
    <col min="2" max="2" width="15.19921875" bestFit="1" customWidth="1"/>
    <col min="3" max="3" width="7.8984375" bestFit="1" customWidth="1"/>
    <col min="4" max="5" width="10.8984375" bestFit="1" customWidth="1"/>
    <col min="6" max="6" width="14.296875" bestFit="1" customWidth="1"/>
    <col min="7" max="7" width="16.09765625" bestFit="1" customWidth="1"/>
    <col min="8" max="8" width="12.19921875" bestFit="1" customWidth="1"/>
    <col min="9" max="9" width="20.8984375" bestFit="1" customWidth="1"/>
    <col min="10" max="10" width="19" bestFit="1" customWidth="1"/>
    <col min="11" max="11" width="14.59765625" bestFit="1" customWidth="1"/>
    <col min="12" max="16" width="6.796875" bestFit="1" customWidth="1"/>
    <col min="17" max="17" width="9.69921875" bestFit="1" customWidth="1"/>
    <col min="18" max="27" width="6.796875" bestFit="1" customWidth="1"/>
    <col min="28" max="28" width="9.69921875" bestFit="1" customWidth="1"/>
    <col min="29" max="29" width="10.8984375" bestFit="1" customWidth="1"/>
  </cols>
  <sheetData>
    <row r="1" spans="1:11" x14ac:dyDescent="0.3">
      <c r="A1" s="24" t="s">
        <v>2389</v>
      </c>
    </row>
    <row r="2" spans="1:11" x14ac:dyDescent="0.3">
      <c r="F2" s="11" t="s">
        <v>2391</v>
      </c>
    </row>
    <row r="3" spans="1:11" x14ac:dyDescent="0.3">
      <c r="A3" s="16" t="s">
        <v>2367</v>
      </c>
      <c r="B3" t="s">
        <v>2369</v>
      </c>
      <c r="F3" s="16" t="s">
        <v>2367</v>
      </c>
      <c r="G3" t="s">
        <v>2370</v>
      </c>
    </row>
    <row r="4" spans="1:11" x14ac:dyDescent="0.3">
      <c r="A4" s="17" t="s">
        <v>16</v>
      </c>
      <c r="B4" s="8">
        <v>1690028.9299999997</v>
      </c>
      <c r="F4" s="17" t="s">
        <v>27</v>
      </c>
      <c r="G4">
        <v>186</v>
      </c>
    </row>
    <row r="5" spans="1:11" x14ac:dyDescent="0.3">
      <c r="A5" s="17" t="s">
        <v>24</v>
      </c>
      <c r="B5" s="8">
        <v>1737386.1900000002</v>
      </c>
      <c r="F5" s="17" t="s">
        <v>49</v>
      </c>
      <c r="G5">
        <v>206</v>
      </c>
    </row>
    <row r="6" spans="1:11" x14ac:dyDescent="0.3">
      <c r="A6" s="17" t="s">
        <v>53</v>
      </c>
      <c r="B6" s="8">
        <v>1299189.919999999</v>
      </c>
      <c r="F6" s="17" t="s">
        <v>31</v>
      </c>
      <c r="G6">
        <v>217</v>
      </c>
    </row>
    <row r="7" spans="1:11" x14ac:dyDescent="0.3">
      <c r="A7" s="17" t="s">
        <v>46</v>
      </c>
      <c r="B7" s="8">
        <v>1437731.2800000003</v>
      </c>
      <c r="F7" s="17" t="s">
        <v>69</v>
      </c>
      <c r="G7">
        <v>205</v>
      </c>
    </row>
    <row r="8" spans="1:11" x14ac:dyDescent="0.3">
      <c r="A8" s="17" t="s">
        <v>2368</v>
      </c>
      <c r="B8" s="8">
        <v>6164336.3199999994</v>
      </c>
      <c r="F8" s="17" t="s">
        <v>2347</v>
      </c>
      <c r="G8">
        <v>186</v>
      </c>
      <c r="I8" s="19"/>
      <c r="J8" s="19"/>
    </row>
    <row r="9" spans="1:11" x14ac:dyDescent="0.3">
      <c r="F9" s="17" t="s">
        <v>2368</v>
      </c>
      <c r="G9">
        <v>1000</v>
      </c>
      <c r="I9" s="25" t="s">
        <v>2393</v>
      </c>
      <c r="J9" s="25"/>
    </row>
    <row r="10" spans="1:11" x14ac:dyDescent="0.3">
      <c r="A10" s="24" t="s">
        <v>2390</v>
      </c>
      <c r="H10" s="16" t="s">
        <v>2367</v>
      </c>
      <c r="I10" t="s">
        <v>2387</v>
      </c>
      <c r="J10" t="s">
        <v>2369</v>
      </c>
      <c r="K10" t="s">
        <v>2394</v>
      </c>
    </row>
    <row r="11" spans="1:11" x14ac:dyDescent="0.3">
      <c r="A11" s="16" t="s">
        <v>2386</v>
      </c>
      <c r="B11" s="16" t="s">
        <v>2385</v>
      </c>
      <c r="F11" s="25" t="s">
        <v>2392</v>
      </c>
      <c r="G11" s="25"/>
      <c r="H11" s="17" t="s">
        <v>23</v>
      </c>
      <c r="I11" s="18">
        <v>6.651651651651652</v>
      </c>
      <c r="J11" s="18">
        <v>372188.7099999999</v>
      </c>
      <c r="K11" s="18">
        <v>8514</v>
      </c>
    </row>
    <row r="12" spans="1:11" x14ac:dyDescent="0.3">
      <c r="A12" s="16" t="s">
        <v>2367</v>
      </c>
      <c r="B12" t="s">
        <v>2371</v>
      </c>
      <c r="C12" t="s">
        <v>2372</v>
      </c>
      <c r="D12" t="s">
        <v>2368</v>
      </c>
      <c r="H12" s="17" t="s">
        <v>35</v>
      </c>
      <c r="I12" s="18">
        <v>6.5294117647058822</v>
      </c>
      <c r="J12" s="18">
        <v>4192529.43</v>
      </c>
      <c r="K12" s="18">
        <v>9012</v>
      </c>
    </row>
    <row r="13" spans="1:11" x14ac:dyDescent="0.3">
      <c r="A13" s="17" t="s">
        <v>2376</v>
      </c>
      <c r="B13" s="8">
        <v>6154.8240000000005</v>
      </c>
      <c r="C13" s="8">
        <v>5813.3202702702702</v>
      </c>
      <c r="D13" s="8">
        <v>6000.7308536585369</v>
      </c>
      <c r="F13" s="16" t="s">
        <v>2367</v>
      </c>
      <c r="G13" t="s">
        <v>2369</v>
      </c>
      <c r="H13" s="17" t="s">
        <v>73</v>
      </c>
      <c r="I13" s="18">
        <v>6.384615384615385</v>
      </c>
      <c r="J13" s="18">
        <v>1329983.9200000002</v>
      </c>
      <c r="K13" s="18">
        <v>3011</v>
      </c>
    </row>
    <row r="14" spans="1:11" x14ac:dyDescent="0.3">
      <c r="A14" s="17" t="s">
        <v>2377</v>
      </c>
      <c r="B14" s="8">
        <v>6877.0238888888889</v>
      </c>
      <c r="C14" s="8">
        <v>4681.2213513513516</v>
      </c>
      <c r="D14" s="8">
        <v>5764.0828767123276</v>
      </c>
      <c r="F14" s="17" t="s">
        <v>36</v>
      </c>
      <c r="G14" s="8">
        <v>325053.24000000005</v>
      </c>
      <c r="H14" s="17" t="s">
        <v>15</v>
      </c>
      <c r="I14" s="18">
        <v>7.1573604060913709</v>
      </c>
      <c r="J14" s="18">
        <v>269634.26000000007</v>
      </c>
      <c r="K14" s="18">
        <v>5044</v>
      </c>
    </row>
    <row r="15" spans="1:11" x14ac:dyDescent="0.3">
      <c r="A15" s="17" t="s">
        <v>2378</v>
      </c>
      <c r="B15" s="8">
        <v>7451.53</v>
      </c>
      <c r="C15" s="8">
        <v>4795.8448936170207</v>
      </c>
      <c r="D15" s="8">
        <v>6137.6647368421063</v>
      </c>
      <c r="F15" s="17" t="s">
        <v>104</v>
      </c>
      <c r="G15" s="8">
        <v>384413.49000000011</v>
      </c>
      <c r="H15" s="17" t="s">
        <v>2368</v>
      </c>
      <c r="I15">
        <v>6.6749999999999998</v>
      </c>
      <c r="J15" s="8">
        <v>6164336.3199999975</v>
      </c>
      <c r="K15">
        <v>25581</v>
      </c>
    </row>
    <row r="16" spans="1:11" x14ac:dyDescent="0.3">
      <c r="A16" s="17" t="s">
        <v>2379</v>
      </c>
      <c r="B16" s="8">
        <v>9378.9855319148955</v>
      </c>
      <c r="C16" s="8">
        <v>5899.288333333333</v>
      </c>
      <c r="D16" s="8">
        <v>7869.7192771084347</v>
      </c>
      <c r="F16" s="17" t="s">
        <v>59</v>
      </c>
      <c r="G16" s="8">
        <v>427955.59000000008</v>
      </c>
    </row>
    <row r="17" spans="1:7" x14ac:dyDescent="0.3">
      <c r="A17" s="17" t="s">
        <v>2380</v>
      </c>
      <c r="B17" s="8">
        <v>6819.4513043478264</v>
      </c>
      <c r="C17" s="8">
        <v>5657.9872972972989</v>
      </c>
      <c r="D17" s="8">
        <v>6301.6902409638551</v>
      </c>
      <c r="F17" s="17" t="s">
        <v>41</v>
      </c>
      <c r="G17" s="8">
        <v>402437.45999999996</v>
      </c>
    </row>
    <row r="18" spans="1:7" x14ac:dyDescent="0.3">
      <c r="A18" s="17" t="s">
        <v>2381</v>
      </c>
      <c r="B18" s="8">
        <v>7429.8423913043507</v>
      </c>
      <c r="C18" s="8">
        <v>4289.2</v>
      </c>
      <c r="D18" s="8">
        <v>5988.8417647058823</v>
      </c>
      <c r="F18" s="17" t="s">
        <v>134</v>
      </c>
      <c r="G18" s="8">
        <v>309740.68999999994</v>
      </c>
    </row>
    <row r="19" spans="1:7" x14ac:dyDescent="0.3">
      <c r="A19" s="17" t="s">
        <v>2382</v>
      </c>
      <c r="B19" s="8">
        <v>6023.8157446808518</v>
      </c>
      <c r="C19" s="8">
        <v>7547.59</v>
      </c>
      <c r="D19" s="8">
        <v>6684.7298795180732</v>
      </c>
      <c r="F19" s="17" t="s">
        <v>74</v>
      </c>
      <c r="G19" s="8">
        <v>443379.29</v>
      </c>
    </row>
    <row r="20" spans="1:7" x14ac:dyDescent="0.3">
      <c r="A20" s="17" t="s">
        <v>2383</v>
      </c>
      <c r="B20" s="8">
        <v>3787.4442499999991</v>
      </c>
      <c r="C20" s="8">
        <v>5674.0076086956524</v>
      </c>
      <c r="D20" s="8">
        <v>4796.5362790697673</v>
      </c>
      <c r="F20" s="17" t="s">
        <v>17</v>
      </c>
      <c r="G20" s="8">
        <v>423521.07000000024</v>
      </c>
    </row>
    <row r="21" spans="1:7" x14ac:dyDescent="0.3">
      <c r="A21" s="17" t="s">
        <v>2384</v>
      </c>
      <c r="B21" s="8">
        <v>6492.1595238095251</v>
      </c>
      <c r="C21" s="8">
        <v>6808.0030769230771</v>
      </c>
      <c r="D21" s="8">
        <v>6644.2323456790118</v>
      </c>
      <c r="F21" s="17" t="s">
        <v>124</v>
      </c>
      <c r="G21" s="8">
        <v>343612.6</v>
      </c>
    </row>
    <row r="22" spans="1:7" x14ac:dyDescent="0.3">
      <c r="A22" s="17" t="s">
        <v>2373</v>
      </c>
      <c r="B22" s="8">
        <v>6161.3752941176472</v>
      </c>
      <c r="C22" s="8">
        <v>13250.24375</v>
      </c>
      <c r="D22" s="8">
        <v>7122.5777966101705</v>
      </c>
      <c r="F22" s="17" t="s">
        <v>83</v>
      </c>
      <c r="G22" s="8">
        <v>337754.49999999994</v>
      </c>
    </row>
    <row r="23" spans="1:7" x14ac:dyDescent="0.3">
      <c r="A23" s="17" t="s">
        <v>2374</v>
      </c>
      <c r="B23" s="8">
        <v>3689.7707894736827</v>
      </c>
      <c r="C23" s="8"/>
      <c r="D23" s="8">
        <v>3689.7707894736827</v>
      </c>
      <c r="F23" s="17" t="s">
        <v>78</v>
      </c>
      <c r="G23" s="8">
        <v>311845.90000000002</v>
      </c>
    </row>
    <row r="24" spans="1:7" x14ac:dyDescent="0.3">
      <c r="A24" s="17" t="s">
        <v>2375</v>
      </c>
      <c r="B24" s="8">
        <v>6087.3672916666683</v>
      </c>
      <c r="C24" s="8"/>
      <c r="D24" s="8">
        <v>6087.3672916666683</v>
      </c>
      <c r="F24" s="17" t="s">
        <v>2368</v>
      </c>
      <c r="G24" s="8">
        <v>3709713.8300000005</v>
      </c>
    </row>
    <row r="25" spans="1:7" x14ac:dyDescent="0.3">
      <c r="A25" s="17" t="s">
        <v>2368</v>
      </c>
      <c r="B25" s="8">
        <v>6427.745468164786</v>
      </c>
      <c r="C25" s="8">
        <v>5820.257237569057</v>
      </c>
      <c r="D25" s="8">
        <v>6182.3093749999998</v>
      </c>
    </row>
  </sheetData>
  <mergeCells count="2">
    <mergeCell ref="F11:G11"/>
    <mergeCell ref="I9:J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3A4B8-8EFF-4C0E-99B6-2C13A92A421D}">
  <dimension ref="A1"/>
  <sheetViews>
    <sheetView showGridLines="0" zoomScale="90" zoomScaleNormal="90" workbookViewId="0">
      <selection activeCell="Q13" sqref="Q13"/>
    </sheetView>
  </sheetViews>
  <sheetFormatPr defaultRowHeight="15.6"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7661-991B-482B-86B5-302BC557212D}">
  <dimension ref="A1:V32"/>
  <sheetViews>
    <sheetView showGridLines="0" tabSelected="1" zoomScaleNormal="100" workbookViewId="0">
      <selection activeCell="T13" sqref="T13"/>
    </sheetView>
  </sheetViews>
  <sheetFormatPr defaultRowHeight="15.6" x14ac:dyDescent="0.3"/>
  <sheetData>
    <row r="1" spans="1:22" ht="15.6" customHeight="1" x14ac:dyDescent="0.3">
      <c r="A1" s="26" t="s">
        <v>2388</v>
      </c>
      <c r="B1" s="26"/>
      <c r="C1" s="26"/>
      <c r="D1" s="26"/>
      <c r="E1" s="26"/>
      <c r="F1" s="26"/>
      <c r="G1" s="26"/>
      <c r="H1" s="26"/>
      <c r="I1" s="26"/>
      <c r="J1" s="26"/>
      <c r="K1" s="26"/>
      <c r="L1" s="26"/>
      <c r="M1" s="26"/>
      <c r="N1" s="26"/>
      <c r="O1" s="26"/>
      <c r="P1" s="26"/>
      <c r="Q1" s="26"/>
      <c r="R1" s="26"/>
      <c r="S1" s="26"/>
      <c r="T1" s="26"/>
      <c r="U1" s="26"/>
      <c r="V1" s="26"/>
    </row>
    <row r="2" spans="1:22" ht="15.6" customHeight="1" x14ac:dyDescent="0.3">
      <c r="A2" s="26"/>
      <c r="B2" s="26"/>
      <c r="C2" s="26"/>
      <c r="D2" s="26"/>
      <c r="E2" s="26"/>
      <c r="F2" s="26"/>
      <c r="G2" s="26"/>
      <c r="H2" s="26"/>
      <c r="I2" s="26"/>
      <c r="J2" s="26"/>
      <c r="K2" s="26"/>
      <c r="L2" s="26"/>
      <c r="M2" s="26"/>
      <c r="N2" s="26"/>
      <c r="O2" s="26"/>
      <c r="P2" s="26"/>
      <c r="Q2" s="26"/>
      <c r="R2" s="26"/>
      <c r="S2" s="26"/>
      <c r="T2" s="26"/>
      <c r="U2" s="26"/>
      <c r="V2" s="26"/>
    </row>
    <row r="3" spans="1:22" x14ac:dyDescent="0.3">
      <c r="A3" s="23"/>
      <c r="B3" s="23"/>
      <c r="C3" s="23"/>
      <c r="D3" s="23"/>
      <c r="E3" s="23"/>
      <c r="F3" s="23"/>
      <c r="G3" s="23"/>
      <c r="H3" s="23"/>
      <c r="I3" s="23"/>
      <c r="J3" s="23"/>
      <c r="K3" s="23"/>
      <c r="L3" s="23"/>
      <c r="M3" s="23"/>
      <c r="N3" s="23"/>
      <c r="O3" s="23"/>
      <c r="P3" s="23"/>
      <c r="Q3" s="23"/>
      <c r="R3" s="23"/>
      <c r="S3" s="22"/>
      <c r="T3" s="22"/>
      <c r="U3" s="22"/>
      <c r="V3" s="22"/>
    </row>
    <row r="4" spans="1:22" x14ac:dyDescent="0.3">
      <c r="A4" s="23"/>
      <c r="B4" s="23"/>
      <c r="C4" s="23"/>
      <c r="D4" s="23"/>
      <c r="E4" s="23"/>
      <c r="F4" s="23"/>
      <c r="G4" s="23"/>
      <c r="H4" s="23"/>
      <c r="I4" s="23"/>
      <c r="J4" s="23"/>
      <c r="K4" s="23"/>
      <c r="L4" s="23"/>
      <c r="M4" s="23"/>
      <c r="N4" s="23"/>
      <c r="O4" s="23"/>
      <c r="P4" s="23"/>
      <c r="Q4" s="23"/>
      <c r="R4" s="23"/>
      <c r="S4" s="22"/>
      <c r="T4" s="22"/>
      <c r="U4" s="22"/>
      <c r="V4" s="22"/>
    </row>
    <row r="5" spans="1:22" x14ac:dyDescent="0.3">
      <c r="A5" s="23"/>
      <c r="B5" s="23"/>
      <c r="C5" s="23"/>
      <c r="D5" s="23"/>
      <c r="E5" s="23"/>
      <c r="F5" s="23"/>
      <c r="G5" s="23"/>
      <c r="H5" s="23"/>
      <c r="I5" s="23"/>
      <c r="J5" s="23"/>
      <c r="K5" s="23"/>
      <c r="L5" s="23"/>
      <c r="M5" s="23"/>
      <c r="N5" s="23"/>
      <c r="O5" s="23"/>
      <c r="P5" s="23"/>
      <c r="Q5" s="23"/>
      <c r="R5" s="23"/>
      <c r="S5" s="22"/>
      <c r="T5" s="22"/>
      <c r="U5" s="22"/>
      <c r="V5" s="22"/>
    </row>
    <row r="6" spans="1:22" x14ac:dyDescent="0.3">
      <c r="A6" s="23"/>
      <c r="B6" s="23"/>
      <c r="C6" s="23"/>
      <c r="D6" s="23"/>
      <c r="E6" s="23"/>
      <c r="F6" s="23"/>
      <c r="G6" s="23"/>
      <c r="H6" s="23"/>
      <c r="I6" s="23"/>
      <c r="J6" s="23"/>
      <c r="K6" s="23"/>
      <c r="L6" s="23"/>
      <c r="M6" s="23"/>
      <c r="N6" s="23"/>
      <c r="O6" s="23"/>
      <c r="P6" s="23"/>
      <c r="Q6" s="23"/>
      <c r="R6" s="23"/>
      <c r="S6" s="22"/>
      <c r="T6" s="22"/>
      <c r="U6" s="22"/>
      <c r="V6" s="22"/>
    </row>
    <row r="7" spans="1:22" x14ac:dyDescent="0.3">
      <c r="A7" s="23"/>
      <c r="B7" s="23"/>
      <c r="C7" s="23"/>
      <c r="D7" s="23"/>
      <c r="E7" s="23"/>
      <c r="F7" s="23"/>
      <c r="G7" s="23"/>
      <c r="H7" s="23"/>
      <c r="I7" s="23"/>
      <c r="J7" s="23"/>
      <c r="K7" s="23"/>
      <c r="L7" s="23"/>
      <c r="M7" s="23"/>
      <c r="N7" s="23"/>
      <c r="O7" s="23"/>
      <c r="P7" s="23"/>
      <c r="Q7" s="23"/>
      <c r="R7" s="23"/>
      <c r="S7" s="22"/>
      <c r="T7" s="22"/>
      <c r="U7" s="22"/>
      <c r="V7" s="22"/>
    </row>
    <row r="8" spans="1:22" x14ac:dyDescent="0.3">
      <c r="A8" s="23"/>
      <c r="B8" s="23"/>
      <c r="C8" s="23"/>
      <c r="D8" s="23"/>
      <c r="E8" s="23"/>
      <c r="F8" s="23"/>
      <c r="G8" s="23"/>
      <c r="H8" s="23"/>
      <c r="I8" s="23"/>
      <c r="J8" s="23"/>
      <c r="K8" s="23"/>
      <c r="L8" s="23"/>
      <c r="M8" s="23"/>
      <c r="N8" s="23"/>
      <c r="O8" s="23"/>
      <c r="P8" s="23"/>
      <c r="Q8" s="23"/>
      <c r="R8" s="23"/>
      <c r="S8" s="22"/>
      <c r="T8" s="22"/>
      <c r="U8" s="22"/>
      <c r="V8" s="22"/>
    </row>
    <row r="9" spans="1:22" x14ac:dyDescent="0.3">
      <c r="A9" s="23"/>
      <c r="B9" s="23"/>
      <c r="C9" s="23"/>
      <c r="D9" s="23"/>
      <c r="E9" s="23"/>
      <c r="F9" s="23"/>
      <c r="G9" s="23"/>
      <c r="H9" s="23"/>
      <c r="I9" s="23"/>
      <c r="J9" s="23"/>
      <c r="K9" s="23"/>
      <c r="L9" s="23"/>
      <c r="M9" s="23"/>
      <c r="N9" s="23"/>
      <c r="O9" s="23"/>
      <c r="P9" s="23"/>
      <c r="Q9" s="23"/>
      <c r="R9" s="23"/>
      <c r="S9" s="22"/>
      <c r="T9" s="22"/>
      <c r="U9" s="22"/>
      <c r="V9" s="22"/>
    </row>
    <row r="10" spans="1:22" x14ac:dyDescent="0.3">
      <c r="A10" s="23"/>
      <c r="B10" s="23"/>
      <c r="C10" s="23"/>
      <c r="D10" s="23"/>
      <c r="E10" s="23"/>
      <c r="F10" s="23"/>
      <c r="G10" s="23"/>
      <c r="H10" s="23"/>
      <c r="I10" s="23"/>
      <c r="J10" s="23"/>
      <c r="K10" s="23"/>
      <c r="L10" s="23"/>
      <c r="M10" s="23"/>
      <c r="N10" s="23"/>
      <c r="O10" s="23"/>
      <c r="P10" s="23"/>
      <c r="Q10" s="23"/>
      <c r="R10" s="23"/>
      <c r="S10" s="22"/>
      <c r="T10" s="22"/>
      <c r="U10" s="22"/>
      <c r="V10" s="22"/>
    </row>
    <row r="11" spans="1:22" x14ac:dyDescent="0.3">
      <c r="A11" s="23"/>
      <c r="B11" s="23"/>
      <c r="C11" s="23"/>
      <c r="D11" s="23"/>
      <c r="E11" s="23"/>
      <c r="F11" s="23"/>
      <c r="G11" s="23"/>
      <c r="H11" s="23"/>
      <c r="I11" s="23"/>
      <c r="J11" s="23"/>
      <c r="K11" s="23"/>
      <c r="L11" s="23"/>
      <c r="M11" s="23"/>
      <c r="N11" s="23"/>
      <c r="O11" s="23"/>
      <c r="P11" s="23"/>
      <c r="Q11" s="23"/>
      <c r="R11" s="23"/>
      <c r="S11" s="22"/>
      <c r="T11" s="22"/>
      <c r="U11" s="22"/>
      <c r="V11" s="22"/>
    </row>
    <row r="12" spans="1:22" x14ac:dyDescent="0.3">
      <c r="A12" s="23"/>
      <c r="B12" s="23"/>
      <c r="C12" s="23"/>
      <c r="D12" s="23"/>
      <c r="E12" s="23"/>
      <c r="F12" s="23"/>
      <c r="G12" s="23"/>
      <c r="H12" s="23"/>
      <c r="I12" s="23"/>
      <c r="J12" s="23"/>
      <c r="K12" s="23"/>
      <c r="L12" s="23"/>
      <c r="M12" s="23"/>
      <c r="N12" s="23"/>
      <c r="O12" s="23"/>
      <c r="P12" s="23"/>
      <c r="Q12" s="23"/>
      <c r="R12" s="23"/>
      <c r="S12" s="22"/>
      <c r="T12" s="22"/>
      <c r="U12" s="22"/>
      <c r="V12" s="22"/>
    </row>
    <row r="13" spans="1:22" x14ac:dyDescent="0.3">
      <c r="A13" s="23"/>
      <c r="B13" s="23"/>
      <c r="C13" s="23"/>
      <c r="D13" s="23"/>
      <c r="E13" s="23"/>
      <c r="F13" s="23"/>
      <c r="G13" s="23"/>
      <c r="H13" s="23"/>
      <c r="I13" s="23"/>
      <c r="J13" s="23"/>
      <c r="K13" s="23"/>
      <c r="L13" s="23"/>
      <c r="M13" s="23"/>
      <c r="N13" s="23"/>
      <c r="O13" s="23"/>
      <c r="P13" s="23"/>
      <c r="Q13" s="23"/>
      <c r="R13" s="23"/>
      <c r="S13" s="22"/>
      <c r="T13" s="22"/>
      <c r="U13" s="22"/>
      <c r="V13" s="22"/>
    </row>
    <row r="14" spans="1:22" x14ac:dyDescent="0.3">
      <c r="A14" s="23"/>
      <c r="B14" s="23"/>
      <c r="C14" s="23"/>
      <c r="D14" s="23"/>
      <c r="E14" s="23"/>
      <c r="F14" s="23"/>
      <c r="G14" s="23"/>
      <c r="H14" s="23"/>
      <c r="I14" s="23"/>
      <c r="J14" s="23"/>
      <c r="K14" s="23"/>
      <c r="L14" s="23"/>
      <c r="M14" s="23"/>
      <c r="N14" s="23"/>
      <c r="O14" s="23"/>
      <c r="P14" s="23"/>
      <c r="Q14" s="23"/>
      <c r="R14" s="23"/>
      <c r="S14" s="22"/>
      <c r="T14" s="22"/>
      <c r="U14" s="22"/>
      <c r="V14" s="22"/>
    </row>
    <row r="15" spans="1:22" x14ac:dyDescent="0.3">
      <c r="A15" s="23"/>
      <c r="B15" s="23"/>
      <c r="C15" s="23"/>
      <c r="D15" s="23"/>
      <c r="E15" s="23"/>
      <c r="F15" s="23"/>
      <c r="G15" s="23"/>
      <c r="H15" s="23"/>
      <c r="I15" s="23"/>
      <c r="J15" s="23"/>
      <c r="K15" s="23"/>
      <c r="L15" s="23"/>
      <c r="M15" s="23"/>
      <c r="N15" s="23"/>
      <c r="O15" s="23"/>
      <c r="P15" s="23"/>
      <c r="Q15" s="23"/>
      <c r="R15" s="23"/>
      <c r="S15" s="22"/>
      <c r="T15" s="22"/>
      <c r="U15" s="22"/>
      <c r="V15" s="22"/>
    </row>
    <row r="16" spans="1:22" x14ac:dyDescent="0.3">
      <c r="A16" s="23"/>
      <c r="B16" s="23"/>
      <c r="C16" s="23"/>
      <c r="D16" s="23"/>
      <c r="E16" s="23"/>
      <c r="F16" s="23"/>
      <c r="G16" s="23"/>
      <c r="H16" s="23"/>
      <c r="I16" s="23"/>
      <c r="J16" s="23"/>
      <c r="K16" s="23"/>
      <c r="L16" s="23"/>
      <c r="M16" s="23"/>
      <c r="N16" s="23"/>
      <c r="O16" s="23"/>
      <c r="P16" s="23"/>
      <c r="Q16" s="23"/>
      <c r="R16" s="23"/>
      <c r="S16" s="22"/>
      <c r="T16" s="22"/>
      <c r="U16" s="22"/>
      <c r="V16" s="22"/>
    </row>
    <row r="17" spans="1:22" x14ac:dyDescent="0.3">
      <c r="A17" s="23"/>
      <c r="B17" s="23"/>
      <c r="C17" s="23"/>
      <c r="D17" s="23"/>
      <c r="E17" s="23"/>
      <c r="F17" s="23"/>
      <c r="G17" s="23"/>
      <c r="H17" s="23"/>
      <c r="I17" s="23"/>
      <c r="J17" s="23"/>
      <c r="K17" s="23"/>
      <c r="L17" s="23"/>
      <c r="M17" s="23"/>
      <c r="N17" s="23"/>
      <c r="O17" s="23"/>
      <c r="P17" s="23"/>
      <c r="Q17" s="23"/>
      <c r="R17" s="23"/>
      <c r="S17" s="22"/>
      <c r="T17" s="22"/>
      <c r="U17" s="22"/>
      <c r="V17" s="22"/>
    </row>
    <row r="18" spans="1:22" x14ac:dyDescent="0.3">
      <c r="A18" s="23"/>
      <c r="B18" s="23"/>
      <c r="C18" s="23"/>
      <c r="D18" s="23"/>
      <c r="E18" s="23"/>
      <c r="F18" s="23"/>
      <c r="G18" s="23"/>
      <c r="H18" s="23"/>
      <c r="I18" s="23"/>
      <c r="J18" s="23"/>
      <c r="K18" s="23"/>
      <c r="L18" s="23"/>
      <c r="M18" s="23"/>
      <c r="N18" s="23"/>
      <c r="O18" s="23"/>
      <c r="P18" s="23"/>
      <c r="Q18" s="23"/>
      <c r="R18" s="23"/>
      <c r="S18" s="22"/>
      <c r="T18" s="22"/>
      <c r="U18" s="22"/>
      <c r="V18" s="22"/>
    </row>
    <row r="19" spans="1:22" x14ac:dyDescent="0.3">
      <c r="A19" s="23"/>
      <c r="B19" s="23"/>
      <c r="C19" s="23"/>
      <c r="D19" s="23"/>
      <c r="E19" s="23"/>
      <c r="F19" s="23"/>
      <c r="G19" s="23"/>
      <c r="H19" s="23"/>
      <c r="I19" s="23"/>
      <c r="J19" s="23"/>
      <c r="K19" s="23"/>
      <c r="L19" s="23"/>
      <c r="M19" s="23"/>
      <c r="N19" s="23"/>
      <c r="O19" s="23"/>
      <c r="P19" s="23"/>
      <c r="Q19" s="23"/>
      <c r="R19" s="23"/>
      <c r="S19" s="22"/>
      <c r="T19" s="22"/>
      <c r="U19" s="22"/>
      <c r="V19" s="22"/>
    </row>
    <row r="20" spans="1:22" x14ac:dyDescent="0.3">
      <c r="A20" s="23"/>
      <c r="B20" s="23"/>
      <c r="C20" s="23"/>
      <c r="D20" s="23"/>
      <c r="E20" s="23"/>
      <c r="F20" s="23"/>
      <c r="G20" s="23"/>
      <c r="H20" s="23"/>
      <c r="I20" s="23"/>
      <c r="J20" s="23"/>
      <c r="K20" s="23"/>
      <c r="L20" s="23"/>
      <c r="M20" s="23"/>
      <c r="N20" s="23"/>
      <c r="O20" s="23"/>
      <c r="P20" s="23"/>
      <c r="Q20" s="23"/>
      <c r="R20" s="23"/>
      <c r="S20" s="22"/>
      <c r="T20" s="22"/>
      <c r="U20" s="22"/>
      <c r="V20" s="22"/>
    </row>
    <row r="21" spans="1:22" x14ac:dyDescent="0.3">
      <c r="A21" s="23"/>
      <c r="B21" s="23"/>
      <c r="C21" s="23"/>
      <c r="D21" s="23"/>
      <c r="E21" s="23"/>
      <c r="F21" s="23"/>
      <c r="G21" s="23"/>
      <c r="H21" s="23"/>
      <c r="I21" s="23"/>
      <c r="J21" s="23"/>
      <c r="K21" s="23"/>
      <c r="L21" s="23"/>
      <c r="M21" s="23"/>
      <c r="N21" s="23"/>
      <c r="O21" s="23"/>
      <c r="P21" s="23"/>
      <c r="Q21" s="23"/>
      <c r="R21" s="23"/>
      <c r="S21" s="22"/>
      <c r="T21" s="22"/>
      <c r="U21" s="22"/>
      <c r="V21" s="22"/>
    </row>
    <row r="22" spans="1:22" x14ac:dyDescent="0.3">
      <c r="A22" s="23"/>
      <c r="B22" s="23"/>
      <c r="C22" s="23"/>
      <c r="D22" s="23"/>
      <c r="E22" s="23"/>
      <c r="F22" s="23"/>
      <c r="G22" s="23"/>
      <c r="H22" s="23"/>
      <c r="I22" s="23"/>
      <c r="J22" s="23"/>
      <c r="K22" s="23"/>
      <c r="L22" s="23"/>
      <c r="M22" s="23"/>
      <c r="N22" s="23"/>
      <c r="O22" s="23"/>
      <c r="P22" s="23"/>
      <c r="Q22" s="23"/>
      <c r="R22" s="23"/>
      <c r="S22" s="22"/>
      <c r="T22" s="22"/>
      <c r="U22" s="22"/>
      <c r="V22" s="22"/>
    </row>
    <row r="23" spans="1:22" x14ac:dyDescent="0.3">
      <c r="A23" s="23"/>
      <c r="B23" s="23"/>
      <c r="C23" s="23"/>
      <c r="D23" s="23"/>
      <c r="E23" s="23"/>
      <c r="F23" s="23"/>
      <c r="G23" s="23"/>
      <c r="H23" s="23"/>
      <c r="I23" s="23"/>
      <c r="J23" s="23"/>
      <c r="K23" s="23"/>
      <c r="L23" s="23"/>
      <c r="M23" s="23"/>
      <c r="N23" s="23"/>
      <c r="O23" s="23"/>
      <c r="P23" s="23"/>
      <c r="Q23" s="23"/>
      <c r="R23" s="23"/>
      <c r="S23" s="22"/>
      <c r="T23" s="22"/>
      <c r="U23" s="22"/>
      <c r="V23" s="22"/>
    </row>
    <row r="24" spans="1:22" x14ac:dyDescent="0.3">
      <c r="A24" s="23"/>
      <c r="B24" s="23"/>
      <c r="C24" s="23"/>
      <c r="D24" s="23"/>
      <c r="E24" s="23"/>
      <c r="F24" s="23"/>
      <c r="G24" s="23"/>
      <c r="H24" s="23"/>
      <c r="I24" s="23"/>
      <c r="J24" s="23"/>
      <c r="K24" s="23"/>
      <c r="L24" s="23"/>
      <c r="M24" s="23"/>
      <c r="N24" s="23"/>
      <c r="O24" s="23"/>
      <c r="P24" s="23"/>
      <c r="Q24" s="23"/>
      <c r="R24" s="23"/>
      <c r="S24" s="22"/>
      <c r="T24" s="22"/>
      <c r="U24" s="22"/>
      <c r="V24" s="22"/>
    </row>
    <row r="25" spans="1:22" x14ac:dyDescent="0.3">
      <c r="A25" s="23"/>
      <c r="B25" s="23"/>
      <c r="C25" s="23"/>
      <c r="D25" s="23"/>
      <c r="E25" s="23"/>
      <c r="F25" s="23"/>
      <c r="G25" s="23"/>
      <c r="H25" s="23"/>
      <c r="I25" s="23"/>
      <c r="J25" s="23"/>
      <c r="K25" s="23"/>
      <c r="L25" s="23"/>
      <c r="M25" s="23"/>
      <c r="N25" s="23"/>
      <c r="O25" s="23"/>
      <c r="P25" s="23"/>
      <c r="Q25" s="23"/>
      <c r="R25" s="23"/>
      <c r="S25" s="22"/>
      <c r="T25" s="22"/>
      <c r="U25" s="22"/>
      <c r="V25" s="22"/>
    </row>
    <row r="26" spans="1:22" x14ac:dyDescent="0.3">
      <c r="A26" s="22"/>
      <c r="B26" s="22"/>
      <c r="C26" s="22"/>
      <c r="D26" s="22"/>
      <c r="E26" s="22"/>
      <c r="F26" s="22"/>
      <c r="G26" s="22"/>
      <c r="H26" s="22"/>
      <c r="I26" s="22"/>
      <c r="J26" s="22"/>
      <c r="K26" s="22"/>
      <c r="L26" s="22"/>
      <c r="M26" s="22"/>
      <c r="N26" s="22"/>
      <c r="O26" s="22"/>
      <c r="P26" s="22"/>
      <c r="Q26" s="22"/>
      <c r="R26" s="22"/>
      <c r="S26" s="22"/>
      <c r="T26" s="22"/>
      <c r="U26" s="22"/>
      <c r="V26" s="22"/>
    </row>
    <row r="27" spans="1:22" x14ac:dyDescent="0.3">
      <c r="A27" s="22"/>
      <c r="B27" s="22"/>
      <c r="C27" s="22"/>
      <c r="D27" s="22"/>
      <c r="E27" s="22"/>
      <c r="F27" s="22"/>
      <c r="G27" s="22"/>
      <c r="H27" s="22"/>
      <c r="I27" s="22"/>
      <c r="J27" s="22"/>
      <c r="K27" s="22"/>
      <c r="L27" s="22"/>
      <c r="M27" s="22"/>
      <c r="N27" s="22"/>
      <c r="O27" s="22"/>
      <c r="P27" s="22"/>
      <c r="Q27" s="22"/>
      <c r="R27" s="22"/>
      <c r="S27" s="22"/>
      <c r="T27" s="22"/>
      <c r="U27" s="22"/>
      <c r="V27" s="22"/>
    </row>
    <row r="28" spans="1:22" x14ac:dyDescent="0.3">
      <c r="A28" s="22"/>
      <c r="B28" s="22"/>
      <c r="C28" s="22"/>
      <c r="D28" s="22"/>
      <c r="E28" s="22"/>
      <c r="F28" s="22"/>
      <c r="G28" s="22"/>
      <c r="H28" s="22"/>
      <c r="I28" s="22"/>
      <c r="J28" s="22"/>
      <c r="K28" s="22"/>
      <c r="L28" s="22"/>
      <c r="M28" s="22"/>
      <c r="N28" s="22"/>
      <c r="O28" s="22"/>
      <c r="P28" s="22"/>
      <c r="Q28" s="22"/>
      <c r="R28" s="22"/>
      <c r="S28" s="22"/>
      <c r="T28" s="22"/>
      <c r="U28" s="22"/>
      <c r="V28" s="22"/>
    </row>
    <row r="29" spans="1:22" x14ac:dyDescent="0.3">
      <c r="A29" s="22"/>
      <c r="B29" s="22"/>
      <c r="C29" s="22"/>
      <c r="D29" s="22"/>
      <c r="E29" s="22"/>
      <c r="F29" s="22"/>
      <c r="G29" s="22"/>
      <c r="H29" s="22"/>
      <c r="I29" s="22"/>
      <c r="J29" s="22"/>
      <c r="K29" s="22"/>
      <c r="L29" s="22"/>
      <c r="M29" s="22"/>
      <c r="N29" s="22"/>
      <c r="O29" s="22"/>
      <c r="P29" s="22"/>
      <c r="Q29" s="22"/>
      <c r="R29" s="22"/>
      <c r="S29" s="22"/>
      <c r="T29" s="22"/>
      <c r="U29" s="22"/>
      <c r="V29" s="22"/>
    </row>
    <row r="30" spans="1:22" x14ac:dyDescent="0.3">
      <c r="A30" s="22"/>
      <c r="B30" s="22"/>
      <c r="C30" s="22"/>
      <c r="D30" s="22"/>
      <c r="E30" s="22"/>
      <c r="F30" s="22"/>
      <c r="G30" s="22"/>
      <c r="H30" s="22"/>
      <c r="I30" s="22"/>
      <c r="J30" s="22"/>
      <c r="K30" s="22"/>
      <c r="L30" s="22"/>
      <c r="M30" s="22"/>
      <c r="N30" s="22"/>
      <c r="O30" s="22"/>
      <c r="P30" s="22"/>
      <c r="Q30" s="22"/>
      <c r="R30" s="22"/>
      <c r="S30" s="22"/>
      <c r="T30" s="22"/>
      <c r="U30" s="22"/>
      <c r="V30" s="22"/>
    </row>
    <row r="31" spans="1:22" x14ac:dyDescent="0.3">
      <c r="A31" s="22"/>
      <c r="B31" s="22"/>
      <c r="C31" s="22"/>
      <c r="D31" s="22"/>
      <c r="E31" s="22"/>
      <c r="F31" s="22"/>
      <c r="G31" s="22"/>
      <c r="H31" s="22"/>
      <c r="I31" s="22"/>
      <c r="J31" s="22"/>
      <c r="K31" s="22"/>
      <c r="L31" s="22"/>
      <c r="M31" s="22"/>
      <c r="N31" s="22"/>
      <c r="O31" s="22"/>
      <c r="P31" s="22"/>
      <c r="Q31" s="22"/>
      <c r="R31" s="22"/>
      <c r="S31" s="22"/>
      <c r="T31" s="22"/>
      <c r="U31" s="22"/>
      <c r="V31" s="22"/>
    </row>
    <row r="32" spans="1:22" x14ac:dyDescent="0.3">
      <c r="A32" s="22"/>
      <c r="B32" s="22"/>
      <c r="C32" s="22"/>
      <c r="D32" s="22"/>
      <c r="E32" s="22"/>
      <c r="F32" s="22"/>
      <c r="G32" s="22"/>
      <c r="H32" s="22"/>
      <c r="I32" s="22"/>
      <c r="J32" s="22"/>
      <c r="K32" s="22"/>
      <c r="L32" s="22"/>
      <c r="M32" s="22"/>
      <c r="N32" s="22"/>
      <c r="O32" s="22"/>
      <c r="P32" s="22"/>
      <c r="Q32" s="22"/>
      <c r="R32" s="22"/>
      <c r="S32" s="22"/>
      <c r="T32" s="22"/>
      <c r="U32" s="22"/>
      <c r="V32" s="22"/>
    </row>
  </sheetData>
  <mergeCells count="1">
    <mergeCell ref="A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0DC8C-F5AE-40C7-9230-53F5312CB420}">
  <dimension ref="B3:E16"/>
  <sheetViews>
    <sheetView showGridLines="0" workbookViewId="0">
      <selection activeCell="G3" sqref="G3"/>
    </sheetView>
  </sheetViews>
  <sheetFormatPr defaultRowHeight="15.6" x14ac:dyDescent="0.3"/>
  <sheetData>
    <row r="3" spans="2:5" ht="18" x14ac:dyDescent="0.35">
      <c r="B3" s="14" t="s">
        <v>2355</v>
      </c>
      <c r="C3" s="15"/>
      <c r="D3" s="15"/>
      <c r="E3" s="15"/>
    </row>
    <row r="5" spans="2:5" x14ac:dyDescent="0.3">
      <c r="B5" t="s">
        <v>2356</v>
      </c>
    </row>
    <row r="7" spans="2:5" x14ac:dyDescent="0.3">
      <c r="B7" s="11" t="s">
        <v>2357</v>
      </c>
    </row>
    <row r="8" spans="2:5" x14ac:dyDescent="0.3">
      <c r="B8" s="12"/>
    </row>
    <row r="9" spans="2:5" x14ac:dyDescent="0.3">
      <c r="B9" s="13" t="s">
        <v>2366</v>
      </c>
    </row>
    <row r="10" spans="2:5" x14ac:dyDescent="0.3">
      <c r="B10" s="13" t="s">
        <v>2358</v>
      </c>
    </row>
    <row r="11" spans="2:5" x14ac:dyDescent="0.3">
      <c r="B11" s="13" t="s">
        <v>2359</v>
      </c>
    </row>
    <row r="12" spans="2:5" x14ac:dyDescent="0.3">
      <c r="B12" s="13" t="s">
        <v>2360</v>
      </c>
    </row>
    <row r="13" spans="2:5" x14ac:dyDescent="0.3">
      <c r="B13" s="13" t="s">
        <v>2361</v>
      </c>
    </row>
    <row r="14" spans="2:5" x14ac:dyDescent="0.3">
      <c r="B14" s="13" t="s">
        <v>2362</v>
      </c>
    </row>
    <row r="16" spans="2:5" x14ac:dyDescent="0.3">
      <c r="B16"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Retail Sales Raw Data</vt:lpstr>
      <vt:lpstr>Standard formatting</vt:lpstr>
      <vt:lpstr>Sorting and Filtering</vt:lpstr>
      <vt:lpstr>Cleaned Dataset</vt:lpstr>
      <vt:lpstr>Pivot Tables</vt:lpstr>
      <vt:lpstr>Data Visualization</vt:lpstr>
      <vt:lpstr>Sales Dashboard</vt:lpstr>
      <vt:lpstr>Excel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saravanakumar</dc:creator>
  <cp:lastModifiedBy>MANI SANKAR</cp:lastModifiedBy>
  <dcterms:created xsi:type="dcterms:W3CDTF">2026-10-13T07:49:46Z</dcterms:created>
  <dcterms:modified xsi:type="dcterms:W3CDTF">2026-10-16T15:26:13Z</dcterms:modified>
</cp:coreProperties>
</file>